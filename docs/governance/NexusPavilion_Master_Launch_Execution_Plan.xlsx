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88f76b489a4b8d" /></Relationships>
</file>

<file path=xl/workbook.xml><?xml version="1.0" encoding="utf-8"?>
<x:workbook xmlns:x="http://schemas.openxmlformats.org/spreadsheetml/2006/main">
  <x:sheets>
    <x:sheet xmlns:r="http://schemas.openxmlformats.org/officeDocument/2006/relationships" name="01 Master Plan" sheetId="1" r:id="Ra9e7e6c0c2c84e13"/>
    <x:sheet xmlns:r="http://schemas.openxmlformats.org/officeDocument/2006/relationships" name="03 Launch Gates" sheetId="2" r:id="Re75540d652494bfe"/>
    <x:sheet xmlns:r="http://schemas.openxmlformats.org/officeDocument/2006/relationships" name="00 Dashboard" sheetId="3" r:id="Rbbd4341b37334ebb"/>
    <x:sheet xmlns:r="http://schemas.openxmlformats.org/officeDocument/2006/relationships" name="04 Cursor Tasks" sheetId="4" r:id="R478708c7a51748b1"/>
    <x:sheet xmlns:r="http://schemas.openxmlformats.org/officeDocument/2006/relationships" name="05 UAT Matrix" sheetId="5" r:id="R2a6d800249f7446f"/>
    <x:sheet xmlns:r="http://schemas.openxmlformats.org/officeDocument/2006/relationships" name="06 Security Matrix" sheetId="6" r:id="R09c680b1ca544309"/>
    <x:sheet xmlns:r="http://schemas.openxmlformats.org/officeDocument/2006/relationships" name="07 Risks" sheetId="7" r:id="Ra0af0bccc0344eb3"/>
    <x:sheet xmlns:r="http://schemas.openxmlformats.org/officeDocument/2006/relationships" name="08 Architecture" sheetId="8" r:id="Rd780e2b47e6a4e81"/>
    <x:sheet xmlns:r="http://schemas.openxmlformats.org/officeDocument/2006/relationships" name="09 Release Checklist" sheetId="9" r:id="Rb58cd4cf5df54c1c"/>
    <x:sheet xmlns:r="http://schemas.openxmlformats.org/officeDocument/2006/relationships" name="10 Change Log" sheetId="10" r:id="R79ac72baede34f51"/>
    <x:sheet xmlns:r="http://schemas.openxmlformats.org/officeDocument/2006/relationships" name="11 Scope &amp; Roadmap" sheetId="11" r:id="R16020eb3b3ec4bfc"/>
    <x:sheet xmlns:r="http://schemas.openxmlformats.org/officeDocument/2006/relationships" name="12 How to Use" sheetId="12" r:id="R1ce65a5a09c6477b"/>
    <x:sheet xmlns:r="http://schemas.openxmlformats.org/officeDocument/2006/relationships" name="13 UI Program" sheetId="13" r:id="Rd84c27e24f74411e"/>
    <x:sheet xmlns:r="http://schemas.openxmlformats.org/officeDocument/2006/relationships" name="14 UI Scorecard" sheetId="14" r:id="R7ce3a60834b0413e"/>
    <x:sheet xmlns:r="http://schemas.openxmlformats.org/officeDocument/2006/relationships" name="15 Motion Guidance" sheetId="15" r:id="R8c09e134cdd247f4"/>
    <x:sheet xmlns:r="http://schemas.openxmlformats.org/officeDocument/2006/relationships" name="16 Design Standards" sheetId="16" r:id="R6f4f70318e1b4ff7"/>
    <x:sheet xmlns:r="http://schemas.openxmlformats.org/officeDocument/2006/relationships" name="17 Corporate Platform" sheetId="17" r:id="R19fed676358244f7"/>
    <x:sheet xmlns:r="http://schemas.openxmlformats.org/officeDocument/2006/relationships" name="18 Analytics Reuse Map" sheetId="18" r:id="R13c92e66c6f749f6"/>
    <x:sheet xmlns:r="http://schemas.openxmlformats.org/officeDocument/2006/relationships" name="19 Executive Insights Discovery" sheetId="19" r:id="R51d622640f664581"/>
    <x:sheet xmlns:r="http://schemas.openxmlformats.org/officeDocument/2006/relationships" name="20 Procurement Insights Discovery" sheetId="20" r:id="Ra2a0ef29e1ac4970"/>
    <x:sheet xmlns:r="http://schemas.openxmlformats.org/officeDocument/2006/relationships" name="21 Commercial Insights Discovery" sheetId="21" r:id="Rb9e3f26029f14e6f"/>
    <x:sheet xmlns:r="http://schemas.openxmlformats.org/officeDocument/2006/relationships" name="22 Project Insights Discovery" sheetId="22" r:id="Rc9c95f34f51b4ff9"/>
    <x:sheet xmlns:r="http://schemas.openxmlformats.org/officeDocument/2006/relationships" name="23 Performance Discovery" sheetId="23" r:id="Rdb77dec40dd942d0"/>
    <x:sheet xmlns:r="http://schemas.openxmlformats.org/officeDocument/2006/relationships" name="24 Risk Compliance Discovery" sheetId="24" r:id="R33826d41124d4979"/>
    <x:sheet xmlns:r="http://schemas.openxmlformats.org/officeDocument/2006/relationships" name="25 Commercial Handoff" sheetId="25" r:id="R8d19e871b4854224"/>
    <x:sheet xmlns:r="http://schemas.openxmlformats.org/officeDocument/2006/relationships" name="26 RFQ Governance" sheetId="26" r:id="Rf414349fbb064cf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812ee859ba54038" /><Relationship Type="http://schemas.openxmlformats.org/officeDocument/2006/relationships/theme" Target="/xl/theme/theme1.xml" Id="R918bea5fd8a84b14" /><Relationship Type="http://schemas.openxmlformats.org/officeDocument/2006/relationships/sharedStrings" Target="/xl/sharedStrings.xml" Id="R719dc62fdee143c7" /><Relationship Type="http://schemas.openxmlformats.org/officeDocument/2006/relationships/worksheet" Target="/xl/worksheets/sheet1.xml" Id="Ra9e7e6c0c2c84e13" /><Relationship Type="http://schemas.openxmlformats.org/officeDocument/2006/relationships/worksheet" Target="/xl/worksheets/sheet2.xml" Id="Re75540d652494bfe" /><Relationship Type="http://schemas.openxmlformats.org/officeDocument/2006/relationships/worksheet" Target="/xl/worksheets/sheet3.xml" Id="Rbbd4341b37334ebb" /><Relationship Type="http://schemas.openxmlformats.org/officeDocument/2006/relationships/worksheet" Target="/xl/worksheets/sheet4.xml" Id="R478708c7a51748b1" /><Relationship Type="http://schemas.openxmlformats.org/officeDocument/2006/relationships/worksheet" Target="/xl/worksheets/sheet5.xml" Id="R2a6d800249f7446f" /><Relationship Type="http://schemas.openxmlformats.org/officeDocument/2006/relationships/worksheet" Target="/xl/worksheets/sheet6.xml" Id="R09c680b1ca544309" /><Relationship Type="http://schemas.openxmlformats.org/officeDocument/2006/relationships/worksheet" Target="/xl/worksheets/sheet7.xml" Id="Ra0af0bccc0344eb3" /><Relationship Type="http://schemas.openxmlformats.org/officeDocument/2006/relationships/worksheet" Target="/xl/worksheets/sheet8.xml" Id="Rd780e2b47e6a4e81" /><Relationship Type="http://schemas.openxmlformats.org/officeDocument/2006/relationships/worksheet" Target="/xl/worksheets/sheet9.xml" Id="Rb58cd4cf5df54c1c" /><Relationship Type="http://schemas.openxmlformats.org/officeDocument/2006/relationships/worksheet" Target="/xl/worksheets/sheet10.xml" Id="R79ac72baede34f51" /><Relationship Type="http://schemas.openxmlformats.org/officeDocument/2006/relationships/worksheet" Target="/xl/worksheets/sheet11.xml" Id="R16020eb3b3ec4bfc" /><Relationship Type="http://schemas.openxmlformats.org/officeDocument/2006/relationships/worksheet" Target="/xl/worksheets/sheet12.xml" Id="R1ce65a5a09c6477b" /><Relationship Type="http://schemas.openxmlformats.org/officeDocument/2006/relationships/worksheet" Target="/xl/worksheets/sheet13.xml" Id="Rd84c27e24f74411e" /><Relationship Type="http://schemas.openxmlformats.org/officeDocument/2006/relationships/worksheet" Target="/xl/worksheets/sheet14.xml" Id="R7ce3a60834b0413e" /><Relationship Type="http://schemas.openxmlformats.org/officeDocument/2006/relationships/worksheet" Target="/xl/worksheets/sheet15.xml" Id="R8c09e134cdd247f4" /><Relationship Type="http://schemas.openxmlformats.org/officeDocument/2006/relationships/worksheet" Target="/xl/worksheets/sheet16.xml" Id="R6f4f70318e1b4ff7" /><Relationship Type="http://schemas.openxmlformats.org/officeDocument/2006/relationships/worksheet" Target="/xl/worksheets/sheet17.xml" Id="R19fed676358244f7" /><Relationship Type="http://schemas.openxmlformats.org/officeDocument/2006/relationships/worksheet" Target="/xl/worksheets/sheet18.xml" Id="R13c92e66c6f749f6" /><Relationship Type="http://schemas.openxmlformats.org/officeDocument/2006/relationships/worksheet" Target="/xl/worksheets/sheet19.xml" Id="R51d622640f664581" /><Relationship Type="http://schemas.openxmlformats.org/officeDocument/2006/relationships/worksheet" Target="/xl/worksheets/sheet20.xml" Id="Ra2a0ef29e1ac4970" /><Relationship Type="http://schemas.openxmlformats.org/officeDocument/2006/relationships/worksheet" Target="/xl/worksheets/sheet21.xml" Id="Rb9e3f26029f14e6f" /><Relationship Type="http://schemas.openxmlformats.org/officeDocument/2006/relationships/worksheet" Target="/xl/worksheets/sheet22.xml" Id="Rc9c95f34f51b4ff9" /><Relationship Type="http://schemas.openxmlformats.org/officeDocument/2006/relationships/worksheet" Target="/xl/worksheets/sheet23.xml" Id="Rdb77dec40dd942d0" /><Relationship Type="http://schemas.openxmlformats.org/officeDocument/2006/relationships/worksheet" Target="/xl/worksheets/sheet24.xml" Id="R33826d41124d4979" /><Relationship Type="http://schemas.openxmlformats.org/officeDocument/2006/relationships/worksheet" Target="/xl/worksheets/sheet25.xml" Id="R8d19e871b4854224" /><Relationship Type="http://schemas.openxmlformats.org/officeDocument/2006/relationships/worksheet" Target="/xl/worksheets/sheet26.xml" Id="Rf414349fbb064cf6" /></Relationships>
</file>

<file path=xl/drawings/_rels/drawing1.xml.rels>&#65279;<?xml version="1.0" encoding="utf-8"?><Relationships xmlns="http://schemas.openxmlformats.org/package/2006/relationships"><Relationship Type="http://schemas.openxmlformats.org/officeDocument/2006/relationships/chart" Target="/xl/drawings/charts/chart1.xml" Id="R3a3b6716155844d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a3b6716155844d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6c09662cfe8456c" /></Relationships>
</file>

<file path=xl/worksheets/_rels/sheet2.xml.rels>&#65279;<?xml version="1.0" encoding="utf-8"?><Relationships xmlns="http://schemas.openxmlformats.org/package/2006/relationships"><Relationship Type="http://schemas.openxmlformats.org/officeDocument/2006/relationships/table" Target="/xl/tables/table2.xml" Id="R8e853c66f6a14b15" /></Relationships>
</file>

<file path=xl/worksheets/_rels/sheet3.xml.rels>&#65279;<?xml version="1.0" encoding="utf-8"?><Relationships xmlns="http://schemas.openxmlformats.org/package/2006/relationships"><Relationship Type="http://schemas.openxmlformats.org/officeDocument/2006/relationships/drawing" Target="/xl/drawings/drawing1.xml" Id="Rb05bcd0493af45c5" /></Relationships>
</file>

<file path=xl/worksheets/_rels/sheet4.xml.rels>&#65279;<?xml version="1.0" encoding="utf-8"?><Relationships xmlns="http://schemas.openxmlformats.org/package/2006/relationships"><Relationship Type="http://schemas.openxmlformats.org/officeDocument/2006/relationships/table" Target="/xl/tables/table3.xml" Id="R160821ed3399499b" /></Relationships>
</file>

<file path=xl/worksheets/_rels/sheet5.xml.rels>&#65279;<?xml version="1.0" encoding="utf-8"?><Relationships xmlns="http://schemas.openxmlformats.org/package/2006/relationships"><Relationship Type="http://schemas.openxmlformats.org/officeDocument/2006/relationships/table" Target="/xl/tables/table4.xml" Id="Rf7f01ef42dc446be" /></Relationships>
</file>

<file path=xl/worksheets/_rels/sheet6.xml.rels>&#65279;<?xml version="1.0" encoding="utf-8"?><Relationships xmlns="http://schemas.openxmlformats.org/package/2006/relationships"><Relationship Type="http://schemas.openxmlformats.org/officeDocument/2006/relationships/table" Target="/xl/tables/table5.xml" Id="Rde0966c6e64d4c0e" /></Relationships>
</file>

<file path=xl/worksheets/_rels/sheet7.xml.rels>&#65279;<?xml version="1.0" encoding="utf-8"?><Relationships xmlns="http://schemas.openxmlformats.org/package/2006/relationships"><Relationship Type="http://schemas.openxmlformats.org/officeDocument/2006/relationships/table" Target="/xl/tables/table6.xml" Id="R253feb74afa7462c" /></Relationships>
</file>

<file path=xl/worksheets/_rels/sheet9.xml.rels>&#65279;<?xml version="1.0" encoding="utf-8"?><Relationships xmlns="http://schemas.openxmlformats.org/package/2006/relationships"><Relationship Type="http://schemas.openxmlformats.org/officeDocument/2006/relationships/table" Target="/xl/tables/table7.xml" Id="Rfbaa7426db214534" /></Relationships>
</file>

<file path=xl/worksheets/_rels/sheet10.xml.rels>&#65279;<?xml version="1.0" encoding="utf-8"?><Relationships xmlns="http://schemas.openxmlformats.org/package/2006/relationships"><Relationship Type="http://schemas.openxmlformats.org/officeDocument/2006/relationships/table" Target="/xl/tables/table8.xml" Id="R041aafd1fcb84b2c" /></Relationships>
</file>

<file path=xl/worksheets/_rels/sheet11.xml.rels>&#65279;<?xml version="1.0" encoding="utf-8"?><Relationships xmlns="http://schemas.openxmlformats.org/package/2006/relationships"><Relationship Type="http://schemas.openxmlformats.org/officeDocument/2006/relationships/table" Target="/xl/tables/table9.xml" Id="R6ed3ef5b4f7c4176" /></Relationships>
</file>

<file path=xl/worksheets/_rels/sheet13.xml.rels>&#65279;<?xml version="1.0" encoding="utf-8"?><Relationships xmlns="http://schemas.openxmlformats.org/package/2006/relationships"><Relationship Type="http://schemas.openxmlformats.org/officeDocument/2006/relationships/table" Target="/xl/tables/table10.xml" Id="R50b277e3c54440f7" /></Relationships>
</file>

<file path=xl/worksheets/_rels/sheet14.xml.rels>&#65279;<?xml version="1.0" encoding="utf-8"?><Relationships xmlns="http://schemas.openxmlformats.org/package/2006/relationships"><Relationship Type="http://schemas.openxmlformats.org/officeDocument/2006/relationships/table" Target="/xl/tables/table11.xml" Id="Rab67d9de2be04a63" /></Relationships>
</file>

<file path=xl/worksheets/_rels/sheet15.xml.rels>&#65279;<?xml version="1.0" encoding="utf-8"?><Relationships xmlns="http://schemas.openxmlformats.org/package/2006/relationships"><Relationship Type="http://schemas.openxmlformats.org/officeDocument/2006/relationships/table" Target="/xl/tables/table12.xml" Id="Rd0dfac00df3a41f9" /></Relationships>
</file>

<file path=xl/worksheets/_rels/sheet16.xml.rels>&#65279;<?xml version="1.0" encoding="utf-8"?><Relationships xmlns="http://schemas.openxmlformats.org/package/2006/relationships"><Relationship Type="http://schemas.openxmlformats.org/officeDocument/2006/relationships/table" Target="/xl/tables/table13.xml" Id="R98dc60be0561467c"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v>✓</x:v>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str">
        <x:v>Completed</x:v>
      </x:c>
      <x:c r="I334" s="133" t="str">
        <x:v>Project Owner / Product / Engineering</x:v>
      </x:c>
      <x:c r="J334" s="133" t="str"/>
      <x:c r="K334" s="133" t="inlineStr">
        <x:is>
          <x:t xml:space="preserve">13I-01</x:t>
        </x:is>
      </x:c>
      <x:c r="L334" s="133" t="str"/>
      <x:c r="M334" s="133" t="str">
        <x:v>PASS / DARK-MODE CONSISTENCY AUDIT — Evidence-only closeout. Representative authenticated surfaces across Dashboard, Procurement Center, RFQ Drafting, Respondent RFQ Workspace, Activity Center, Strategic Insights, Project Portfolio, and Workspace Settings were verified at desktop/tablet/mobile with no conflicting dark-surface language, semantic status-color conflicts, CTA hierarchy conflicts, typography-system conflicts, or mobile light-surface leaks.</x:v>
      </x:c>
      <x:c r="N334" s="249" t="n"/>
      <x:c r="O334" s="249" t="n">
        <x:v>46297</x:v>
      </x:c>
      <x:c r="P334" s="135" t="str">
        <x:v>Read-only audit on canonical HEAD 6781f1e59ce5a8885c3e32830e096860bc3ac1d7 using isolated clean worktree C:\Users\amirt\Documents\nexuspavilion-13i-04. All eight representative authenticated surfaces PASS at 1440/1024/390. Body background remained consistently #07111F / rgb(7,17,31) where measured. No P0, P1, or actionable P2 dark-mode findings were identified. No conflicting surface language, semantic status colors, CTA hierarchy, typography-system conflicts, obvious contrast blockers, or mobile dark-surface defects were observed. Activity Center retains some cyan-300/raw gold class aliases, but these produced no visible inconsistency and therefore do not justify reopening the closed surface. No files changed. Main dirty repository untouched. Next canonical task: 13I-05 — Run motion consistency and annoyance audit.</x:v>
      </x:c>
    </x:row>
    <x:row r="335">
      <x:c r="A335" s="133" t="str">
        <x:v>✓</x:v>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str">
        <x:v>Completed</x:v>
      </x:c>
      <x:c r="I335" s="133" t="str">
        <x:v>Project Owner / Product / Engineering</x:v>
      </x:c>
      <x:c r="J335" s="133" t="str"/>
      <x:c r="K335" s="133" t="inlineStr">
        <x:is>
          <x:t xml:space="preserve">13I-01</x:t>
        </x:is>
      </x:c>
      <x:c r="L335" s="133" t="str"/>
      <x:c r="M335" s="133" t="str">
        <x:v>PASS / MOTION CONSISTENCY AND ANNOYANCE AUDIT — Evidence-only closeout. Representative authenticated surfaces were verified at desktop/tablet/mobile with no excessive continuous animation, repeated popup/toast annoyance, motion-related layout shifts, performance issues, or mobile motion defects.</x:v>
      </x:c>
      <x:c r="N335" s="249" t="n"/>
      <x:c r="O335" s="249" t="n">
        <x:v>46297</x:v>
      </x:c>
      <x:c r="P335" s="135" t="str">
        <x:v>Read-only audit on canonical HEAD 86534b5c1442a654b39f5802578442d3f088901d using isolated clean worktree C:\Users\amirt\Documents\nexuspavilion-13i-05. Across Executive Overview, Procurement Center, RFQ Drafting, Respondent RFQ Workspace, Quote/Proposal Preparation, Activity Center, Strategic Insights, and Workspace Settings, steady-state pages showed zero infinite CSS animations. No P0 or P1 findings were identified. One P2 finding remains: Strategic Insights export action cards use hover:-translate-y-1 without a reduced-motion guard; a latent animate-ping in CEO action center also lacks a reduced-motion guard but was not active in the current insufficient-data state. These are non-blocking for 13I-05 and should be explicitly checked under 13I-06 motion/accessibility regression rather than reopening completed surfaces now. No files changed. Main dirty repository untouched. Next canonical task: 13I-06 — Run motion/accessibility regression.</x:v>
      </x:c>
    </x:row>
    <x:row r="336">
      <x:c r="A336" s="133" t="str">
        <x:v>✓</x:v>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str">
        <x:v>Completed</x:v>
      </x:c>
      <x:c r="I336" s="133" t="str">
        <x:v>Project Owner / Product / Engineering</x:v>
      </x:c>
      <x:c r="J336" s="133" t="str"/>
      <x:c r="K336" s="133" t="inlineStr">
        <x:is>
          <x:t xml:space="preserve">13I-01</x:t>
        </x:is>
      </x:c>
      <x:c r="L336" s="133" t="inlineStr">
        <x:is>
          <x:t xml:space="preserve">G10</x:t>
        </x:is>
      </x:c>
      <x:c r="M336" s="133" t="str">
        <x:v>PASS / MOTION &amp; ACCESSIBILITY REGRESSION — Evidence-only closeout. Representative authenticated surfaces passed reduced-motion, keyboard navigation, focus visibility, labels/semantics, observable contrast, and responsive accessibility checks with no P0/P1 accessibility defects.</x:v>
      </x:c>
      <x:c r="N336" s="249" t="n"/>
      <x:c r="O336" s="249" t="n">
        <x:v>46297</x:v>
      </x:c>
      <x:c r="P336" s="135" t="str">
        <x:v>Read-only audit on canonical HEAD 0c9663ba0f0826a5564e27dbe643941ba460f5cc using isolated clean worktree C:\Users\amirt\Documents\nexuspavilion-13i-06. prefers-reduced-motion: reduce was confirmed active; global globals.css guards suppress animation-name and transition-property under reduced motion. Executive Overview, Procurement Center, RFQ Drafting, Respondent RFQ Workspace, Quote/Proposal Preparation, Activity Center, Strategic Insights, and Workspace Settings all PASS across reduced motion, keyboard, focus, labels/semantics, contrast observation, and responsive accessibility. Closed Addendum accessibility regression PASS: Acknowledgement Status: Closed, explicit closed-window copy, historical Unacknowledged state retained, no Acknowledge control, and status is not color-only. No keyboard traps, unreachable critical controls, focus visibility defects, label/semantic defects, obvious contrast blockers, material reduced-motion defects, or mobile accessibility defects were found. One P2 remains: Analytics export cards retain hover:-translate-y-1 without a local motion-reduce utility, but global reduced-motion CSS suppresses transitions and no information is lost. CEO Action Center animate-ping is globally suppressed under reduced-motion and is not a current P0/P1. No files changed. Main dirty repository untouched. Next canonical task: 13I-07 — Run UI performance regression.</x:v>
      </x:c>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6c09662cfe8456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e853c66f6a14b15"/>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353</x:v>
      </x:c>
      <x:c r="D6" s="133" t="inlineStr">
        <x:is>
          <x:t xml:space="preserve">G0A — Corporate platform architecture ready</x:t>
        </x:is>
      </x:c>
      <x:c r="E6" s="32" t="str">
        <x:f>'03 Launch Gates'!D20</x:f>
        <x:v>Completed</x:v>
      </x:c>
      <x:c r="G6" t="inlineStr">
        <x:is>
          <x:t xml:space="preserve">UI Tasks Complete</x:t>
        </x:is>
      </x:c>
      <x:c r="H6" t="n">
        <x:f>SUM(B36:B46)</x:f>
        <x:v>131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0.9618528610354223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0.9709090909090909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6</x:v>
      </x:c>
      <x:c r="C45" s="28" t="n">
        <x:f>COUNTIFS('01 Master Plan'!C$5:C$383,A45,'01 Master Plan'!H$5:H$383,"In Progress")</x:f>
        <x:v>0</x:v>
      </x:c>
      <x:c r="D45" s="28" t="n">
        <x:f>COUNTIFS('01 Master Plan'!C$5:C$383,A45,'01 Master Plan'!H$5:H$383,"Not Started")</x:f>
        <x:v>4</x:v>
      </x:c>
      <x:c r="E45" s="28" t="n">
        <x:f>COUNTIFS('01 Master Plan'!C$5:C$383,A45,'01 Master Plan'!H$5:H$383,"Blocked")</x:f>
        <x:v>0</x:v>
      </x:c>
      <x:c r="F45" s="28" t="n">
        <x:f>COUNTIFS('01 Master Plan'!C$5:C$383,A45,'01 Master Plan'!H$5:H$383,"Deferred")</x:f>
        <x:v>0</x:v>
      </x:c>
      <x:c r="G45" s="258" t="n">
        <x:f>IFERROR(B45/(B45+C45+D45+E45),0)</x:f>
        <x:v>0.6</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05bcd0493af45c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160821ed3399499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7f01ef42dc446b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e0966c6e64d4c0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53feb74afa7462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baa7426db21453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row r="1293">
      <x:c r="A1293" t="n">
        <x:v>46297</x:v>
      </x:c>
      <x:c r="B1293" t="str">
        <x:v>Phase 13I / 13I-04</x:v>
      </x:c>
      <x:c r="C1293" t="str">
        <x:v>13I-04 Dark-Mode Consistency Audit Closed</x:v>
      </x:c>
      <x:c r="D1293" t="str">
        <x:v>executive-benchmark-engine</x:v>
      </x:c>
      <x:c r="E1293" t="str">
        <x:v>6781f1e59ce5a8885c3e32830e096860bc3ac1d7</x:v>
      </x:c>
      <x:c r="F1293" t="str">
        <x:v>Completed a read-only dark-mode consistency audit across eight representative authenticated product surfaces.</x:v>
      </x:c>
      <x:c r="G1293" t="str">
        <x:v>Desktop/tablet/mobile checks PASS on all audited routes; no P0/P1/actionable-P2 inconsistencies, no light-surface collisions, no visible status-color/CTA/typography conflicts, and no mobile dark-surface defects.</x:v>
      </x:c>
      <x:c r="H1293" t="str">
        <x:v>PASS / 13I-04 CLOSED / EVIDENCE-ONLY</x:v>
      </x:c>
      <x:c r="I1293" t="str">
        <x:v>No code changes. Closed pages remain closed; isolated token aliases without visible inconsistency were not treated as defects.</x:v>
      </x:c>
      <x:c r="J1293" t="str">
        <x:v>Next canonical task: Phase 13I / 13I-05 — Run motion consistency and annoyance audit.</x:v>
      </x:c>
    </x:row>
    <x:row r="1294">
      <x:c r="A1294" t="n">
        <x:v>46297</x:v>
      </x:c>
      <x:c r="B1294" t="str">
        <x:v>Phase 13I / 13I-05</x:v>
      </x:c>
      <x:c r="C1294" t="str">
        <x:v>13I-05 Motion Consistency and Annoyance Audit Closed</x:v>
      </x:c>
      <x:c r="D1294" t="str">
        <x:v>executive-benchmark-engine</x:v>
      </x:c>
      <x:c r="E1294" t="str">
        <x:v>86534b5c1442a654b39f5802578442d3f088901d</x:v>
      </x:c>
      <x:c r="F1294" t="str">
        <x:v>Completed a read-only motion consistency and annoyance audit across eight representative authenticated product surfaces.</x:v>
      </x:c>
      <x:c r="G1294" t="str">
        <x:v>Desktop/tablet/mobile checks PASS; zero infinite CSS animations observed in steady state; no repeated popup/toast annoyance, motion-related layout shifts, performance issues, or P0/P1 motion defects.</x:v>
      </x:c>
      <x:c r="H1294" t="str">
        <x:v>PASS / 13I-05 CLOSED / EVIDENCE-ONLY</x:v>
      </x:c>
      <x:c r="I1294" t="str">
        <x:v>One P2 hover-translate inconsistency and one latent reduced-motion risk remain for explicit validation in 13I-06; no closed surface reopened and no code changes were made.</x:v>
      </x:c>
      <x:c r="J1294" t="str">
        <x:v>Next canonical task: Phase 13I / 13I-06 — Run motion/accessibility regression.</x:v>
      </x:c>
    </x:row>
    <x:row r="1295">
      <x:c r="A1295" t="n">
        <x:v>46297</x:v>
      </x:c>
      <x:c r="B1295" t="str">
        <x:v>Phase 13I / 13I-06</x:v>
      </x:c>
      <x:c r="C1295" t="str">
        <x:v>13I-06 Motion and Accessibility Regression Closed</x:v>
      </x:c>
      <x:c r="D1295" t="str">
        <x:v>executive-benchmark-engine</x:v>
      </x:c>
      <x:c r="E1295" t="str">
        <x:v>0c9663ba0f0826a5564e27dbe643941ba460f5cc</x:v>
      </x:c>
      <x:c r="F1295" t="str">
        <x:v>Completed a read-only reduced-motion and accessibility regression audit across eight representative authenticated product surfaces.</x:v>
      </x:c>
      <x:c r="G1295" t="str">
        <x:v>All audited surfaces PASS reduced motion, keyboard, focus, labels/semantics, observable contrast, and responsive accessibility; closed Addendum accessibility regression also PASS.</x:v>
      </x:c>
      <x:c r="H1295" t="str">
        <x:v>PASS / 13I-06 CLOSED / EVIDENCE-ONLY</x:v>
      </x:c>
      <x:c r="I1295" t="str">
        <x:v>No P0/P1 findings. One P2 export-card hover translate remains non-blocking because the global reduced-motion guard suppresses transitions; no code changes were made.</x:v>
      </x:c>
      <x:c r="J1295" t="str">
        <x:v>Next canonical task: Phase 13I / 13I-07 — Run UI performance regression.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41aafd1fcb84b2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ed3ef5b4f7c4176"/>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through 13I-06 are PASS/CLOSED under approved evidence boundaries. 13I-06 motion/accessibility regression passed evidence-only across eight representative authenticated surfaces with no P0/P1 accessibility defects. One non-blocking P2 export-hover motion inconsistency remains documented. Next canonical task: 13I-07 — UI performance regression.</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0b277e3c54440f7"/>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b67d9de2be04a6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0dfac00df3a41f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8dc60be0561467c"/>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