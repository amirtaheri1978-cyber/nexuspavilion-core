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45f858bbdb140bb" /></Relationships>
</file>

<file path=xl/workbook.xml><?xml version="1.0" encoding="utf-8"?>
<x:workbook xmlns:x="http://schemas.openxmlformats.org/spreadsheetml/2006/main">
  <x:sheets>
    <x:sheet xmlns:r="http://schemas.openxmlformats.org/officeDocument/2006/relationships" name="01 Master Plan" sheetId="1" r:id="R714188d369334401"/>
    <x:sheet xmlns:r="http://schemas.openxmlformats.org/officeDocument/2006/relationships" name="03 Launch Gates" sheetId="2" r:id="R92395b56fd02420c"/>
    <x:sheet xmlns:r="http://schemas.openxmlformats.org/officeDocument/2006/relationships" name="00 Dashboard" sheetId="3" r:id="R1e7b85bd90654319"/>
    <x:sheet xmlns:r="http://schemas.openxmlformats.org/officeDocument/2006/relationships" name="04 Cursor Tasks" sheetId="4" r:id="R16c608d265044539"/>
    <x:sheet xmlns:r="http://schemas.openxmlformats.org/officeDocument/2006/relationships" name="05 UAT Matrix" sheetId="5" r:id="Rd71c3a69527a48d1"/>
    <x:sheet xmlns:r="http://schemas.openxmlformats.org/officeDocument/2006/relationships" name="06 Security Matrix" sheetId="6" r:id="Raea48bf117f24ca9"/>
    <x:sheet xmlns:r="http://schemas.openxmlformats.org/officeDocument/2006/relationships" name="07 Risks" sheetId="7" r:id="Re627cbe905d14d6b"/>
    <x:sheet xmlns:r="http://schemas.openxmlformats.org/officeDocument/2006/relationships" name="08 Architecture" sheetId="8" r:id="R78654eb09c8042fc"/>
    <x:sheet xmlns:r="http://schemas.openxmlformats.org/officeDocument/2006/relationships" name="09 Release Checklist" sheetId="9" r:id="R7330f449a14d4691"/>
    <x:sheet xmlns:r="http://schemas.openxmlformats.org/officeDocument/2006/relationships" name="10 Change Log" sheetId="10" r:id="R43736ab143e84d10"/>
    <x:sheet xmlns:r="http://schemas.openxmlformats.org/officeDocument/2006/relationships" name="11 Scope &amp; Roadmap" sheetId="11" r:id="R3e7cdc6390d24f4b"/>
    <x:sheet xmlns:r="http://schemas.openxmlformats.org/officeDocument/2006/relationships" name="12 How to Use" sheetId="12" r:id="R42b7b4ea64824ec6"/>
    <x:sheet xmlns:r="http://schemas.openxmlformats.org/officeDocument/2006/relationships" name="13 UI Program" sheetId="13" r:id="R6c14dc71b747443a"/>
    <x:sheet xmlns:r="http://schemas.openxmlformats.org/officeDocument/2006/relationships" name="14 UI Scorecard" sheetId="14" r:id="R3665b95882e14a3c"/>
    <x:sheet xmlns:r="http://schemas.openxmlformats.org/officeDocument/2006/relationships" name="15 Motion Guidance" sheetId="15" r:id="R6739b86e3aeb4dad"/>
    <x:sheet xmlns:r="http://schemas.openxmlformats.org/officeDocument/2006/relationships" name="16 Design Standards" sheetId="16" r:id="Ree7cdd9fa1814338"/>
    <x:sheet xmlns:r="http://schemas.openxmlformats.org/officeDocument/2006/relationships" name="17 Corporate Platform" sheetId="17" r:id="R30884a987251428e"/>
    <x:sheet xmlns:r="http://schemas.openxmlformats.org/officeDocument/2006/relationships" name="18 Analytics Reuse Map" sheetId="18" r:id="R0756fcda15534446"/>
    <x:sheet xmlns:r="http://schemas.openxmlformats.org/officeDocument/2006/relationships" name="19 Executive Insights Discovery" sheetId="19" r:id="R7ee661e9c41848e9"/>
    <x:sheet xmlns:r="http://schemas.openxmlformats.org/officeDocument/2006/relationships" name="20 Procurement Insights Discovery" sheetId="20" r:id="R6532d52747904f0e"/>
    <x:sheet xmlns:r="http://schemas.openxmlformats.org/officeDocument/2006/relationships" name="21 Commercial Insights Discovery" sheetId="21" r:id="Rf366f4b1046b4b11"/>
    <x:sheet xmlns:r="http://schemas.openxmlformats.org/officeDocument/2006/relationships" name="22 Project Insights Discovery" sheetId="22" r:id="Rd2ac8514c82e4d52"/>
    <x:sheet xmlns:r="http://schemas.openxmlformats.org/officeDocument/2006/relationships" name="23 Performance Discovery" sheetId="23" r:id="R211dd6f6405e4cfe"/>
    <x:sheet xmlns:r="http://schemas.openxmlformats.org/officeDocument/2006/relationships" name="24 Risk Compliance Discovery" sheetId="24" r:id="Rf20fe40f429e41a1"/>
    <x:sheet xmlns:r="http://schemas.openxmlformats.org/officeDocument/2006/relationships" name="25 Commercial Handoff" sheetId="25" r:id="Rb349e5700b03423b"/>
    <x:sheet xmlns:r="http://schemas.openxmlformats.org/officeDocument/2006/relationships" name="26 RFQ Governance" sheetId="26" r:id="R63f87bc2f646483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8c62891409d4fa8" /><Relationship Type="http://schemas.openxmlformats.org/officeDocument/2006/relationships/theme" Target="/xl/theme/theme1.xml" Id="R3866297ecbb44a02" /><Relationship Type="http://schemas.openxmlformats.org/officeDocument/2006/relationships/sharedStrings" Target="/xl/sharedStrings.xml" Id="R324acce7b5664cb6" /><Relationship Type="http://schemas.openxmlformats.org/officeDocument/2006/relationships/worksheet" Target="/xl/worksheets/sheet1.xml" Id="R714188d369334401" /><Relationship Type="http://schemas.openxmlformats.org/officeDocument/2006/relationships/worksheet" Target="/xl/worksheets/sheet2.xml" Id="R92395b56fd02420c" /><Relationship Type="http://schemas.openxmlformats.org/officeDocument/2006/relationships/worksheet" Target="/xl/worksheets/sheet3.xml" Id="R1e7b85bd90654319" /><Relationship Type="http://schemas.openxmlformats.org/officeDocument/2006/relationships/worksheet" Target="/xl/worksheets/sheet4.xml" Id="R16c608d265044539" /><Relationship Type="http://schemas.openxmlformats.org/officeDocument/2006/relationships/worksheet" Target="/xl/worksheets/sheet5.xml" Id="Rd71c3a69527a48d1" /><Relationship Type="http://schemas.openxmlformats.org/officeDocument/2006/relationships/worksheet" Target="/xl/worksheets/sheet6.xml" Id="Raea48bf117f24ca9" /><Relationship Type="http://schemas.openxmlformats.org/officeDocument/2006/relationships/worksheet" Target="/xl/worksheets/sheet7.xml" Id="Re627cbe905d14d6b" /><Relationship Type="http://schemas.openxmlformats.org/officeDocument/2006/relationships/worksheet" Target="/xl/worksheets/sheet8.xml" Id="R78654eb09c8042fc" /><Relationship Type="http://schemas.openxmlformats.org/officeDocument/2006/relationships/worksheet" Target="/xl/worksheets/sheet9.xml" Id="R7330f449a14d4691" /><Relationship Type="http://schemas.openxmlformats.org/officeDocument/2006/relationships/worksheet" Target="/xl/worksheets/sheet10.xml" Id="R43736ab143e84d10" /><Relationship Type="http://schemas.openxmlformats.org/officeDocument/2006/relationships/worksheet" Target="/xl/worksheets/sheet11.xml" Id="R3e7cdc6390d24f4b" /><Relationship Type="http://schemas.openxmlformats.org/officeDocument/2006/relationships/worksheet" Target="/xl/worksheets/sheet12.xml" Id="R42b7b4ea64824ec6" /><Relationship Type="http://schemas.openxmlformats.org/officeDocument/2006/relationships/worksheet" Target="/xl/worksheets/sheet13.xml" Id="R6c14dc71b747443a" /><Relationship Type="http://schemas.openxmlformats.org/officeDocument/2006/relationships/worksheet" Target="/xl/worksheets/sheet14.xml" Id="R3665b95882e14a3c" /><Relationship Type="http://schemas.openxmlformats.org/officeDocument/2006/relationships/worksheet" Target="/xl/worksheets/sheet15.xml" Id="R6739b86e3aeb4dad" /><Relationship Type="http://schemas.openxmlformats.org/officeDocument/2006/relationships/worksheet" Target="/xl/worksheets/sheet16.xml" Id="Ree7cdd9fa1814338" /><Relationship Type="http://schemas.openxmlformats.org/officeDocument/2006/relationships/worksheet" Target="/xl/worksheets/sheet17.xml" Id="R30884a987251428e" /><Relationship Type="http://schemas.openxmlformats.org/officeDocument/2006/relationships/worksheet" Target="/xl/worksheets/sheet18.xml" Id="R0756fcda15534446" /><Relationship Type="http://schemas.openxmlformats.org/officeDocument/2006/relationships/worksheet" Target="/xl/worksheets/sheet19.xml" Id="R7ee661e9c41848e9" /><Relationship Type="http://schemas.openxmlformats.org/officeDocument/2006/relationships/worksheet" Target="/xl/worksheets/sheet20.xml" Id="R6532d52747904f0e" /><Relationship Type="http://schemas.openxmlformats.org/officeDocument/2006/relationships/worksheet" Target="/xl/worksheets/sheet21.xml" Id="Rf366f4b1046b4b11" /><Relationship Type="http://schemas.openxmlformats.org/officeDocument/2006/relationships/worksheet" Target="/xl/worksheets/sheet22.xml" Id="Rd2ac8514c82e4d52" /><Relationship Type="http://schemas.openxmlformats.org/officeDocument/2006/relationships/worksheet" Target="/xl/worksheets/sheet23.xml" Id="R211dd6f6405e4cfe" /><Relationship Type="http://schemas.openxmlformats.org/officeDocument/2006/relationships/worksheet" Target="/xl/worksheets/sheet24.xml" Id="Rf20fe40f429e41a1" /><Relationship Type="http://schemas.openxmlformats.org/officeDocument/2006/relationships/worksheet" Target="/xl/worksheets/sheet25.xml" Id="Rb349e5700b03423b" /><Relationship Type="http://schemas.openxmlformats.org/officeDocument/2006/relationships/worksheet" Target="/xl/worksheets/sheet26.xml" Id="R63f87bc2f6464839" /></Relationships>
</file>

<file path=xl/drawings/_rels/drawing1.xml.rels>&#65279;<?xml version="1.0" encoding="utf-8"?><Relationships xmlns="http://schemas.openxmlformats.org/package/2006/relationships"><Relationship Type="http://schemas.openxmlformats.org/officeDocument/2006/relationships/chart" Target="/xl/drawings/charts/chart1.xml" Id="R0baf3b97f0774a3d"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baf3b97f0774a3d"/>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dd510d920474b71" /></Relationships>
</file>

<file path=xl/worksheets/_rels/sheet2.xml.rels>&#65279;<?xml version="1.0" encoding="utf-8"?><Relationships xmlns="http://schemas.openxmlformats.org/package/2006/relationships"><Relationship Type="http://schemas.openxmlformats.org/officeDocument/2006/relationships/table" Target="/xl/tables/table2.xml" Id="R04a87ec3697c4bd0" /></Relationships>
</file>

<file path=xl/worksheets/_rels/sheet3.xml.rels>&#65279;<?xml version="1.0" encoding="utf-8"?><Relationships xmlns="http://schemas.openxmlformats.org/package/2006/relationships"><Relationship Type="http://schemas.openxmlformats.org/officeDocument/2006/relationships/drawing" Target="/xl/drawings/drawing1.xml" Id="R6d73cbb3728848b1" /></Relationships>
</file>

<file path=xl/worksheets/_rels/sheet4.xml.rels>&#65279;<?xml version="1.0" encoding="utf-8"?><Relationships xmlns="http://schemas.openxmlformats.org/package/2006/relationships"><Relationship Type="http://schemas.openxmlformats.org/officeDocument/2006/relationships/table" Target="/xl/tables/table3.xml" Id="Rd3c9ed64165d493c" /></Relationships>
</file>

<file path=xl/worksheets/_rels/sheet5.xml.rels>&#65279;<?xml version="1.0" encoding="utf-8"?><Relationships xmlns="http://schemas.openxmlformats.org/package/2006/relationships"><Relationship Type="http://schemas.openxmlformats.org/officeDocument/2006/relationships/table" Target="/xl/tables/table4.xml" Id="R6bba065a884b4dad" /></Relationships>
</file>

<file path=xl/worksheets/_rels/sheet6.xml.rels>&#65279;<?xml version="1.0" encoding="utf-8"?><Relationships xmlns="http://schemas.openxmlformats.org/package/2006/relationships"><Relationship Type="http://schemas.openxmlformats.org/officeDocument/2006/relationships/table" Target="/xl/tables/table5.xml" Id="Rd4bfe6ea843b46e7" /></Relationships>
</file>

<file path=xl/worksheets/_rels/sheet7.xml.rels>&#65279;<?xml version="1.0" encoding="utf-8"?><Relationships xmlns="http://schemas.openxmlformats.org/package/2006/relationships"><Relationship Type="http://schemas.openxmlformats.org/officeDocument/2006/relationships/table" Target="/xl/tables/table6.xml" Id="R834fa89595d94a72" /></Relationships>
</file>

<file path=xl/worksheets/_rels/sheet9.xml.rels>&#65279;<?xml version="1.0" encoding="utf-8"?><Relationships xmlns="http://schemas.openxmlformats.org/package/2006/relationships"><Relationship Type="http://schemas.openxmlformats.org/officeDocument/2006/relationships/table" Target="/xl/tables/table7.xml" Id="Rfede3da6eaeb4a26" /></Relationships>
</file>

<file path=xl/worksheets/_rels/sheet10.xml.rels>&#65279;<?xml version="1.0" encoding="utf-8"?><Relationships xmlns="http://schemas.openxmlformats.org/package/2006/relationships"><Relationship Type="http://schemas.openxmlformats.org/officeDocument/2006/relationships/table" Target="/xl/tables/table8.xml" Id="Rabc14d53c4834dd5" /></Relationships>
</file>

<file path=xl/worksheets/_rels/sheet11.xml.rels>&#65279;<?xml version="1.0" encoding="utf-8"?><Relationships xmlns="http://schemas.openxmlformats.org/package/2006/relationships"><Relationship Type="http://schemas.openxmlformats.org/officeDocument/2006/relationships/table" Target="/xl/tables/table9.xml" Id="R4c763b2b0a5b4c1b" /></Relationships>
</file>

<file path=xl/worksheets/_rels/sheet13.xml.rels>&#65279;<?xml version="1.0" encoding="utf-8"?><Relationships xmlns="http://schemas.openxmlformats.org/package/2006/relationships"><Relationship Type="http://schemas.openxmlformats.org/officeDocument/2006/relationships/table" Target="/xl/tables/table10.xml" Id="R6a9741c11bbd41cb" /></Relationships>
</file>

<file path=xl/worksheets/_rels/sheet14.xml.rels>&#65279;<?xml version="1.0" encoding="utf-8"?><Relationships xmlns="http://schemas.openxmlformats.org/package/2006/relationships"><Relationship Type="http://schemas.openxmlformats.org/officeDocument/2006/relationships/table" Target="/xl/tables/table11.xml" Id="Raebf9034a86b4326" /></Relationships>
</file>

<file path=xl/worksheets/_rels/sheet15.xml.rels>&#65279;<?xml version="1.0" encoding="utf-8"?><Relationships xmlns="http://schemas.openxmlformats.org/package/2006/relationships"><Relationship Type="http://schemas.openxmlformats.org/officeDocument/2006/relationships/table" Target="/xl/tables/table12.xml" Id="R4ceee12b2ac3492f" /></Relationships>
</file>

<file path=xl/worksheets/_rels/sheet16.xml.rels>&#65279;<?xml version="1.0" encoding="utf-8"?><Relationships xmlns="http://schemas.openxmlformats.org/package/2006/relationships"><Relationship Type="http://schemas.openxmlformats.org/officeDocument/2006/relationships/table" Target="/xl/tables/table13.xml" Id="R6ea50758d3404f89"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fdd510d920474b71"/>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04a87ec3697c4bd0"/>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266</x:v>
      </x:c>
      <x:c r="D6" s="133" t="inlineStr">
        <x:is>
          <x:t xml:space="preserve">G0A — Corporate platform architecture ready</x:t>
        </x:is>
      </x:c>
      <x:c r="E6" s="32" t="str">
        <x:f>'03 Launch Gates'!D20</x:f>
        <x:v>Completed</x:v>
      </x:c>
      <x:c r="G6" t="inlineStr">
        <x:is>
          <x:t xml:space="preserve">UI Tasks Complete</x:t>
        </x:is>
      </x:c>
      <x:c r="H6" t="n">
        <x:f>SUM(B36:B46)</x:f>
        <x:v>44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0.7247956403269755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0.7454545454545455</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9</x:v>
      </x:c>
      <x:c r="C37" s="133" t="n">
        <x:f>COUNTIFS('01 Master Plan'!C$5:C$383,A37,'01 Master Plan'!H$5:H$383,"In Progress")</x:f>
        <x:v>0</x:v>
      </x:c>
      <x:c r="D37" s="133" t="n">
        <x:f>COUNTIFS('01 Master Plan'!C$5:C$383,A37,'01 Master Plan'!H$5:H$383,"Not Started")</x:f>
        <x:v>3</x:v>
      </x:c>
      <x:c r="E37" s="133" t="n">
        <x:f>COUNTIFS('01 Master Plan'!C$5:C$383,A37,'01 Master Plan'!H$5:H$383,"Blocked")</x:f>
        <x:v>0</x:v>
      </x:c>
      <x:c r="F37" s="133" t="n">
        <x:f>COUNTIFS('01 Master Plan'!C$5:C$383,A37,'01 Master Plan'!H$5:H$383,"Deferred")</x:f>
        <x:v>0</x:v>
      </x:c>
      <x:c r="G37" s="255" t="n">
        <x:f>IFERROR(B37/(B37+C37+D37+E37),0)</x:f>
        <x:v>0.75</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d73cbb3728848b1"/>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d3c9ed64165d493c"/>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6bba065a884b4dad"/>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d4bfe6ea843b46e7"/>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834fa89595d94a72"/>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fede3da6eaeb4a26"/>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abc14d53c4834dd5"/>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4c763b2b0a5b4c1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U1 IN PROGRESS — 13B-01 through 13B-09 complete. Foundation now includes semantic colors, theme compatibility, typography, spacing/grid, surfaces/depth, status palette, Nexus Intelligence language, interaction states, and canonical motion-duration tokens. Next: 13B-10 easing and reduced-motion behavior.</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6a9741c11bbd41cb"/>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aebf9034a86b4326"/>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ceee12b2ac3492f"/>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6ea50758d3404f89"/>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