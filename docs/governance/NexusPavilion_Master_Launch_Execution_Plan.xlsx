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ca7bffc2384bf5" /></Relationships>
</file>

<file path=xl/workbook.xml><?xml version="1.0" encoding="utf-8"?>
<x:workbook xmlns:x="http://schemas.openxmlformats.org/spreadsheetml/2006/main">
  <x:sheets>
    <x:sheet xmlns:r="http://schemas.openxmlformats.org/officeDocument/2006/relationships" name="01 Master Plan" sheetId="1" r:id="Re15a36f58e614255"/>
    <x:sheet xmlns:r="http://schemas.openxmlformats.org/officeDocument/2006/relationships" name="03 Launch Gates" sheetId="2" r:id="Rb5df478b02454672"/>
    <x:sheet xmlns:r="http://schemas.openxmlformats.org/officeDocument/2006/relationships" name="00 Dashboard" sheetId="3" r:id="R731b33a156af418a"/>
    <x:sheet xmlns:r="http://schemas.openxmlformats.org/officeDocument/2006/relationships" name="04 Cursor Tasks" sheetId="4" r:id="R53082e02112c401a"/>
    <x:sheet xmlns:r="http://schemas.openxmlformats.org/officeDocument/2006/relationships" name="05 UAT Matrix" sheetId="5" r:id="R5ffda62685064a8b"/>
    <x:sheet xmlns:r="http://schemas.openxmlformats.org/officeDocument/2006/relationships" name="06 Security Matrix" sheetId="6" r:id="Rb3725757e7154aa9"/>
    <x:sheet xmlns:r="http://schemas.openxmlformats.org/officeDocument/2006/relationships" name="07 Risks" sheetId="7" r:id="R6d33ab043ade42f5"/>
    <x:sheet xmlns:r="http://schemas.openxmlformats.org/officeDocument/2006/relationships" name="08 Architecture" sheetId="8" r:id="Rf39da636117c4387"/>
    <x:sheet xmlns:r="http://schemas.openxmlformats.org/officeDocument/2006/relationships" name="09 Release Checklist" sheetId="9" r:id="Rb3b86ea9f44f4925"/>
    <x:sheet xmlns:r="http://schemas.openxmlformats.org/officeDocument/2006/relationships" name="10 Change Log" sheetId="10" r:id="R02010590f4a846ac"/>
    <x:sheet xmlns:r="http://schemas.openxmlformats.org/officeDocument/2006/relationships" name="11 Scope &amp; Roadmap" sheetId="11" r:id="R926de77f8bcd44a1"/>
    <x:sheet xmlns:r="http://schemas.openxmlformats.org/officeDocument/2006/relationships" name="12 How to Use" sheetId="12" r:id="R3a4e7fd5769c4ceb"/>
    <x:sheet xmlns:r="http://schemas.openxmlformats.org/officeDocument/2006/relationships" name="13 UI Program" sheetId="13" r:id="R6144a6ae2fcf4c7b"/>
    <x:sheet xmlns:r="http://schemas.openxmlformats.org/officeDocument/2006/relationships" name="14 UI Scorecard" sheetId="14" r:id="R2ac4bf27331240ff"/>
    <x:sheet xmlns:r="http://schemas.openxmlformats.org/officeDocument/2006/relationships" name="15 Motion Guidance" sheetId="15" r:id="R2b1decae675042ef"/>
    <x:sheet xmlns:r="http://schemas.openxmlformats.org/officeDocument/2006/relationships" name="16 Design Standards" sheetId="16" r:id="Rd7fdc6d5eefc489d"/>
    <x:sheet xmlns:r="http://schemas.openxmlformats.org/officeDocument/2006/relationships" name="17 Corporate Platform" sheetId="17" r:id="Rf8c8332da5fc4aab"/>
    <x:sheet xmlns:r="http://schemas.openxmlformats.org/officeDocument/2006/relationships" name="18 Analytics Reuse Map" sheetId="18" r:id="R6f6e760583094897"/>
    <x:sheet xmlns:r="http://schemas.openxmlformats.org/officeDocument/2006/relationships" name="19 Executive Insights Discovery" sheetId="19" r:id="R6a6721695cc345ab"/>
    <x:sheet xmlns:r="http://schemas.openxmlformats.org/officeDocument/2006/relationships" name="20 Procurement Insights Discovery" sheetId="20" r:id="R962f23f6712640ff"/>
    <x:sheet xmlns:r="http://schemas.openxmlformats.org/officeDocument/2006/relationships" name="21 Commercial Insights Discovery" sheetId="21" r:id="Rc460973c09c24768"/>
    <x:sheet xmlns:r="http://schemas.openxmlformats.org/officeDocument/2006/relationships" name="22 Project Insights Discovery" sheetId="22" r:id="Rc610254f0ff04e89"/>
    <x:sheet xmlns:r="http://schemas.openxmlformats.org/officeDocument/2006/relationships" name="23 Performance Discovery" sheetId="23" r:id="R0b8d868833f54f69"/>
    <x:sheet xmlns:r="http://schemas.openxmlformats.org/officeDocument/2006/relationships" name="24 Risk Compliance Discovery" sheetId="24" r:id="R5b266c7794aa4dc5"/>
    <x:sheet xmlns:r="http://schemas.openxmlformats.org/officeDocument/2006/relationships" name="25 Commercial Handoff" sheetId="25" r:id="R4935f71ee9744669"/>
    <x:sheet xmlns:r="http://schemas.openxmlformats.org/officeDocument/2006/relationships" name="26 RFQ Governance" sheetId="26" r:id="R3674bb97d31d481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fa8ef9157846ea" /><Relationship Type="http://schemas.openxmlformats.org/officeDocument/2006/relationships/theme" Target="/xl/theme/theme1.xml" Id="Rdc44513b2df24492" /><Relationship Type="http://schemas.openxmlformats.org/officeDocument/2006/relationships/sharedStrings" Target="/xl/sharedStrings.xml" Id="R0c8af596b3be45f0" /><Relationship Type="http://schemas.openxmlformats.org/officeDocument/2006/relationships/worksheet" Target="/xl/worksheets/sheet1.xml" Id="Re15a36f58e614255" /><Relationship Type="http://schemas.openxmlformats.org/officeDocument/2006/relationships/worksheet" Target="/xl/worksheets/sheet2.xml" Id="Rb5df478b02454672" /><Relationship Type="http://schemas.openxmlformats.org/officeDocument/2006/relationships/worksheet" Target="/xl/worksheets/sheet3.xml" Id="R731b33a156af418a" /><Relationship Type="http://schemas.openxmlformats.org/officeDocument/2006/relationships/worksheet" Target="/xl/worksheets/sheet4.xml" Id="R53082e02112c401a" /><Relationship Type="http://schemas.openxmlformats.org/officeDocument/2006/relationships/worksheet" Target="/xl/worksheets/sheet5.xml" Id="R5ffda62685064a8b" /><Relationship Type="http://schemas.openxmlformats.org/officeDocument/2006/relationships/worksheet" Target="/xl/worksheets/sheet6.xml" Id="Rb3725757e7154aa9" /><Relationship Type="http://schemas.openxmlformats.org/officeDocument/2006/relationships/worksheet" Target="/xl/worksheets/sheet7.xml" Id="R6d33ab043ade42f5" /><Relationship Type="http://schemas.openxmlformats.org/officeDocument/2006/relationships/worksheet" Target="/xl/worksheets/sheet8.xml" Id="Rf39da636117c4387" /><Relationship Type="http://schemas.openxmlformats.org/officeDocument/2006/relationships/worksheet" Target="/xl/worksheets/sheet9.xml" Id="Rb3b86ea9f44f4925" /><Relationship Type="http://schemas.openxmlformats.org/officeDocument/2006/relationships/worksheet" Target="/xl/worksheets/sheet10.xml" Id="R02010590f4a846ac" /><Relationship Type="http://schemas.openxmlformats.org/officeDocument/2006/relationships/worksheet" Target="/xl/worksheets/sheet11.xml" Id="R926de77f8bcd44a1" /><Relationship Type="http://schemas.openxmlformats.org/officeDocument/2006/relationships/worksheet" Target="/xl/worksheets/sheet12.xml" Id="R3a4e7fd5769c4ceb" /><Relationship Type="http://schemas.openxmlformats.org/officeDocument/2006/relationships/worksheet" Target="/xl/worksheets/sheet13.xml" Id="R6144a6ae2fcf4c7b" /><Relationship Type="http://schemas.openxmlformats.org/officeDocument/2006/relationships/worksheet" Target="/xl/worksheets/sheet14.xml" Id="R2ac4bf27331240ff" /><Relationship Type="http://schemas.openxmlformats.org/officeDocument/2006/relationships/worksheet" Target="/xl/worksheets/sheet15.xml" Id="R2b1decae675042ef" /><Relationship Type="http://schemas.openxmlformats.org/officeDocument/2006/relationships/worksheet" Target="/xl/worksheets/sheet16.xml" Id="Rd7fdc6d5eefc489d" /><Relationship Type="http://schemas.openxmlformats.org/officeDocument/2006/relationships/worksheet" Target="/xl/worksheets/sheet17.xml" Id="Rf8c8332da5fc4aab" /><Relationship Type="http://schemas.openxmlformats.org/officeDocument/2006/relationships/worksheet" Target="/xl/worksheets/sheet18.xml" Id="R6f6e760583094897" /><Relationship Type="http://schemas.openxmlformats.org/officeDocument/2006/relationships/worksheet" Target="/xl/worksheets/sheet19.xml" Id="R6a6721695cc345ab" /><Relationship Type="http://schemas.openxmlformats.org/officeDocument/2006/relationships/worksheet" Target="/xl/worksheets/sheet20.xml" Id="R962f23f6712640ff" /><Relationship Type="http://schemas.openxmlformats.org/officeDocument/2006/relationships/worksheet" Target="/xl/worksheets/sheet21.xml" Id="Rc460973c09c24768" /><Relationship Type="http://schemas.openxmlformats.org/officeDocument/2006/relationships/worksheet" Target="/xl/worksheets/sheet22.xml" Id="Rc610254f0ff04e89" /><Relationship Type="http://schemas.openxmlformats.org/officeDocument/2006/relationships/worksheet" Target="/xl/worksheets/sheet23.xml" Id="R0b8d868833f54f69" /><Relationship Type="http://schemas.openxmlformats.org/officeDocument/2006/relationships/worksheet" Target="/xl/worksheets/sheet24.xml" Id="R5b266c7794aa4dc5" /><Relationship Type="http://schemas.openxmlformats.org/officeDocument/2006/relationships/worksheet" Target="/xl/worksheets/sheet25.xml" Id="R4935f71ee9744669" /><Relationship Type="http://schemas.openxmlformats.org/officeDocument/2006/relationships/worksheet" Target="/xl/worksheets/sheet26.xml" Id="R3674bb97d31d481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bbd72eb820c4bc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bbd72eb820c4bc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d4a7b3c97840dd" /></Relationships>
</file>

<file path=xl/worksheets/_rels/sheet2.xml.rels>&#65279;<?xml version="1.0" encoding="utf-8"?><Relationships xmlns="http://schemas.openxmlformats.org/package/2006/relationships"><Relationship Type="http://schemas.openxmlformats.org/officeDocument/2006/relationships/table" Target="/xl/tables/table2.xml" Id="R4db7e6e0478f4d34" /></Relationships>
</file>

<file path=xl/worksheets/_rels/sheet3.xml.rels>&#65279;<?xml version="1.0" encoding="utf-8"?><Relationships xmlns="http://schemas.openxmlformats.org/package/2006/relationships"><Relationship Type="http://schemas.openxmlformats.org/officeDocument/2006/relationships/drawing" Target="/xl/drawings/drawing1.xml" Id="R628e146b1cec4779" /></Relationships>
</file>

<file path=xl/worksheets/_rels/sheet4.xml.rels>&#65279;<?xml version="1.0" encoding="utf-8"?><Relationships xmlns="http://schemas.openxmlformats.org/package/2006/relationships"><Relationship Type="http://schemas.openxmlformats.org/officeDocument/2006/relationships/table" Target="/xl/tables/table3.xml" Id="Ra87227677da54894" /></Relationships>
</file>

<file path=xl/worksheets/_rels/sheet5.xml.rels>&#65279;<?xml version="1.0" encoding="utf-8"?><Relationships xmlns="http://schemas.openxmlformats.org/package/2006/relationships"><Relationship Type="http://schemas.openxmlformats.org/officeDocument/2006/relationships/table" Target="/xl/tables/table4.xml" Id="Ref17a80c5a224321" /></Relationships>
</file>

<file path=xl/worksheets/_rels/sheet6.xml.rels>&#65279;<?xml version="1.0" encoding="utf-8"?><Relationships xmlns="http://schemas.openxmlformats.org/package/2006/relationships"><Relationship Type="http://schemas.openxmlformats.org/officeDocument/2006/relationships/table" Target="/xl/tables/table5.xml" Id="R8c3f912acdd545ac" /></Relationships>
</file>

<file path=xl/worksheets/_rels/sheet7.xml.rels>&#65279;<?xml version="1.0" encoding="utf-8"?><Relationships xmlns="http://schemas.openxmlformats.org/package/2006/relationships"><Relationship Type="http://schemas.openxmlformats.org/officeDocument/2006/relationships/table" Target="/xl/tables/table6.xml" Id="R91d26e0856554944" /></Relationships>
</file>

<file path=xl/worksheets/_rels/sheet9.xml.rels>&#65279;<?xml version="1.0" encoding="utf-8"?><Relationships xmlns="http://schemas.openxmlformats.org/package/2006/relationships"><Relationship Type="http://schemas.openxmlformats.org/officeDocument/2006/relationships/table" Target="/xl/tables/table7.xml" Id="R53e313684da94ebe" /></Relationships>
</file>

<file path=xl/worksheets/_rels/sheet10.xml.rels>&#65279;<?xml version="1.0" encoding="utf-8"?><Relationships xmlns="http://schemas.openxmlformats.org/package/2006/relationships"><Relationship Type="http://schemas.openxmlformats.org/officeDocument/2006/relationships/table" Target="/xl/tables/table8.xml" Id="Rc118be9ec20a48b8" /></Relationships>
</file>

<file path=xl/worksheets/_rels/sheet11.xml.rels>&#65279;<?xml version="1.0" encoding="utf-8"?><Relationships xmlns="http://schemas.openxmlformats.org/package/2006/relationships"><Relationship Type="http://schemas.openxmlformats.org/officeDocument/2006/relationships/table" Target="/xl/tables/table9.xml" Id="R36bbb73f7c284d8f" /></Relationships>
</file>

<file path=xl/worksheets/_rels/sheet13.xml.rels>&#65279;<?xml version="1.0" encoding="utf-8"?><Relationships xmlns="http://schemas.openxmlformats.org/package/2006/relationships"><Relationship Type="http://schemas.openxmlformats.org/officeDocument/2006/relationships/table" Target="/xl/tables/table10.xml" Id="R1986c5118f574595" /></Relationships>
</file>

<file path=xl/worksheets/_rels/sheet14.xml.rels>&#65279;<?xml version="1.0" encoding="utf-8"?><Relationships xmlns="http://schemas.openxmlformats.org/package/2006/relationships"><Relationship Type="http://schemas.openxmlformats.org/officeDocument/2006/relationships/table" Target="/xl/tables/table11.xml" Id="Rc2dad36fece34746" /></Relationships>
</file>

<file path=xl/worksheets/_rels/sheet15.xml.rels>&#65279;<?xml version="1.0" encoding="utf-8"?><Relationships xmlns="http://schemas.openxmlformats.org/package/2006/relationships"><Relationship Type="http://schemas.openxmlformats.org/officeDocument/2006/relationships/table" Target="/xl/tables/table12.xml" Id="Re8496923920e4633" /></Relationships>
</file>

<file path=xl/worksheets/_rels/sheet16.xml.rels>&#65279;<?xml version="1.0" encoding="utf-8"?><Relationships xmlns="http://schemas.openxmlformats.org/package/2006/relationships"><Relationship Type="http://schemas.openxmlformats.org/officeDocument/2006/relationships/table" Target="/xl/tables/table13.xml" Id="R62cd8b4d34aa471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ad4a7b3c97840d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db7e6e0478f4d3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284</x:v>
      </x:c>
      <x:c r="D6" s="133" t="inlineStr">
        <x:is>
          <x:t xml:space="preserve">G0A — Corporate platform architecture ready</x:t>
        </x:is>
      </x:c>
      <x:c r="E6" s="32" t="str">
        <x:f>'03 Launch Gates'!D20</x:f>
        <x:v>Completed</x:v>
      </x:c>
      <x:c r="G6" t="inlineStr">
        <x:is>
          <x:t xml:space="preserve">UI Tasks Complete</x:t>
        </x:is>
      </x:c>
      <x:c r="H6" t="n">
        <x:f>SUM(B36:B46)</x:f>
        <x:v>62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0.773841961852861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0.8036363636363636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15</x:v>
      </x:c>
      <x:c r="C38" s="133" t="n">
        <x:f>COUNTIFS('01 Master Plan'!C$5:C$383,A38,'01 Master Plan'!H$5:H$383,"In Progress")</x:f>
        <x:v>0</x:v>
      </x:c>
      <x:c r="D38" s="133" t="n">
        <x:f>COUNTIFS('01 Master Plan'!C$5:C$383,A38,'01 Master Plan'!H$5:H$383,"Not Started")</x:f>
        <x:v>2</x:v>
      </x:c>
      <x:c r="E38" s="133" t="n">
        <x:f>COUNTIFS('01 Master Plan'!C$5:C$383,A38,'01 Master Plan'!H$5:H$383,"Blocked")</x:f>
        <x:v>0</x:v>
      </x:c>
      <x:c r="F38" s="133" t="n">
        <x:f>COUNTIFS('01 Master Plan'!C$5:C$383,A38,'01 Master Plan'!H$5:H$383,"Deferred")</x:f>
        <x:v>0</x:v>
      </x:c>
      <x:c r="G38" s="255" t="n">
        <x:f>IFERROR(B38/(B38+C38+D38+E38),0)</x:f>
        <x:v>0.8823529411764706</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28e146b1cec477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87227677da5489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f17a80c5a22432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c3f912acdd545ac"/>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1d26e085655494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3e313684da94eb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118be9ec20a48b8"/>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6bbb73f7c284d8f"/>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13C-15 complete. Shared component foundation now includes the reusable ExecutiveWorkflowStepper and ExecutiveIntelligenceCard alongside the standardized executive component contracts. Next: 13C-16 Create page/context header component.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986c5118f57459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2dad36fece3474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8496923920e463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2cd8b4d34aa471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