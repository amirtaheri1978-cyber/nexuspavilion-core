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94fca9defa1465a" /></Relationships>
</file>

<file path=xl/workbook.xml><?xml version="1.0" encoding="utf-8"?>
<x:workbook xmlns:x="http://schemas.openxmlformats.org/spreadsheetml/2006/main">
  <x:sheets>
    <x:sheet xmlns:r="http://schemas.openxmlformats.org/officeDocument/2006/relationships" name="01 Master Plan" sheetId="1" r:id="Rbecc0f1d085a4dab"/>
    <x:sheet xmlns:r="http://schemas.openxmlformats.org/officeDocument/2006/relationships" name="03 Launch Gates" sheetId="2" r:id="Rc460a475a18f4436"/>
    <x:sheet xmlns:r="http://schemas.openxmlformats.org/officeDocument/2006/relationships" name="00 Dashboard" sheetId="3" r:id="R38a03167747e46be"/>
    <x:sheet xmlns:r="http://schemas.openxmlformats.org/officeDocument/2006/relationships" name="04 Cursor Tasks" sheetId="4" r:id="Re4e7828a13084a33"/>
    <x:sheet xmlns:r="http://schemas.openxmlformats.org/officeDocument/2006/relationships" name="05 UAT Matrix" sheetId="5" r:id="R176623ba2c404059"/>
    <x:sheet xmlns:r="http://schemas.openxmlformats.org/officeDocument/2006/relationships" name="06 Security Matrix" sheetId="6" r:id="Rf9ed1c55be56465d"/>
    <x:sheet xmlns:r="http://schemas.openxmlformats.org/officeDocument/2006/relationships" name="07 Risks" sheetId="7" r:id="R984b711ea40740d1"/>
    <x:sheet xmlns:r="http://schemas.openxmlformats.org/officeDocument/2006/relationships" name="08 Architecture" sheetId="8" r:id="Rfcd88559c4cc45aa"/>
    <x:sheet xmlns:r="http://schemas.openxmlformats.org/officeDocument/2006/relationships" name="09 Release Checklist" sheetId="9" r:id="R042d14a51b1c4fd8"/>
    <x:sheet xmlns:r="http://schemas.openxmlformats.org/officeDocument/2006/relationships" name="10 Change Log" sheetId="10" r:id="R46887f590f1146e1"/>
    <x:sheet xmlns:r="http://schemas.openxmlformats.org/officeDocument/2006/relationships" name="11 Scope &amp; Roadmap" sheetId="11" r:id="R895b421aaad84246"/>
    <x:sheet xmlns:r="http://schemas.openxmlformats.org/officeDocument/2006/relationships" name="12 How to Use" sheetId="12" r:id="R28f0fb07653245b9"/>
    <x:sheet xmlns:r="http://schemas.openxmlformats.org/officeDocument/2006/relationships" name="13 UI Program" sheetId="13" r:id="R84b108322243427b"/>
    <x:sheet xmlns:r="http://schemas.openxmlformats.org/officeDocument/2006/relationships" name="14 UI Scorecard" sheetId="14" r:id="R0d6845a8e6254f59"/>
    <x:sheet xmlns:r="http://schemas.openxmlformats.org/officeDocument/2006/relationships" name="15 Motion Guidance" sheetId="15" r:id="R559cd34c36fd453f"/>
    <x:sheet xmlns:r="http://schemas.openxmlformats.org/officeDocument/2006/relationships" name="16 Design Standards" sheetId="16" r:id="R8501a646498f4283"/>
    <x:sheet xmlns:r="http://schemas.openxmlformats.org/officeDocument/2006/relationships" name="17 Corporate Platform" sheetId="17" r:id="Rb84c0038a40c4c24"/>
    <x:sheet xmlns:r="http://schemas.openxmlformats.org/officeDocument/2006/relationships" name="18 Analytics Reuse Map" sheetId="18" r:id="R3c2ec89f55014365"/>
    <x:sheet xmlns:r="http://schemas.openxmlformats.org/officeDocument/2006/relationships" name="19 Executive Insights Discovery" sheetId="19" r:id="R71b2e8db04ab4113"/>
    <x:sheet xmlns:r="http://schemas.openxmlformats.org/officeDocument/2006/relationships" name="20 Procurement Insights Discovery" sheetId="20" r:id="Ra3f5e23d717044b0"/>
    <x:sheet xmlns:r="http://schemas.openxmlformats.org/officeDocument/2006/relationships" name="21 Commercial Insights Discovery" sheetId="21" r:id="Rdf0c2c7043db4718"/>
    <x:sheet xmlns:r="http://schemas.openxmlformats.org/officeDocument/2006/relationships" name="22 Project Insights Discovery" sheetId="22" r:id="Rabf920ee52e74196"/>
    <x:sheet xmlns:r="http://schemas.openxmlformats.org/officeDocument/2006/relationships" name="23 Performance Discovery" sheetId="23" r:id="R362cd25b985748d0"/>
    <x:sheet xmlns:r="http://schemas.openxmlformats.org/officeDocument/2006/relationships" name="24 Risk Compliance Discovery" sheetId="24" r:id="Rf11bb2d7bc194147"/>
    <x:sheet xmlns:r="http://schemas.openxmlformats.org/officeDocument/2006/relationships" name="25 Commercial Handoff" sheetId="25" r:id="Rf169dd964bb34f0e"/>
    <x:sheet xmlns:r="http://schemas.openxmlformats.org/officeDocument/2006/relationships" name="26 RFQ Governance" sheetId="26" r:id="R77e540acde9f4f8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69d4ed5b4f1493a" /><Relationship Type="http://schemas.openxmlformats.org/officeDocument/2006/relationships/theme" Target="/xl/theme/theme1.xml" Id="R04117876cc46486b" /><Relationship Type="http://schemas.openxmlformats.org/officeDocument/2006/relationships/sharedStrings" Target="/xl/sharedStrings.xml" Id="R65659359554b4184" /><Relationship Type="http://schemas.openxmlformats.org/officeDocument/2006/relationships/worksheet" Target="/xl/worksheets/sheet1.xml" Id="Rbecc0f1d085a4dab" /><Relationship Type="http://schemas.openxmlformats.org/officeDocument/2006/relationships/worksheet" Target="/xl/worksheets/sheet2.xml" Id="Rc460a475a18f4436" /><Relationship Type="http://schemas.openxmlformats.org/officeDocument/2006/relationships/worksheet" Target="/xl/worksheets/sheet3.xml" Id="R38a03167747e46be" /><Relationship Type="http://schemas.openxmlformats.org/officeDocument/2006/relationships/worksheet" Target="/xl/worksheets/sheet4.xml" Id="Re4e7828a13084a33" /><Relationship Type="http://schemas.openxmlformats.org/officeDocument/2006/relationships/worksheet" Target="/xl/worksheets/sheet5.xml" Id="R176623ba2c404059" /><Relationship Type="http://schemas.openxmlformats.org/officeDocument/2006/relationships/worksheet" Target="/xl/worksheets/sheet6.xml" Id="Rf9ed1c55be56465d" /><Relationship Type="http://schemas.openxmlformats.org/officeDocument/2006/relationships/worksheet" Target="/xl/worksheets/sheet7.xml" Id="R984b711ea40740d1" /><Relationship Type="http://schemas.openxmlformats.org/officeDocument/2006/relationships/worksheet" Target="/xl/worksheets/sheet8.xml" Id="Rfcd88559c4cc45aa" /><Relationship Type="http://schemas.openxmlformats.org/officeDocument/2006/relationships/worksheet" Target="/xl/worksheets/sheet9.xml" Id="R042d14a51b1c4fd8" /><Relationship Type="http://schemas.openxmlformats.org/officeDocument/2006/relationships/worksheet" Target="/xl/worksheets/sheet10.xml" Id="R46887f590f1146e1" /><Relationship Type="http://schemas.openxmlformats.org/officeDocument/2006/relationships/worksheet" Target="/xl/worksheets/sheet11.xml" Id="R895b421aaad84246" /><Relationship Type="http://schemas.openxmlformats.org/officeDocument/2006/relationships/worksheet" Target="/xl/worksheets/sheet12.xml" Id="R28f0fb07653245b9" /><Relationship Type="http://schemas.openxmlformats.org/officeDocument/2006/relationships/worksheet" Target="/xl/worksheets/sheet13.xml" Id="R84b108322243427b" /><Relationship Type="http://schemas.openxmlformats.org/officeDocument/2006/relationships/worksheet" Target="/xl/worksheets/sheet14.xml" Id="R0d6845a8e6254f59" /><Relationship Type="http://schemas.openxmlformats.org/officeDocument/2006/relationships/worksheet" Target="/xl/worksheets/sheet15.xml" Id="R559cd34c36fd453f" /><Relationship Type="http://schemas.openxmlformats.org/officeDocument/2006/relationships/worksheet" Target="/xl/worksheets/sheet16.xml" Id="R8501a646498f4283" /><Relationship Type="http://schemas.openxmlformats.org/officeDocument/2006/relationships/worksheet" Target="/xl/worksheets/sheet17.xml" Id="Rb84c0038a40c4c24" /><Relationship Type="http://schemas.openxmlformats.org/officeDocument/2006/relationships/worksheet" Target="/xl/worksheets/sheet18.xml" Id="R3c2ec89f55014365" /><Relationship Type="http://schemas.openxmlformats.org/officeDocument/2006/relationships/worksheet" Target="/xl/worksheets/sheet19.xml" Id="R71b2e8db04ab4113" /><Relationship Type="http://schemas.openxmlformats.org/officeDocument/2006/relationships/worksheet" Target="/xl/worksheets/sheet20.xml" Id="Ra3f5e23d717044b0" /><Relationship Type="http://schemas.openxmlformats.org/officeDocument/2006/relationships/worksheet" Target="/xl/worksheets/sheet21.xml" Id="Rdf0c2c7043db4718" /><Relationship Type="http://schemas.openxmlformats.org/officeDocument/2006/relationships/worksheet" Target="/xl/worksheets/sheet22.xml" Id="Rabf920ee52e74196" /><Relationship Type="http://schemas.openxmlformats.org/officeDocument/2006/relationships/worksheet" Target="/xl/worksheets/sheet23.xml" Id="R362cd25b985748d0" /><Relationship Type="http://schemas.openxmlformats.org/officeDocument/2006/relationships/worksheet" Target="/xl/worksheets/sheet24.xml" Id="Rf11bb2d7bc194147" /><Relationship Type="http://schemas.openxmlformats.org/officeDocument/2006/relationships/worksheet" Target="/xl/worksheets/sheet25.xml" Id="Rf169dd964bb34f0e" /><Relationship Type="http://schemas.openxmlformats.org/officeDocument/2006/relationships/worksheet" Target="/xl/worksheets/sheet26.xml" Id="R77e540acde9f4f82" /></Relationships>
</file>

<file path=xl/drawings/_rels/drawing1.xml.rels>&#65279;<?xml version="1.0" encoding="utf-8"?><Relationships xmlns="http://schemas.openxmlformats.org/package/2006/relationships"><Relationship Type="http://schemas.openxmlformats.org/officeDocument/2006/relationships/chart" Target="/xl/drawings/charts/chart1.xml" Id="R86f9df41e76b48b1"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6f9df41e76b48b1"/>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f1ef87ac5a44d8a" /></Relationships>
</file>

<file path=xl/worksheets/_rels/sheet2.xml.rels>&#65279;<?xml version="1.0" encoding="utf-8"?><Relationships xmlns="http://schemas.openxmlformats.org/package/2006/relationships"><Relationship Type="http://schemas.openxmlformats.org/officeDocument/2006/relationships/table" Target="/xl/tables/table2.xml" Id="R81c236582fb9468d" /></Relationships>
</file>

<file path=xl/worksheets/_rels/sheet3.xml.rels>&#65279;<?xml version="1.0" encoding="utf-8"?><Relationships xmlns="http://schemas.openxmlformats.org/package/2006/relationships"><Relationship Type="http://schemas.openxmlformats.org/officeDocument/2006/relationships/drawing" Target="/xl/drawings/drawing1.xml" Id="R60acd3788dfb4b18" /></Relationships>
</file>

<file path=xl/worksheets/_rels/sheet4.xml.rels>&#65279;<?xml version="1.0" encoding="utf-8"?><Relationships xmlns="http://schemas.openxmlformats.org/package/2006/relationships"><Relationship Type="http://schemas.openxmlformats.org/officeDocument/2006/relationships/table" Target="/xl/tables/table3.xml" Id="R6e3cb0bef16c44cc" /></Relationships>
</file>

<file path=xl/worksheets/_rels/sheet5.xml.rels>&#65279;<?xml version="1.0" encoding="utf-8"?><Relationships xmlns="http://schemas.openxmlformats.org/package/2006/relationships"><Relationship Type="http://schemas.openxmlformats.org/officeDocument/2006/relationships/table" Target="/xl/tables/table4.xml" Id="R3ae3aa0d837f4c15" /></Relationships>
</file>

<file path=xl/worksheets/_rels/sheet6.xml.rels>&#65279;<?xml version="1.0" encoding="utf-8"?><Relationships xmlns="http://schemas.openxmlformats.org/package/2006/relationships"><Relationship Type="http://schemas.openxmlformats.org/officeDocument/2006/relationships/table" Target="/xl/tables/table5.xml" Id="R08d523ed163c4742" /></Relationships>
</file>

<file path=xl/worksheets/_rels/sheet7.xml.rels>&#65279;<?xml version="1.0" encoding="utf-8"?><Relationships xmlns="http://schemas.openxmlformats.org/package/2006/relationships"><Relationship Type="http://schemas.openxmlformats.org/officeDocument/2006/relationships/table" Target="/xl/tables/table6.xml" Id="Re75cbbfc31444a4d" /></Relationships>
</file>

<file path=xl/worksheets/_rels/sheet9.xml.rels>&#65279;<?xml version="1.0" encoding="utf-8"?><Relationships xmlns="http://schemas.openxmlformats.org/package/2006/relationships"><Relationship Type="http://schemas.openxmlformats.org/officeDocument/2006/relationships/table" Target="/xl/tables/table7.xml" Id="R05d330683cb24caf" /></Relationships>
</file>

<file path=xl/worksheets/_rels/sheet10.xml.rels>&#65279;<?xml version="1.0" encoding="utf-8"?><Relationships xmlns="http://schemas.openxmlformats.org/package/2006/relationships"><Relationship Type="http://schemas.openxmlformats.org/officeDocument/2006/relationships/table" Target="/xl/tables/table8.xml" Id="R944645493e0449d1" /></Relationships>
</file>

<file path=xl/worksheets/_rels/sheet11.xml.rels>&#65279;<?xml version="1.0" encoding="utf-8"?><Relationships xmlns="http://schemas.openxmlformats.org/package/2006/relationships"><Relationship Type="http://schemas.openxmlformats.org/officeDocument/2006/relationships/table" Target="/xl/tables/table9.xml" Id="Rc394c35b65a945f7" /></Relationships>
</file>

<file path=xl/worksheets/_rels/sheet13.xml.rels>&#65279;<?xml version="1.0" encoding="utf-8"?><Relationships xmlns="http://schemas.openxmlformats.org/package/2006/relationships"><Relationship Type="http://schemas.openxmlformats.org/officeDocument/2006/relationships/table" Target="/xl/tables/table10.xml" Id="R1b6b8cc7674142a1" /></Relationships>
</file>

<file path=xl/worksheets/_rels/sheet14.xml.rels>&#65279;<?xml version="1.0" encoding="utf-8"?><Relationships xmlns="http://schemas.openxmlformats.org/package/2006/relationships"><Relationship Type="http://schemas.openxmlformats.org/officeDocument/2006/relationships/table" Target="/xl/tables/table11.xml" Id="Ra3fe4b03f625454d" /></Relationships>
</file>

<file path=xl/worksheets/_rels/sheet15.xml.rels>&#65279;<?xml version="1.0" encoding="utf-8"?><Relationships xmlns="http://schemas.openxmlformats.org/package/2006/relationships"><Relationship Type="http://schemas.openxmlformats.org/officeDocument/2006/relationships/table" Target="/xl/tables/table12.xml" Id="R8981a1a78e704b2a" /></Relationships>
</file>

<file path=xl/worksheets/_rels/sheet16.xml.rels>&#65279;<?xml version="1.0" encoding="utf-8"?><Relationships xmlns="http://schemas.openxmlformats.org/package/2006/relationships"><Relationship Type="http://schemas.openxmlformats.org/officeDocument/2006/relationships/table" Target="/xl/tables/table13.xml" Id="R91901220546c460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f1ef87ac5a44d8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In Progress</x:v>
      </x:c>
      <x:c r="E16" s="133" t="str">
        <x:v>Project Owner / Engineering</x:v>
      </x:c>
      <x:c r="F16" s="133" t="str">
        <x:v>G11 IN PROGRESS — Phase 20 Launch Documentation is underway. 20-01 through 20-07 are published and closed: Getting Started, Create Company, Create RFQ, Invite Companies, Respond to RFQ, Submit RFI, and Submit Quote. Documentation now covers the full respondent path through governed quotation submission and material-amendment revalidation. G11 remains open pending 20-08 through 20-12.</x:v>
      </x:c>
      <x:c r="G16" s="249" t="n">
        <x:v>46295</x:v>
      </x:c>
      <x:c r="H16" s="32" t="str">
        <x:v>Do not mark G11 complete until all launch documentation and support-path tasks 20-01 through 20-12 are complete, internally consistent, and reviewed.</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1c236582fb9468d"/>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239</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0.6512261580381471</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0.6545454545454545</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10</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In Progress</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7</x:v>
      </x:c>
      <x:c r="C53" s="28" t="n">
        <x:f>COUNTIFS('01 Master Plan'!C$5:C$383,A53,'01 Master Plan'!H$5:H$383,"In Progress")</x:f>
        <x:v>0</x:v>
      </x:c>
      <x:c r="D53" s="28" t="n">
        <x:f>COUNTIFS('01 Master Plan'!C$5:C$383,A53,'01 Master Plan'!H$5:H$383,"Not Started")</x:f>
        <x:v>5</x:v>
      </x:c>
      <x:c r="E53" s="28" t="n">
        <x:f>COUNTIFS('01 Master Plan'!C$5:C$383,A53,'01 Master Plan'!H$5:H$383,"Blocked")</x:f>
        <x:v>0</x:v>
      </x:c>
      <x:c r="F53" s="28" t="n">
        <x:f>COUNTIFS('01 Master Plan'!C$5:C$383,A53,'01 Master Plan'!H$5:H$383,"Deferred")</x:f>
        <x:v>0</x:v>
      </x:c>
      <x:c r="G53" s="258" t="n">
        <x:f>IFERROR(B53/(B53+C53+D53+E53),0)</x:f>
        <x:v>0.5833333333333334</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60acd3788dfb4b18"/>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6e3cb0bef16c44cc"/>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3ae3aa0d837f4c15"/>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08d523ed163c4742"/>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e75cbbfc31444a4d"/>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05d330683cb24caf"/>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944645493e0449d1"/>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c394c35b65a945f7"/>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1b6b8cc7674142a1"/>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a3fe4b03f625454d"/>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8981a1a78e704b2a"/>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91901220546c460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