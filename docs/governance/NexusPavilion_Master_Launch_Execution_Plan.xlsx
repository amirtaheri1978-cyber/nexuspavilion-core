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d1513d089b4314" /></Relationships>
</file>

<file path=xl/workbook.xml><?xml version="1.0" encoding="utf-8"?>
<x:workbook xmlns:x="http://schemas.openxmlformats.org/spreadsheetml/2006/main">
  <x:sheets>
    <x:sheet xmlns:r="http://schemas.openxmlformats.org/officeDocument/2006/relationships" name="01 Master Plan" sheetId="1" r:id="R05e71e4cb386442d"/>
    <x:sheet xmlns:r="http://schemas.openxmlformats.org/officeDocument/2006/relationships" name="03 Launch Gates" sheetId="2" r:id="Rfba2fc853c47481a"/>
    <x:sheet xmlns:r="http://schemas.openxmlformats.org/officeDocument/2006/relationships" name="00 Dashboard" sheetId="3" r:id="R4cb98f64a0574b5c"/>
    <x:sheet xmlns:r="http://schemas.openxmlformats.org/officeDocument/2006/relationships" name="04 Cursor Tasks" sheetId="4" r:id="Rab0131ba18b44007"/>
    <x:sheet xmlns:r="http://schemas.openxmlformats.org/officeDocument/2006/relationships" name="05 UAT Matrix" sheetId="5" r:id="R410476e5bbf044f9"/>
    <x:sheet xmlns:r="http://schemas.openxmlformats.org/officeDocument/2006/relationships" name="06 Security Matrix" sheetId="6" r:id="Rd78bf50546f04147"/>
    <x:sheet xmlns:r="http://schemas.openxmlformats.org/officeDocument/2006/relationships" name="07 Risks" sheetId="7" r:id="R4ce69c83cd28428b"/>
    <x:sheet xmlns:r="http://schemas.openxmlformats.org/officeDocument/2006/relationships" name="08 Architecture" sheetId="8" r:id="R1f8b2be5d6084609"/>
    <x:sheet xmlns:r="http://schemas.openxmlformats.org/officeDocument/2006/relationships" name="09 Release Checklist" sheetId="9" r:id="Ra0e78837db5d41e8"/>
    <x:sheet xmlns:r="http://schemas.openxmlformats.org/officeDocument/2006/relationships" name="10 Change Log" sheetId="10" r:id="R0f2d1800622f49e6"/>
    <x:sheet xmlns:r="http://schemas.openxmlformats.org/officeDocument/2006/relationships" name="11 Scope &amp; Roadmap" sheetId="11" r:id="Rfda32256c1f24edc"/>
    <x:sheet xmlns:r="http://schemas.openxmlformats.org/officeDocument/2006/relationships" name="12 How to Use" sheetId="12" r:id="Rea621ba3ef3b4899"/>
    <x:sheet xmlns:r="http://schemas.openxmlformats.org/officeDocument/2006/relationships" name="13 UI Program" sheetId="13" r:id="Rb608e11f416640e8"/>
    <x:sheet xmlns:r="http://schemas.openxmlformats.org/officeDocument/2006/relationships" name="14 UI Scorecard" sheetId="14" r:id="Ref4d839ec12342e0"/>
    <x:sheet xmlns:r="http://schemas.openxmlformats.org/officeDocument/2006/relationships" name="15 Motion Guidance" sheetId="15" r:id="R66b8e6b7bc58446a"/>
    <x:sheet xmlns:r="http://schemas.openxmlformats.org/officeDocument/2006/relationships" name="16 Design Standards" sheetId="16" r:id="Rc13be26946ea4016"/>
    <x:sheet xmlns:r="http://schemas.openxmlformats.org/officeDocument/2006/relationships" name="17 Corporate Platform" sheetId="17" r:id="R89a56dbc92844f3c"/>
    <x:sheet xmlns:r="http://schemas.openxmlformats.org/officeDocument/2006/relationships" name="18 Analytics Reuse Map" sheetId="18" r:id="Rcce8453f7e2a4696"/>
    <x:sheet xmlns:r="http://schemas.openxmlformats.org/officeDocument/2006/relationships" name="19 Executive Insights Discovery" sheetId="19" r:id="R8b6a45ea16de4ed4"/>
    <x:sheet xmlns:r="http://schemas.openxmlformats.org/officeDocument/2006/relationships" name="20 Procurement Insights Discovery" sheetId="20" r:id="R4491e5ccd6db4e7a"/>
    <x:sheet xmlns:r="http://schemas.openxmlformats.org/officeDocument/2006/relationships" name="21 Commercial Insights Discovery" sheetId="21" r:id="Rb57779f456f5490a"/>
    <x:sheet xmlns:r="http://schemas.openxmlformats.org/officeDocument/2006/relationships" name="22 Project Insights Discovery" sheetId="22" r:id="Rc5467ca2d28b423c"/>
    <x:sheet xmlns:r="http://schemas.openxmlformats.org/officeDocument/2006/relationships" name="23 Performance Discovery" sheetId="23" r:id="R52f6b6572d8b42c8"/>
    <x:sheet xmlns:r="http://schemas.openxmlformats.org/officeDocument/2006/relationships" name="24 Risk Compliance Discovery" sheetId="24" r:id="Rd3921c7752354356"/>
    <x:sheet xmlns:r="http://schemas.openxmlformats.org/officeDocument/2006/relationships" name="25 Commercial Handoff" sheetId="25" r:id="Ra3e781277c5e420e"/>
    <x:sheet xmlns:r="http://schemas.openxmlformats.org/officeDocument/2006/relationships" name="26 RFQ Governance" sheetId="26" r:id="Rf685145248e448c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85188c1b95d4516" /><Relationship Type="http://schemas.openxmlformats.org/officeDocument/2006/relationships/theme" Target="/xl/theme/theme1.xml" Id="Ra517d25f33f74d35" /><Relationship Type="http://schemas.openxmlformats.org/officeDocument/2006/relationships/sharedStrings" Target="/xl/sharedStrings.xml" Id="R3b9062777e354853" /><Relationship Type="http://schemas.openxmlformats.org/officeDocument/2006/relationships/worksheet" Target="/xl/worksheets/sheet1.xml" Id="R05e71e4cb386442d" /><Relationship Type="http://schemas.openxmlformats.org/officeDocument/2006/relationships/worksheet" Target="/xl/worksheets/sheet2.xml" Id="Rfba2fc853c47481a" /><Relationship Type="http://schemas.openxmlformats.org/officeDocument/2006/relationships/worksheet" Target="/xl/worksheets/sheet3.xml" Id="R4cb98f64a0574b5c" /><Relationship Type="http://schemas.openxmlformats.org/officeDocument/2006/relationships/worksheet" Target="/xl/worksheets/sheet4.xml" Id="Rab0131ba18b44007" /><Relationship Type="http://schemas.openxmlformats.org/officeDocument/2006/relationships/worksheet" Target="/xl/worksheets/sheet5.xml" Id="R410476e5bbf044f9" /><Relationship Type="http://schemas.openxmlformats.org/officeDocument/2006/relationships/worksheet" Target="/xl/worksheets/sheet6.xml" Id="Rd78bf50546f04147" /><Relationship Type="http://schemas.openxmlformats.org/officeDocument/2006/relationships/worksheet" Target="/xl/worksheets/sheet7.xml" Id="R4ce69c83cd28428b" /><Relationship Type="http://schemas.openxmlformats.org/officeDocument/2006/relationships/worksheet" Target="/xl/worksheets/sheet8.xml" Id="R1f8b2be5d6084609" /><Relationship Type="http://schemas.openxmlformats.org/officeDocument/2006/relationships/worksheet" Target="/xl/worksheets/sheet9.xml" Id="Ra0e78837db5d41e8" /><Relationship Type="http://schemas.openxmlformats.org/officeDocument/2006/relationships/worksheet" Target="/xl/worksheets/sheet10.xml" Id="R0f2d1800622f49e6" /><Relationship Type="http://schemas.openxmlformats.org/officeDocument/2006/relationships/worksheet" Target="/xl/worksheets/sheet11.xml" Id="Rfda32256c1f24edc" /><Relationship Type="http://schemas.openxmlformats.org/officeDocument/2006/relationships/worksheet" Target="/xl/worksheets/sheet12.xml" Id="Rea621ba3ef3b4899" /><Relationship Type="http://schemas.openxmlformats.org/officeDocument/2006/relationships/worksheet" Target="/xl/worksheets/sheet13.xml" Id="Rb608e11f416640e8" /><Relationship Type="http://schemas.openxmlformats.org/officeDocument/2006/relationships/worksheet" Target="/xl/worksheets/sheet14.xml" Id="Ref4d839ec12342e0" /><Relationship Type="http://schemas.openxmlformats.org/officeDocument/2006/relationships/worksheet" Target="/xl/worksheets/sheet15.xml" Id="R66b8e6b7bc58446a" /><Relationship Type="http://schemas.openxmlformats.org/officeDocument/2006/relationships/worksheet" Target="/xl/worksheets/sheet16.xml" Id="Rc13be26946ea4016" /><Relationship Type="http://schemas.openxmlformats.org/officeDocument/2006/relationships/worksheet" Target="/xl/worksheets/sheet17.xml" Id="R89a56dbc92844f3c" /><Relationship Type="http://schemas.openxmlformats.org/officeDocument/2006/relationships/worksheet" Target="/xl/worksheets/sheet18.xml" Id="Rcce8453f7e2a4696" /><Relationship Type="http://schemas.openxmlformats.org/officeDocument/2006/relationships/worksheet" Target="/xl/worksheets/sheet19.xml" Id="R8b6a45ea16de4ed4" /><Relationship Type="http://schemas.openxmlformats.org/officeDocument/2006/relationships/worksheet" Target="/xl/worksheets/sheet20.xml" Id="R4491e5ccd6db4e7a" /><Relationship Type="http://schemas.openxmlformats.org/officeDocument/2006/relationships/worksheet" Target="/xl/worksheets/sheet21.xml" Id="Rb57779f456f5490a" /><Relationship Type="http://schemas.openxmlformats.org/officeDocument/2006/relationships/worksheet" Target="/xl/worksheets/sheet22.xml" Id="Rc5467ca2d28b423c" /><Relationship Type="http://schemas.openxmlformats.org/officeDocument/2006/relationships/worksheet" Target="/xl/worksheets/sheet23.xml" Id="R52f6b6572d8b42c8" /><Relationship Type="http://schemas.openxmlformats.org/officeDocument/2006/relationships/worksheet" Target="/xl/worksheets/sheet24.xml" Id="Rd3921c7752354356" /><Relationship Type="http://schemas.openxmlformats.org/officeDocument/2006/relationships/worksheet" Target="/xl/worksheets/sheet25.xml" Id="Ra3e781277c5e420e" /><Relationship Type="http://schemas.openxmlformats.org/officeDocument/2006/relationships/worksheet" Target="/xl/worksheets/sheet26.xml" Id="Rf685145248e448cf" /></Relationships>
</file>

<file path=xl/drawings/_rels/drawing1.xml.rels>&#65279;<?xml version="1.0" encoding="utf-8"?><Relationships xmlns="http://schemas.openxmlformats.org/package/2006/relationships"><Relationship Type="http://schemas.openxmlformats.org/officeDocument/2006/relationships/chart" Target="/xl/drawings/charts/chart1.xml" Id="R219081027cf14cd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19081027cf14cd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09e2bd8edfc4e68" /></Relationships>
</file>

<file path=xl/worksheets/_rels/sheet2.xml.rels>&#65279;<?xml version="1.0" encoding="utf-8"?><Relationships xmlns="http://schemas.openxmlformats.org/package/2006/relationships"><Relationship Type="http://schemas.openxmlformats.org/officeDocument/2006/relationships/table" Target="/xl/tables/table2.xml" Id="R4eb081382b1e43d0" /></Relationships>
</file>

<file path=xl/worksheets/_rels/sheet3.xml.rels>&#65279;<?xml version="1.0" encoding="utf-8"?><Relationships xmlns="http://schemas.openxmlformats.org/package/2006/relationships"><Relationship Type="http://schemas.openxmlformats.org/officeDocument/2006/relationships/drawing" Target="/xl/drawings/drawing1.xml" Id="R730223ef2ed44733" /></Relationships>
</file>

<file path=xl/worksheets/_rels/sheet4.xml.rels>&#65279;<?xml version="1.0" encoding="utf-8"?><Relationships xmlns="http://schemas.openxmlformats.org/package/2006/relationships"><Relationship Type="http://schemas.openxmlformats.org/officeDocument/2006/relationships/table" Target="/xl/tables/table3.xml" Id="Radb67ea7ef834026" /></Relationships>
</file>

<file path=xl/worksheets/_rels/sheet5.xml.rels>&#65279;<?xml version="1.0" encoding="utf-8"?><Relationships xmlns="http://schemas.openxmlformats.org/package/2006/relationships"><Relationship Type="http://schemas.openxmlformats.org/officeDocument/2006/relationships/table" Target="/xl/tables/table4.xml" Id="Rbc26231aa48b4fa2" /></Relationships>
</file>

<file path=xl/worksheets/_rels/sheet6.xml.rels>&#65279;<?xml version="1.0" encoding="utf-8"?><Relationships xmlns="http://schemas.openxmlformats.org/package/2006/relationships"><Relationship Type="http://schemas.openxmlformats.org/officeDocument/2006/relationships/table" Target="/xl/tables/table5.xml" Id="Rd93f978843124cf1" /></Relationships>
</file>

<file path=xl/worksheets/_rels/sheet7.xml.rels>&#65279;<?xml version="1.0" encoding="utf-8"?><Relationships xmlns="http://schemas.openxmlformats.org/package/2006/relationships"><Relationship Type="http://schemas.openxmlformats.org/officeDocument/2006/relationships/table" Target="/xl/tables/table6.xml" Id="Rab40c583a5a34b62" /></Relationships>
</file>

<file path=xl/worksheets/_rels/sheet9.xml.rels>&#65279;<?xml version="1.0" encoding="utf-8"?><Relationships xmlns="http://schemas.openxmlformats.org/package/2006/relationships"><Relationship Type="http://schemas.openxmlformats.org/officeDocument/2006/relationships/table" Target="/xl/tables/table7.xml" Id="R88a3c599a749402c" /></Relationships>
</file>

<file path=xl/worksheets/_rels/sheet10.xml.rels>&#65279;<?xml version="1.0" encoding="utf-8"?><Relationships xmlns="http://schemas.openxmlformats.org/package/2006/relationships"><Relationship Type="http://schemas.openxmlformats.org/officeDocument/2006/relationships/table" Target="/xl/tables/table8.xml" Id="R54818274eb0347bc" /></Relationships>
</file>

<file path=xl/worksheets/_rels/sheet11.xml.rels>&#65279;<?xml version="1.0" encoding="utf-8"?><Relationships xmlns="http://schemas.openxmlformats.org/package/2006/relationships"><Relationship Type="http://schemas.openxmlformats.org/officeDocument/2006/relationships/table" Target="/xl/tables/table9.xml" Id="R6bfd348c3f254560" /></Relationships>
</file>

<file path=xl/worksheets/_rels/sheet13.xml.rels>&#65279;<?xml version="1.0" encoding="utf-8"?><Relationships xmlns="http://schemas.openxmlformats.org/package/2006/relationships"><Relationship Type="http://schemas.openxmlformats.org/officeDocument/2006/relationships/table" Target="/xl/tables/table10.xml" Id="R234f33065a144baa" /></Relationships>
</file>

<file path=xl/worksheets/_rels/sheet14.xml.rels>&#65279;<?xml version="1.0" encoding="utf-8"?><Relationships xmlns="http://schemas.openxmlformats.org/package/2006/relationships"><Relationship Type="http://schemas.openxmlformats.org/officeDocument/2006/relationships/table" Target="/xl/tables/table11.xml" Id="R2e17948397c44f88" /></Relationships>
</file>

<file path=xl/worksheets/_rels/sheet15.xml.rels>&#65279;<?xml version="1.0" encoding="utf-8"?><Relationships xmlns="http://schemas.openxmlformats.org/package/2006/relationships"><Relationship Type="http://schemas.openxmlformats.org/officeDocument/2006/relationships/table" Target="/xl/tables/table12.xml" Id="R64cd1ee01dc04fc9" /></Relationships>
</file>

<file path=xl/worksheets/_rels/sheet16.xml.rels>&#65279;<?xml version="1.0" encoding="utf-8"?><Relationships xmlns="http://schemas.openxmlformats.org/package/2006/relationships"><Relationship Type="http://schemas.openxmlformats.org/officeDocument/2006/relationships/table" Target="/xl/tables/table13.xml" Id="R6419ffb7e1c04c9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09e2bd8edfc4e6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eb081382b1e43d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253</x:v>
      </x:c>
      <x:c r="D6" s="133" t="inlineStr">
        <x:is>
          <x:t xml:space="preserve">G0A — Corporate platform architecture ready</x:t>
        </x:is>
      </x:c>
      <x:c r="E6" s="32" t="str">
        <x:f>'03 Launch Gates'!D20</x:f>
        <x:v>Completed</x:v>
      </x:c>
      <x:c r="G6" t="inlineStr">
        <x:is>
          <x:t xml:space="preserve">UI Tasks Complete</x:t>
        </x:is>
      </x:c>
      <x:c r="H6" t="n">
        <x:f>SUM(B36:B46)</x:f>
        <x:v>31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0.6893732970027248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0.7054545454545454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6</x:v>
      </x:c>
      <x:c r="C36" s="133" t="n">
        <x:f>COUNTIFS('01 Master Plan'!C$5:C$383,A36,'01 Master Plan'!H$5:H$383,"In Progress")</x:f>
        <x:v>0</x:v>
      </x:c>
      <x:c r="D36" s="133" t="n">
        <x:f>COUNTIFS('01 Master Plan'!C$5:C$383,A36,'01 Master Plan'!H$5:H$383,"Not Started")</x:f>
        <x:v>4</x:v>
      </x:c>
      <x:c r="E36" s="133" t="n">
        <x:f>COUNTIFS('01 Master Plan'!C$5:C$383,A36,'01 Master Plan'!H$5:H$383,"Blocked")</x:f>
        <x:v>0</x:v>
      </x:c>
      <x:c r="F36" s="133" t="n">
        <x:f>COUNTIFS('01 Master Plan'!C$5:C$383,A36,'01 Master Plan'!H$5:H$383,"Deferred")</x:f>
        <x:v>0</x:v>
      </x:c>
      <x:c r="G36" s="255" t="n">
        <x:f>IFERROR(B36/(B36+C36+D36+E36),0)</x:f>
        <x:v>0.6</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30223ef2ed4473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db67ea7ef83402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c26231aa48b4fa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93f978843124cf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b40c583a5a34b6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8a3c599a749402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4818274eb0347b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bfd348c3f25456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34f33065a144ba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e17948397c44f8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64cd1ee01dc04fc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419ffb7e1c04c9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