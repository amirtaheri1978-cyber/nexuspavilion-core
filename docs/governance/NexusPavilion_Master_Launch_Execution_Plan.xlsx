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37f3f2735564c68" /></Relationships>
</file>

<file path=xl/workbook.xml><?xml version="1.0" encoding="utf-8"?>
<x:workbook xmlns:x="http://schemas.openxmlformats.org/spreadsheetml/2006/main">
  <x:sheets>
    <x:sheet xmlns:r="http://schemas.openxmlformats.org/officeDocument/2006/relationships" name="01 Master Plan" sheetId="1" r:id="R5288d0a355be451a"/>
    <x:sheet xmlns:r="http://schemas.openxmlformats.org/officeDocument/2006/relationships" name="03 Launch Gates" sheetId="2" r:id="Reeab0fa5b3ea4ead"/>
    <x:sheet xmlns:r="http://schemas.openxmlformats.org/officeDocument/2006/relationships" name="00 Dashboard" sheetId="3" r:id="R96f4a02240414f77"/>
    <x:sheet xmlns:r="http://schemas.openxmlformats.org/officeDocument/2006/relationships" name="04 Cursor Tasks" sheetId="4" r:id="Ra367d91585c841c6"/>
    <x:sheet xmlns:r="http://schemas.openxmlformats.org/officeDocument/2006/relationships" name="05 UAT Matrix" sheetId="5" r:id="R515b36db4e7c4472"/>
    <x:sheet xmlns:r="http://schemas.openxmlformats.org/officeDocument/2006/relationships" name="06 Security Matrix" sheetId="6" r:id="R59f4b3200efb4201"/>
    <x:sheet xmlns:r="http://schemas.openxmlformats.org/officeDocument/2006/relationships" name="07 Risks" sheetId="7" r:id="Rc1f0da4b193b4927"/>
    <x:sheet xmlns:r="http://schemas.openxmlformats.org/officeDocument/2006/relationships" name="08 Architecture" sheetId="8" r:id="R92a1edee0866489a"/>
    <x:sheet xmlns:r="http://schemas.openxmlformats.org/officeDocument/2006/relationships" name="09 Release Checklist" sheetId="9" r:id="R6518162efda34c1e"/>
    <x:sheet xmlns:r="http://schemas.openxmlformats.org/officeDocument/2006/relationships" name="10 Change Log" sheetId="10" r:id="R1060b4f7f8ed425f"/>
    <x:sheet xmlns:r="http://schemas.openxmlformats.org/officeDocument/2006/relationships" name="11 Scope &amp; Roadmap" sheetId="11" r:id="Rfd94d1be01f04a7c"/>
    <x:sheet xmlns:r="http://schemas.openxmlformats.org/officeDocument/2006/relationships" name="12 How to Use" sheetId="12" r:id="R8aeed76deaa643c2"/>
    <x:sheet xmlns:r="http://schemas.openxmlformats.org/officeDocument/2006/relationships" name="13 UI Program" sheetId="13" r:id="R7070a8a216f7420f"/>
    <x:sheet xmlns:r="http://schemas.openxmlformats.org/officeDocument/2006/relationships" name="14 UI Scorecard" sheetId="14" r:id="R58eb71cc80d24d2e"/>
    <x:sheet xmlns:r="http://schemas.openxmlformats.org/officeDocument/2006/relationships" name="15 Motion Guidance" sheetId="15" r:id="R9f5b250f1bf24e38"/>
    <x:sheet xmlns:r="http://schemas.openxmlformats.org/officeDocument/2006/relationships" name="16 Design Standards" sheetId="16" r:id="Ra83c20f5266c427c"/>
    <x:sheet xmlns:r="http://schemas.openxmlformats.org/officeDocument/2006/relationships" name="17 Corporate Platform" sheetId="17" r:id="R3ddd594f34d64284"/>
    <x:sheet xmlns:r="http://schemas.openxmlformats.org/officeDocument/2006/relationships" name="18 Analytics Reuse Map" sheetId="18" r:id="Rd5fc80b1dc164093"/>
    <x:sheet xmlns:r="http://schemas.openxmlformats.org/officeDocument/2006/relationships" name="19 Executive Insights Discovery" sheetId="19" r:id="Rec6f09769f634000"/>
    <x:sheet xmlns:r="http://schemas.openxmlformats.org/officeDocument/2006/relationships" name="20 Procurement Insights Discovery" sheetId="20" r:id="R78e8152a295f4385"/>
    <x:sheet xmlns:r="http://schemas.openxmlformats.org/officeDocument/2006/relationships" name="21 Commercial Insights Discovery" sheetId="21" r:id="Rce3a765e6c6140bd"/>
    <x:sheet xmlns:r="http://schemas.openxmlformats.org/officeDocument/2006/relationships" name="22 Project Insights Discovery" sheetId="22" r:id="Rd4c7b638dc3e493e"/>
    <x:sheet xmlns:r="http://schemas.openxmlformats.org/officeDocument/2006/relationships" name="23 Performance Discovery" sheetId="23" r:id="R8764c188d8064b13"/>
    <x:sheet xmlns:r="http://schemas.openxmlformats.org/officeDocument/2006/relationships" name="24 Risk Compliance Discovery" sheetId="24" r:id="Rfad81aa1dd4d4ff2"/>
    <x:sheet xmlns:r="http://schemas.openxmlformats.org/officeDocument/2006/relationships" name="25 Commercial Handoff" sheetId="25" r:id="Raba0404532ff4486"/>
    <x:sheet xmlns:r="http://schemas.openxmlformats.org/officeDocument/2006/relationships" name="26 RFQ Governance" sheetId="26" r:id="R682c692c0b67443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1278954f3b747da" /><Relationship Type="http://schemas.openxmlformats.org/officeDocument/2006/relationships/theme" Target="/xl/theme/theme1.xml" Id="R20f4328906614e15" /><Relationship Type="http://schemas.openxmlformats.org/officeDocument/2006/relationships/sharedStrings" Target="/xl/sharedStrings.xml" Id="R90384b34fe3949dd" /><Relationship Type="http://schemas.openxmlformats.org/officeDocument/2006/relationships/worksheet" Target="/xl/worksheets/sheet1.xml" Id="R5288d0a355be451a" /><Relationship Type="http://schemas.openxmlformats.org/officeDocument/2006/relationships/worksheet" Target="/xl/worksheets/sheet2.xml" Id="Reeab0fa5b3ea4ead" /><Relationship Type="http://schemas.openxmlformats.org/officeDocument/2006/relationships/worksheet" Target="/xl/worksheets/sheet3.xml" Id="R96f4a02240414f77" /><Relationship Type="http://schemas.openxmlformats.org/officeDocument/2006/relationships/worksheet" Target="/xl/worksheets/sheet4.xml" Id="Ra367d91585c841c6" /><Relationship Type="http://schemas.openxmlformats.org/officeDocument/2006/relationships/worksheet" Target="/xl/worksheets/sheet5.xml" Id="R515b36db4e7c4472" /><Relationship Type="http://schemas.openxmlformats.org/officeDocument/2006/relationships/worksheet" Target="/xl/worksheets/sheet6.xml" Id="R59f4b3200efb4201" /><Relationship Type="http://schemas.openxmlformats.org/officeDocument/2006/relationships/worksheet" Target="/xl/worksheets/sheet7.xml" Id="Rc1f0da4b193b4927" /><Relationship Type="http://schemas.openxmlformats.org/officeDocument/2006/relationships/worksheet" Target="/xl/worksheets/sheet8.xml" Id="R92a1edee0866489a" /><Relationship Type="http://schemas.openxmlformats.org/officeDocument/2006/relationships/worksheet" Target="/xl/worksheets/sheet9.xml" Id="R6518162efda34c1e" /><Relationship Type="http://schemas.openxmlformats.org/officeDocument/2006/relationships/worksheet" Target="/xl/worksheets/sheet10.xml" Id="R1060b4f7f8ed425f" /><Relationship Type="http://schemas.openxmlformats.org/officeDocument/2006/relationships/worksheet" Target="/xl/worksheets/sheet11.xml" Id="Rfd94d1be01f04a7c" /><Relationship Type="http://schemas.openxmlformats.org/officeDocument/2006/relationships/worksheet" Target="/xl/worksheets/sheet12.xml" Id="R8aeed76deaa643c2" /><Relationship Type="http://schemas.openxmlformats.org/officeDocument/2006/relationships/worksheet" Target="/xl/worksheets/sheet13.xml" Id="R7070a8a216f7420f" /><Relationship Type="http://schemas.openxmlformats.org/officeDocument/2006/relationships/worksheet" Target="/xl/worksheets/sheet14.xml" Id="R58eb71cc80d24d2e" /><Relationship Type="http://schemas.openxmlformats.org/officeDocument/2006/relationships/worksheet" Target="/xl/worksheets/sheet15.xml" Id="R9f5b250f1bf24e38" /><Relationship Type="http://schemas.openxmlformats.org/officeDocument/2006/relationships/worksheet" Target="/xl/worksheets/sheet16.xml" Id="Ra83c20f5266c427c" /><Relationship Type="http://schemas.openxmlformats.org/officeDocument/2006/relationships/worksheet" Target="/xl/worksheets/sheet17.xml" Id="R3ddd594f34d64284" /><Relationship Type="http://schemas.openxmlformats.org/officeDocument/2006/relationships/worksheet" Target="/xl/worksheets/sheet18.xml" Id="Rd5fc80b1dc164093" /><Relationship Type="http://schemas.openxmlformats.org/officeDocument/2006/relationships/worksheet" Target="/xl/worksheets/sheet19.xml" Id="Rec6f09769f634000" /><Relationship Type="http://schemas.openxmlformats.org/officeDocument/2006/relationships/worksheet" Target="/xl/worksheets/sheet20.xml" Id="R78e8152a295f4385" /><Relationship Type="http://schemas.openxmlformats.org/officeDocument/2006/relationships/worksheet" Target="/xl/worksheets/sheet21.xml" Id="Rce3a765e6c6140bd" /><Relationship Type="http://schemas.openxmlformats.org/officeDocument/2006/relationships/worksheet" Target="/xl/worksheets/sheet22.xml" Id="Rd4c7b638dc3e493e" /><Relationship Type="http://schemas.openxmlformats.org/officeDocument/2006/relationships/worksheet" Target="/xl/worksheets/sheet23.xml" Id="R8764c188d8064b13" /><Relationship Type="http://schemas.openxmlformats.org/officeDocument/2006/relationships/worksheet" Target="/xl/worksheets/sheet24.xml" Id="Rfad81aa1dd4d4ff2" /><Relationship Type="http://schemas.openxmlformats.org/officeDocument/2006/relationships/worksheet" Target="/xl/worksheets/sheet25.xml" Id="Raba0404532ff4486" /><Relationship Type="http://schemas.openxmlformats.org/officeDocument/2006/relationships/worksheet" Target="/xl/worksheets/sheet26.xml" Id="R682c692c0b67443c" /></Relationships>
</file>

<file path=xl/drawings/_rels/drawing1.xml.rels>&#65279;<?xml version="1.0" encoding="utf-8"?><Relationships xmlns="http://schemas.openxmlformats.org/package/2006/relationships"><Relationship Type="http://schemas.openxmlformats.org/officeDocument/2006/relationships/chart" Target="/xl/drawings/charts/chart1.xml" Id="R18a7ba6de6a347d3"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8a7ba6de6a347d3"/>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abc8779556f4382" /></Relationships>
</file>

<file path=xl/worksheets/_rels/sheet2.xml.rels>&#65279;<?xml version="1.0" encoding="utf-8"?><Relationships xmlns="http://schemas.openxmlformats.org/package/2006/relationships"><Relationship Type="http://schemas.openxmlformats.org/officeDocument/2006/relationships/table" Target="/xl/tables/table2.xml" Id="Rc5cf15ba453b4931" /></Relationships>
</file>

<file path=xl/worksheets/_rels/sheet3.xml.rels>&#65279;<?xml version="1.0" encoding="utf-8"?><Relationships xmlns="http://schemas.openxmlformats.org/package/2006/relationships"><Relationship Type="http://schemas.openxmlformats.org/officeDocument/2006/relationships/drawing" Target="/xl/drawings/drawing1.xml" Id="R461beb2679b04c57" /></Relationships>
</file>

<file path=xl/worksheets/_rels/sheet4.xml.rels>&#65279;<?xml version="1.0" encoding="utf-8"?><Relationships xmlns="http://schemas.openxmlformats.org/package/2006/relationships"><Relationship Type="http://schemas.openxmlformats.org/officeDocument/2006/relationships/table" Target="/xl/tables/table3.xml" Id="R38f23b27f6b64d0c" /></Relationships>
</file>

<file path=xl/worksheets/_rels/sheet5.xml.rels>&#65279;<?xml version="1.0" encoding="utf-8"?><Relationships xmlns="http://schemas.openxmlformats.org/package/2006/relationships"><Relationship Type="http://schemas.openxmlformats.org/officeDocument/2006/relationships/table" Target="/xl/tables/table4.xml" Id="Rf6b6b6fc492c4483" /></Relationships>
</file>

<file path=xl/worksheets/_rels/sheet6.xml.rels>&#65279;<?xml version="1.0" encoding="utf-8"?><Relationships xmlns="http://schemas.openxmlformats.org/package/2006/relationships"><Relationship Type="http://schemas.openxmlformats.org/officeDocument/2006/relationships/table" Target="/xl/tables/table5.xml" Id="R630ebc5736ec4fb2" /></Relationships>
</file>

<file path=xl/worksheets/_rels/sheet7.xml.rels>&#65279;<?xml version="1.0" encoding="utf-8"?><Relationships xmlns="http://schemas.openxmlformats.org/package/2006/relationships"><Relationship Type="http://schemas.openxmlformats.org/officeDocument/2006/relationships/table" Target="/xl/tables/table6.xml" Id="R6b00b9bb27ed4046" /></Relationships>
</file>

<file path=xl/worksheets/_rels/sheet9.xml.rels>&#65279;<?xml version="1.0" encoding="utf-8"?><Relationships xmlns="http://schemas.openxmlformats.org/package/2006/relationships"><Relationship Type="http://schemas.openxmlformats.org/officeDocument/2006/relationships/table" Target="/xl/tables/table7.xml" Id="R9f68980b723046da" /></Relationships>
</file>

<file path=xl/worksheets/_rels/sheet10.xml.rels>&#65279;<?xml version="1.0" encoding="utf-8"?><Relationships xmlns="http://schemas.openxmlformats.org/package/2006/relationships"><Relationship Type="http://schemas.openxmlformats.org/officeDocument/2006/relationships/table" Target="/xl/tables/table8.xml" Id="Rc3bffa0cd8c24c93" /></Relationships>
</file>

<file path=xl/worksheets/_rels/sheet11.xml.rels>&#65279;<?xml version="1.0" encoding="utf-8"?><Relationships xmlns="http://schemas.openxmlformats.org/package/2006/relationships"><Relationship Type="http://schemas.openxmlformats.org/officeDocument/2006/relationships/table" Target="/xl/tables/table9.xml" Id="Rbab0661426644f02" /></Relationships>
</file>

<file path=xl/worksheets/_rels/sheet13.xml.rels>&#65279;<?xml version="1.0" encoding="utf-8"?><Relationships xmlns="http://schemas.openxmlformats.org/package/2006/relationships"><Relationship Type="http://schemas.openxmlformats.org/officeDocument/2006/relationships/table" Target="/xl/tables/table10.xml" Id="R4a7e9c322fca4a98" /></Relationships>
</file>

<file path=xl/worksheets/_rels/sheet14.xml.rels>&#65279;<?xml version="1.0" encoding="utf-8"?><Relationships xmlns="http://schemas.openxmlformats.org/package/2006/relationships"><Relationship Type="http://schemas.openxmlformats.org/officeDocument/2006/relationships/table" Target="/xl/tables/table11.xml" Id="Rfbbb53cf83824ca4" /></Relationships>
</file>

<file path=xl/worksheets/_rels/sheet15.xml.rels>&#65279;<?xml version="1.0" encoding="utf-8"?><Relationships xmlns="http://schemas.openxmlformats.org/package/2006/relationships"><Relationship Type="http://schemas.openxmlformats.org/officeDocument/2006/relationships/table" Target="/xl/tables/table12.xml" Id="Rf6dd7da1be4346ee" /></Relationships>
</file>

<file path=xl/worksheets/_rels/sheet16.xml.rels>&#65279;<?xml version="1.0" encoding="utf-8"?><Relationships xmlns="http://schemas.openxmlformats.org/package/2006/relationships"><Relationship Type="http://schemas.openxmlformats.org/officeDocument/2006/relationships/table" Target="/xl/tables/table13.xml" Id="Rae0fcdb8bf5b4915"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cabc8779556f4382"/>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c5cf15ba453b4931"/>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328</x:v>
      </x:c>
      <x:c r="D6" s="133" t="inlineStr">
        <x:is>
          <x:t xml:space="preserve">G0A — Corporate platform architecture ready</x:t>
        </x:is>
      </x:c>
      <x:c r="E6" s="32" t="str">
        <x:f>'03 Launch Gates'!D20</x:f>
        <x:v>Completed</x:v>
      </x:c>
      <x:c r="G6" t="inlineStr">
        <x:is>
          <x:t xml:space="preserve">UI Tasks Complete</x:t>
        </x:is>
      </x:c>
      <x:c r="H6" t="n">
        <x:f>SUM(B36:B46)</x:f>
        <x:v>106</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0.8937329700272479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0.9163636363636364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1</x:v>
      </x:c>
      <x:c r="C44" s="28" t="n">
        <x:f>COUNTIFS('01 Master Plan'!C$5:C$383,A44,'01 Master Plan'!H$5:H$383,"In Progress")</x:f>
        <x:v>0</x:v>
      </x:c>
      <x:c r="D44" s="28" t="n">
        <x:f>COUNTIFS('01 Master Plan'!C$5:C$383,A44,'01 Master Plan'!H$5:H$383,"Not Started")</x:f>
        <x:v>19</x:v>
      </x:c>
      <x:c r="E44" s="28" t="n">
        <x:f>COUNTIFS('01 Master Plan'!C$5:C$383,A44,'01 Master Plan'!H$5:H$383,"Blocked")</x:f>
        <x:v>0</x:v>
      </x:c>
      <x:c r="F44" s="28" t="n">
        <x:f>COUNTIFS('01 Master Plan'!C$5:C$383,A44,'01 Master Plan'!H$5:H$383,"Deferred")</x:f>
        <x:v>0</x:v>
      </x:c>
      <x:c r="G44" s="258" t="n">
        <x:f>IFERROR(B44/(B44+C44+D44+E44),0)</x:f>
        <x:v>0.05</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461beb2679b04c57"/>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8f23b27f6b64d0c"/>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f6b6b6fc492c4483"/>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630ebc5736ec4fb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b00b9bb27ed4046"/>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9f68980b723046da"/>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c3bffa0cd8c24c93"/>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bab0661426644f02"/>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Executive Overview PASS/CLOSED/PUBLISHED. Decision Context, Action Queue, and Portfolio Snapshot now use a tighter executive hierarchy and existing shared design-system primitives without data/business-logic changes. Next executable canonical task: 13H-02 Upgrade Procurement Center landing.</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4a7e9c322fca4a98"/>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fbbb53cf83824ca4"/>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f6dd7da1be4346ee"/>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ae0fcdb8bf5b4915"/>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