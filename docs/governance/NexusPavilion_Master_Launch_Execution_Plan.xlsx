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12462eb15a45f1" /></Relationships>
</file>

<file path=xl/workbook.xml><?xml version="1.0" encoding="utf-8"?>
<x:workbook xmlns:x="http://schemas.openxmlformats.org/spreadsheetml/2006/main">
  <x:sheets>
    <x:sheet xmlns:r="http://schemas.openxmlformats.org/officeDocument/2006/relationships" name="01 Master Plan" sheetId="1" r:id="Re0fa53fdf7a642a0"/>
    <x:sheet xmlns:r="http://schemas.openxmlformats.org/officeDocument/2006/relationships" name="03 Launch Gates" sheetId="2" r:id="R784e315e77a349a8"/>
    <x:sheet xmlns:r="http://schemas.openxmlformats.org/officeDocument/2006/relationships" name="00 Dashboard" sheetId="3" r:id="R7720f873d4104c49"/>
    <x:sheet xmlns:r="http://schemas.openxmlformats.org/officeDocument/2006/relationships" name="04 Cursor Tasks" sheetId="4" r:id="R41288ba1712540c6"/>
    <x:sheet xmlns:r="http://schemas.openxmlformats.org/officeDocument/2006/relationships" name="05 UAT Matrix" sheetId="5" r:id="R6349d58eba594b3b"/>
    <x:sheet xmlns:r="http://schemas.openxmlformats.org/officeDocument/2006/relationships" name="06 Security Matrix" sheetId="6" r:id="Ra9fd470856c148b9"/>
    <x:sheet xmlns:r="http://schemas.openxmlformats.org/officeDocument/2006/relationships" name="07 Risks" sheetId="7" r:id="Rfc23d0e52556496e"/>
    <x:sheet xmlns:r="http://schemas.openxmlformats.org/officeDocument/2006/relationships" name="08 Architecture" sheetId="8" r:id="R17ffd168216f4fa8"/>
    <x:sheet xmlns:r="http://schemas.openxmlformats.org/officeDocument/2006/relationships" name="09 Release Checklist" sheetId="9" r:id="Ref344191f3fd4459"/>
    <x:sheet xmlns:r="http://schemas.openxmlformats.org/officeDocument/2006/relationships" name="10 Change Log" sheetId="10" r:id="R92519379afab4145"/>
    <x:sheet xmlns:r="http://schemas.openxmlformats.org/officeDocument/2006/relationships" name="11 Scope &amp; Roadmap" sheetId="11" r:id="Rb9510b098866406c"/>
    <x:sheet xmlns:r="http://schemas.openxmlformats.org/officeDocument/2006/relationships" name="12 How to Use" sheetId="12" r:id="Rfed0bc67902c4c69"/>
    <x:sheet xmlns:r="http://schemas.openxmlformats.org/officeDocument/2006/relationships" name="13 UI Program" sheetId="13" r:id="R70fde05caee64bdf"/>
    <x:sheet xmlns:r="http://schemas.openxmlformats.org/officeDocument/2006/relationships" name="14 UI Scorecard" sheetId="14" r:id="R5969db34f06b4770"/>
    <x:sheet xmlns:r="http://schemas.openxmlformats.org/officeDocument/2006/relationships" name="15 Motion Guidance" sheetId="15" r:id="R9f08b82bca854f02"/>
    <x:sheet xmlns:r="http://schemas.openxmlformats.org/officeDocument/2006/relationships" name="16 Design Standards" sheetId="16" r:id="Ra555ad0e41774c64"/>
    <x:sheet xmlns:r="http://schemas.openxmlformats.org/officeDocument/2006/relationships" name="17 Corporate Platform" sheetId="17" r:id="R85eaea79ef704d11"/>
    <x:sheet xmlns:r="http://schemas.openxmlformats.org/officeDocument/2006/relationships" name="18 Analytics Reuse Map" sheetId="18" r:id="R2c12f217b89d4e2e"/>
    <x:sheet xmlns:r="http://schemas.openxmlformats.org/officeDocument/2006/relationships" name="19 Executive Insights Discovery" sheetId="19" r:id="R6e4d33d25e9547b2"/>
    <x:sheet xmlns:r="http://schemas.openxmlformats.org/officeDocument/2006/relationships" name="20 Procurement Insights Discovery" sheetId="20" r:id="R39bffbb3d6e843d7"/>
    <x:sheet xmlns:r="http://schemas.openxmlformats.org/officeDocument/2006/relationships" name="21 Commercial Insights Discovery" sheetId="21" r:id="Ra466133243b8406f"/>
    <x:sheet xmlns:r="http://schemas.openxmlformats.org/officeDocument/2006/relationships" name="22 Project Insights Discovery" sheetId="22" r:id="R15bf77212fbd48e2"/>
    <x:sheet xmlns:r="http://schemas.openxmlformats.org/officeDocument/2006/relationships" name="23 Performance Discovery" sheetId="23" r:id="Rd6023dda84374c41"/>
    <x:sheet xmlns:r="http://schemas.openxmlformats.org/officeDocument/2006/relationships" name="24 Risk Compliance Discovery" sheetId="24" r:id="R3acc174b2f8c40cb"/>
    <x:sheet xmlns:r="http://schemas.openxmlformats.org/officeDocument/2006/relationships" name="25 Commercial Handoff" sheetId="25" r:id="Rfccff1be90764b93"/>
    <x:sheet xmlns:r="http://schemas.openxmlformats.org/officeDocument/2006/relationships" name="26 RFQ Governance" sheetId="26" r:id="Rfc156c43ee04457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ed18bb6fd13403f" /><Relationship Type="http://schemas.openxmlformats.org/officeDocument/2006/relationships/theme" Target="/xl/theme/theme1.xml" Id="R0d344e6d8a384b61" /><Relationship Type="http://schemas.openxmlformats.org/officeDocument/2006/relationships/sharedStrings" Target="/xl/sharedStrings.xml" Id="Rcf29896c19394452" /><Relationship Type="http://schemas.openxmlformats.org/officeDocument/2006/relationships/worksheet" Target="/xl/worksheets/sheet1.xml" Id="Re0fa53fdf7a642a0" /><Relationship Type="http://schemas.openxmlformats.org/officeDocument/2006/relationships/worksheet" Target="/xl/worksheets/sheet2.xml" Id="R784e315e77a349a8" /><Relationship Type="http://schemas.openxmlformats.org/officeDocument/2006/relationships/worksheet" Target="/xl/worksheets/sheet3.xml" Id="R7720f873d4104c49" /><Relationship Type="http://schemas.openxmlformats.org/officeDocument/2006/relationships/worksheet" Target="/xl/worksheets/sheet4.xml" Id="R41288ba1712540c6" /><Relationship Type="http://schemas.openxmlformats.org/officeDocument/2006/relationships/worksheet" Target="/xl/worksheets/sheet5.xml" Id="R6349d58eba594b3b" /><Relationship Type="http://schemas.openxmlformats.org/officeDocument/2006/relationships/worksheet" Target="/xl/worksheets/sheet6.xml" Id="Ra9fd470856c148b9" /><Relationship Type="http://schemas.openxmlformats.org/officeDocument/2006/relationships/worksheet" Target="/xl/worksheets/sheet7.xml" Id="Rfc23d0e52556496e" /><Relationship Type="http://schemas.openxmlformats.org/officeDocument/2006/relationships/worksheet" Target="/xl/worksheets/sheet8.xml" Id="R17ffd168216f4fa8" /><Relationship Type="http://schemas.openxmlformats.org/officeDocument/2006/relationships/worksheet" Target="/xl/worksheets/sheet9.xml" Id="Ref344191f3fd4459" /><Relationship Type="http://schemas.openxmlformats.org/officeDocument/2006/relationships/worksheet" Target="/xl/worksheets/sheet10.xml" Id="R92519379afab4145" /><Relationship Type="http://schemas.openxmlformats.org/officeDocument/2006/relationships/worksheet" Target="/xl/worksheets/sheet11.xml" Id="Rb9510b098866406c" /><Relationship Type="http://schemas.openxmlformats.org/officeDocument/2006/relationships/worksheet" Target="/xl/worksheets/sheet12.xml" Id="Rfed0bc67902c4c69" /><Relationship Type="http://schemas.openxmlformats.org/officeDocument/2006/relationships/worksheet" Target="/xl/worksheets/sheet13.xml" Id="R70fde05caee64bdf" /><Relationship Type="http://schemas.openxmlformats.org/officeDocument/2006/relationships/worksheet" Target="/xl/worksheets/sheet14.xml" Id="R5969db34f06b4770" /><Relationship Type="http://schemas.openxmlformats.org/officeDocument/2006/relationships/worksheet" Target="/xl/worksheets/sheet15.xml" Id="R9f08b82bca854f02" /><Relationship Type="http://schemas.openxmlformats.org/officeDocument/2006/relationships/worksheet" Target="/xl/worksheets/sheet16.xml" Id="Ra555ad0e41774c64" /><Relationship Type="http://schemas.openxmlformats.org/officeDocument/2006/relationships/worksheet" Target="/xl/worksheets/sheet17.xml" Id="R85eaea79ef704d11" /><Relationship Type="http://schemas.openxmlformats.org/officeDocument/2006/relationships/worksheet" Target="/xl/worksheets/sheet18.xml" Id="R2c12f217b89d4e2e" /><Relationship Type="http://schemas.openxmlformats.org/officeDocument/2006/relationships/worksheet" Target="/xl/worksheets/sheet19.xml" Id="R6e4d33d25e9547b2" /><Relationship Type="http://schemas.openxmlformats.org/officeDocument/2006/relationships/worksheet" Target="/xl/worksheets/sheet20.xml" Id="R39bffbb3d6e843d7" /><Relationship Type="http://schemas.openxmlformats.org/officeDocument/2006/relationships/worksheet" Target="/xl/worksheets/sheet21.xml" Id="Ra466133243b8406f" /><Relationship Type="http://schemas.openxmlformats.org/officeDocument/2006/relationships/worksheet" Target="/xl/worksheets/sheet22.xml" Id="R15bf77212fbd48e2" /><Relationship Type="http://schemas.openxmlformats.org/officeDocument/2006/relationships/worksheet" Target="/xl/worksheets/sheet23.xml" Id="Rd6023dda84374c41" /><Relationship Type="http://schemas.openxmlformats.org/officeDocument/2006/relationships/worksheet" Target="/xl/worksheets/sheet24.xml" Id="R3acc174b2f8c40cb" /><Relationship Type="http://schemas.openxmlformats.org/officeDocument/2006/relationships/worksheet" Target="/xl/worksheets/sheet25.xml" Id="Rfccff1be90764b93" /><Relationship Type="http://schemas.openxmlformats.org/officeDocument/2006/relationships/worksheet" Target="/xl/worksheets/sheet26.xml" Id="Rfc156c43ee0445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b98188506f0d423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98188506f0d423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054aef224d04aa1" /></Relationships>
</file>

<file path=xl/worksheets/_rels/sheet2.xml.rels>&#65279;<?xml version="1.0" encoding="utf-8"?><Relationships xmlns="http://schemas.openxmlformats.org/package/2006/relationships"><Relationship Type="http://schemas.openxmlformats.org/officeDocument/2006/relationships/table" Target="/xl/tables/table2.xml" Id="R7ad3013580464d80" /></Relationships>
</file>

<file path=xl/worksheets/_rels/sheet3.xml.rels>&#65279;<?xml version="1.0" encoding="utf-8"?><Relationships xmlns="http://schemas.openxmlformats.org/package/2006/relationships"><Relationship Type="http://schemas.openxmlformats.org/officeDocument/2006/relationships/drawing" Target="/xl/drawings/drawing1.xml" Id="R58c01891c0d34340" /></Relationships>
</file>

<file path=xl/worksheets/_rels/sheet4.xml.rels>&#65279;<?xml version="1.0" encoding="utf-8"?><Relationships xmlns="http://schemas.openxmlformats.org/package/2006/relationships"><Relationship Type="http://schemas.openxmlformats.org/officeDocument/2006/relationships/table" Target="/xl/tables/table3.xml" Id="Ra28ce76b45714220" /></Relationships>
</file>

<file path=xl/worksheets/_rels/sheet5.xml.rels>&#65279;<?xml version="1.0" encoding="utf-8"?><Relationships xmlns="http://schemas.openxmlformats.org/package/2006/relationships"><Relationship Type="http://schemas.openxmlformats.org/officeDocument/2006/relationships/table" Target="/xl/tables/table4.xml" Id="R4e042e39c63b4ccd" /></Relationships>
</file>

<file path=xl/worksheets/_rels/sheet6.xml.rels>&#65279;<?xml version="1.0" encoding="utf-8"?><Relationships xmlns="http://schemas.openxmlformats.org/package/2006/relationships"><Relationship Type="http://schemas.openxmlformats.org/officeDocument/2006/relationships/table" Target="/xl/tables/table5.xml" Id="Rb137999892a142ed" /></Relationships>
</file>

<file path=xl/worksheets/_rels/sheet7.xml.rels>&#65279;<?xml version="1.0" encoding="utf-8"?><Relationships xmlns="http://schemas.openxmlformats.org/package/2006/relationships"><Relationship Type="http://schemas.openxmlformats.org/officeDocument/2006/relationships/table" Target="/xl/tables/table6.xml" Id="R3ab17621bb7b40fc" /></Relationships>
</file>

<file path=xl/worksheets/_rels/sheet9.xml.rels>&#65279;<?xml version="1.0" encoding="utf-8"?><Relationships xmlns="http://schemas.openxmlformats.org/package/2006/relationships"><Relationship Type="http://schemas.openxmlformats.org/officeDocument/2006/relationships/table" Target="/xl/tables/table7.xml" Id="R27b0b055cb724fd0" /></Relationships>
</file>

<file path=xl/worksheets/_rels/sheet10.xml.rels>&#65279;<?xml version="1.0" encoding="utf-8"?><Relationships xmlns="http://schemas.openxmlformats.org/package/2006/relationships"><Relationship Type="http://schemas.openxmlformats.org/officeDocument/2006/relationships/table" Target="/xl/tables/table8.xml" Id="Re7119ca22a094ff4" /></Relationships>
</file>

<file path=xl/worksheets/_rels/sheet11.xml.rels>&#65279;<?xml version="1.0" encoding="utf-8"?><Relationships xmlns="http://schemas.openxmlformats.org/package/2006/relationships"><Relationship Type="http://schemas.openxmlformats.org/officeDocument/2006/relationships/table" Target="/xl/tables/table9.xml" Id="R03c8272cbf8c42a6" /></Relationships>
</file>

<file path=xl/worksheets/_rels/sheet13.xml.rels>&#65279;<?xml version="1.0" encoding="utf-8"?><Relationships xmlns="http://schemas.openxmlformats.org/package/2006/relationships"><Relationship Type="http://schemas.openxmlformats.org/officeDocument/2006/relationships/table" Target="/xl/tables/table10.xml" Id="R5fadd8f42e3e4952" /></Relationships>
</file>

<file path=xl/worksheets/_rels/sheet14.xml.rels>&#65279;<?xml version="1.0" encoding="utf-8"?><Relationships xmlns="http://schemas.openxmlformats.org/package/2006/relationships"><Relationship Type="http://schemas.openxmlformats.org/officeDocument/2006/relationships/table" Target="/xl/tables/table11.xml" Id="R94e4cfacb5a24470" /></Relationships>
</file>

<file path=xl/worksheets/_rels/sheet15.xml.rels>&#65279;<?xml version="1.0" encoding="utf-8"?><Relationships xmlns="http://schemas.openxmlformats.org/package/2006/relationships"><Relationship Type="http://schemas.openxmlformats.org/officeDocument/2006/relationships/table" Target="/xl/tables/table12.xml" Id="R63bbace403fa4baa" /></Relationships>
</file>

<file path=xl/worksheets/_rels/sheet16.xml.rels>&#65279;<?xml version="1.0" encoding="utf-8"?><Relationships xmlns="http://schemas.openxmlformats.org/package/2006/relationships"><Relationship Type="http://schemas.openxmlformats.org/officeDocument/2006/relationships/table" Target="/xl/tables/table13.xml" Id="Raa4626918aab41f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054aef224d04aa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ad3013580464d8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323</x:v>
      </x:c>
      <x:c r="D6" s="133" t="inlineStr">
        <x:is>
          <x:t xml:space="preserve">G0A — Corporate platform architecture ready</x:t>
        </x:is>
      </x:c>
      <x:c r="E6" s="32" t="str">
        <x:f>'03 Launch Gates'!D20</x:f>
        <x:v>Completed</x:v>
      </x:c>
      <x:c r="G6" t="inlineStr">
        <x:is>
          <x:t xml:space="preserve">UI Tasks Complete</x:t>
        </x:is>
      </x:c>
      <x:c r="H6" t="n">
        <x:f>SUM(B36:B46)</x:f>
        <x:v>101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0.8801089918256131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0.9018181818181819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6</x:v>
      </x:c>
      <x:c r="C43" s="162" t="n">
        <x:f>COUNTIFS('01 Master Plan'!C$5:C$383,A43,'01 Master Plan'!H$5:H$383,"In Progress")</x:f>
        <x:v>0</x:v>
      </x:c>
      <x:c r="D43" s="162" t="n">
        <x:f>COUNTIFS('01 Master Plan'!C$5:C$383,A43,'01 Master Plan'!H$5:H$383,"Not Started")</x:f>
        <x:v>4</x:v>
      </x:c>
      <x:c r="E43" s="162" t="n">
        <x:f>COUNTIFS('01 Master Plan'!C$5:C$383,A43,'01 Master Plan'!H$5:H$383,"Blocked")</x:f>
        <x:v>0</x:v>
      </x:c>
      <x:c r="F43" s="162" t="n">
        <x:f>COUNTIFS('01 Master Plan'!C$5:C$383,A43,'01 Master Plan'!H$5:H$383,"Deferred")</x:f>
        <x:v>0</x:v>
      </x:c>
      <x:c r="G43" s="257" t="n">
        <x:f>IFERROR(B43/(B43+C43+D43+E43),0)</x:f>
        <x:v>0.6</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8c01891c0d34340"/>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28ce76b4571422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e042e39c63b4cc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b137999892a142e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3ab17621bb7b40f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7b0b055cb724fd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7119ca22a094ff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3c8272cbf8c42a6"/>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13G-06 PASS/CLOSED/PUBLISHED. Ask Nexus now has trust boundaries, caller-authorized context, deterministic suggested questions, explicit Guide This Page replay, safe deep links, and source-backed non-binding evidence explanations. Next executable canonical task: 13G-07 Require confirmation for consequential assistant actions.</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fadd8f42e3e495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4e4cfacb5a2447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63bbace403fa4baa"/>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a4626918aab41f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