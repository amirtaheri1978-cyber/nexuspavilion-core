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8703fc606324de4" /></Relationships>
</file>

<file path=xl/workbook.xml><?xml version="1.0" encoding="utf-8"?>
<x:workbook xmlns:x="http://schemas.openxmlformats.org/spreadsheetml/2006/main">
  <x:sheets>
    <x:sheet xmlns:r="http://schemas.openxmlformats.org/officeDocument/2006/relationships" name="01 Master Plan" sheetId="1" r:id="Rbb06789000dc4f20"/>
    <x:sheet xmlns:r="http://schemas.openxmlformats.org/officeDocument/2006/relationships" name="03 Launch Gates" sheetId="2" r:id="Rf97d034790e14d09"/>
    <x:sheet xmlns:r="http://schemas.openxmlformats.org/officeDocument/2006/relationships" name="00 Dashboard" sheetId="3" r:id="Re405f35c801c4a50"/>
    <x:sheet xmlns:r="http://schemas.openxmlformats.org/officeDocument/2006/relationships" name="04 Cursor Tasks" sheetId="4" r:id="R6464c56c2b1f4ad5"/>
    <x:sheet xmlns:r="http://schemas.openxmlformats.org/officeDocument/2006/relationships" name="05 UAT Matrix" sheetId="5" r:id="R3315607db97f493f"/>
    <x:sheet xmlns:r="http://schemas.openxmlformats.org/officeDocument/2006/relationships" name="06 Security Matrix" sheetId="6" r:id="R1b748d7a6b3d40bc"/>
    <x:sheet xmlns:r="http://schemas.openxmlformats.org/officeDocument/2006/relationships" name="07 Risks" sheetId="7" r:id="R7a9b8960a2444fc9"/>
    <x:sheet xmlns:r="http://schemas.openxmlformats.org/officeDocument/2006/relationships" name="08 Architecture" sheetId="8" r:id="R284f8771a46840fe"/>
    <x:sheet xmlns:r="http://schemas.openxmlformats.org/officeDocument/2006/relationships" name="09 Release Checklist" sheetId="9" r:id="Rde3bc7f9722b44ad"/>
    <x:sheet xmlns:r="http://schemas.openxmlformats.org/officeDocument/2006/relationships" name="10 Change Log" sheetId="10" r:id="Rdbe33f727cb94d0d"/>
    <x:sheet xmlns:r="http://schemas.openxmlformats.org/officeDocument/2006/relationships" name="11 Scope &amp; Roadmap" sheetId="11" r:id="R5a0167d61bb3455b"/>
    <x:sheet xmlns:r="http://schemas.openxmlformats.org/officeDocument/2006/relationships" name="12 How to Use" sheetId="12" r:id="Rc40a973bf77e4095"/>
    <x:sheet xmlns:r="http://schemas.openxmlformats.org/officeDocument/2006/relationships" name="13 UI Program" sheetId="13" r:id="R86068ad89e844e45"/>
    <x:sheet xmlns:r="http://schemas.openxmlformats.org/officeDocument/2006/relationships" name="14 UI Scorecard" sheetId="14" r:id="Rf5831628744648ed"/>
    <x:sheet xmlns:r="http://schemas.openxmlformats.org/officeDocument/2006/relationships" name="15 Motion Guidance" sheetId="15" r:id="R99bfa64f3e6c4a50"/>
    <x:sheet xmlns:r="http://schemas.openxmlformats.org/officeDocument/2006/relationships" name="16 Design Standards" sheetId="16" r:id="R0f5e0ef5ce4144dc"/>
    <x:sheet xmlns:r="http://schemas.openxmlformats.org/officeDocument/2006/relationships" name="17 Corporate Platform" sheetId="17" r:id="R6267340f4b9e4b4c"/>
    <x:sheet xmlns:r="http://schemas.openxmlformats.org/officeDocument/2006/relationships" name="18 Analytics Reuse Map" sheetId="18" r:id="R6f26ee55c25249a4"/>
    <x:sheet xmlns:r="http://schemas.openxmlformats.org/officeDocument/2006/relationships" name="19 Executive Insights Discovery" sheetId="19" r:id="R3843d7d23e0c4fdc"/>
    <x:sheet xmlns:r="http://schemas.openxmlformats.org/officeDocument/2006/relationships" name="20 Procurement Insights Discovery" sheetId="20" r:id="R608dbedc06704895"/>
    <x:sheet xmlns:r="http://schemas.openxmlformats.org/officeDocument/2006/relationships" name="21 Commercial Insights Discovery" sheetId="21" r:id="R11c3cf30ab6b400e"/>
    <x:sheet xmlns:r="http://schemas.openxmlformats.org/officeDocument/2006/relationships" name="22 Project Insights Discovery" sheetId="22" r:id="R1c563b8e0bc245fd"/>
    <x:sheet xmlns:r="http://schemas.openxmlformats.org/officeDocument/2006/relationships" name="23 Performance Discovery" sheetId="23" r:id="R027c5eb565014ff7"/>
    <x:sheet xmlns:r="http://schemas.openxmlformats.org/officeDocument/2006/relationships" name="24 Risk Compliance Discovery" sheetId="24" r:id="Re1643f1933064923"/>
    <x:sheet xmlns:r="http://schemas.openxmlformats.org/officeDocument/2006/relationships" name="25 Commercial Handoff" sheetId="25" r:id="Ra2fe2f4ae35c4efc"/>
    <x:sheet xmlns:r="http://schemas.openxmlformats.org/officeDocument/2006/relationships" name="26 RFQ Governance" sheetId="26" r:id="R71c2ccbe536d420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677cce0d3c94122" /><Relationship Type="http://schemas.openxmlformats.org/officeDocument/2006/relationships/theme" Target="/xl/theme/theme1.xml" Id="Rfb5c1761baa24ccb" /><Relationship Type="http://schemas.openxmlformats.org/officeDocument/2006/relationships/sharedStrings" Target="/xl/sharedStrings.xml" Id="R25c83292e3f44fad" /><Relationship Type="http://schemas.openxmlformats.org/officeDocument/2006/relationships/worksheet" Target="/xl/worksheets/sheet1.xml" Id="Rbb06789000dc4f20" /><Relationship Type="http://schemas.openxmlformats.org/officeDocument/2006/relationships/worksheet" Target="/xl/worksheets/sheet2.xml" Id="Rf97d034790e14d09" /><Relationship Type="http://schemas.openxmlformats.org/officeDocument/2006/relationships/worksheet" Target="/xl/worksheets/sheet3.xml" Id="Re405f35c801c4a50" /><Relationship Type="http://schemas.openxmlformats.org/officeDocument/2006/relationships/worksheet" Target="/xl/worksheets/sheet4.xml" Id="R6464c56c2b1f4ad5" /><Relationship Type="http://schemas.openxmlformats.org/officeDocument/2006/relationships/worksheet" Target="/xl/worksheets/sheet5.xml" Id="R3315607db97f493f" /><Relationship Type="http://schemas.openxmlformats.org/officeDocument/2006/relationships/worksheet" Target="/xl/worksheets/sheet6.xml" Id="R1b748d7a6b3d40bc" /><Relationship Type="http://schemas.openxmlformats.org/officeDocument/2006/relationships/worksheet" Target="/xl/worksheets/sheet7.xml" Id="R7a9b8960a2444fc9" /><Relationship Type="http://schemas.openxmlformats.org/officeDocument/2006/relationships/worksheet" Target="/xl/worksheets/sheet8.xml" Id="R284f8771a46840fe" /><Relationship Type="http://schemas.openxmlformats.org/officeDocument/2006/relationships/worksheet" Target="/xl/worksheets/sheet9.xml" Id="Rde3bc7f9722b44ad" /><Relationship Type="http://schemas.openxmlformats.org/officeDocument/2006/relationships/worksheet" Target="/xl/worksheets/sheet10.xml" Id="Rdbe33f727cb94d0d" /><Relationship Type="http://schemas.openxmlformats.org/officeDocument/2006/relationships/worksheet" Target="/xl/worksheets/sheet11.xml" Id="R5a0167d61bb3455b" /><Relationship Type="http://schemas.openxmlformats.org/officeDocument/2006/relationships/worksheet" Target="/xl/worksheets/sheet12.xml" Id="Rc40a973bf77e4095" /><Relationship Type="http://schemas.openxmlformats.org/officeDocument/2006/relationships/worksheet" Target="/xl/worksheets/sheet13.xml" Id="R86068ad89e844e45" /><Relationship Type="http://schemas.openxmlformats.org/officeDocument/2006/relationships/worksheet" Target="/xl/worksheets/sheet14.xml" Id="Rf5831628744648ed" /><Relationship Type="http://schemas.openxmlformats.org/officeDocument/2006/relationships/worksheet" Target="/xl/worksheets/sheet15.xml" Id="R99bfa64f3e6c4a50" /><Relationship Type="http://schemas.openxmlformats.org/officeDocument/2006/relationships/worksheet" Target="/xl/worksheets/sheet16.xml" Id="R0f5e0ef5ce4144dc" /><Relationship Type="http://schemas.openxmlformats.org/officeDocument/2006/relationships/worksheet" Target="/xl/worksheets/sheet17.xml" Id="R6267340f4b9e4b4c" /><Relationship Type="http://schemas.openxmlformats.org/officeDocument/2006/relationships/worksheet" Target="/xl/worksheets/sheet18.xml" Id="R6f26ee55c25249a4" /><Relationship Type="http://schemas.openxmlformats.org/officeDocument/2006/relationships/worksheet" Target="/xl/worksheets/sheet19.xml" Id="R3843d7d23e0c4fdc" /><Relationship Type="http://schemas.openxmlformats.org/officeDocument/2006/relationships/worksheet" Target="/xl/worksheets/sheet20.xml" Id="R608dbedc06704895" /><Relationship Type="http://schemas.openxmlformats.org/officeDocument/2006/relationships/worksheet" Target="/xl/worksheets/sheet21.xml" Id="R11c3cf30ab6b400e" /><Relationship Type="http://schemas.openxmlformats.org/officeDocument/2006/relationships/worksheet" Target="/xl/worksheets/sheet22.xml" Id="R1c563b8e0bc245fd" /><Relationship Type="http://schemas.openxmlformats.org/officeDocument/2006/relationships/worksheet" Target="/xl/worksheets/sheet23.xml" Id="R027c5eb565014ff7" /><Relationship Type="http://schemas.openxmlformats.org/officeDocument/2006/relationships/worksheet" Target="/xl/worksheets/sheet24.xml" Id="Re1643f1933064923" /><Relationship Type="http://schemas.openxmlformats.org/officeDocument/2006/relationships/worksheet" Target="/xl/worksheets/sheet25.xml" Id="Ra2fe2f4ae35c4efc" /><Relationship Type="http://schemas.openxmlformats.org/officeDocument/2006/relationships/worksheet" Target="/xl/worksheets/sheet26.xml" Id="R71c2ccbe536d42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452416e11d124ed2"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52416e11d124ed2"/>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8e8242a9e134ff3" /></Relationships>
</file>

<file path=xl/worksheets/_rels/sheet2.xml.rels>&#65279;<?xml version="1.0" encoding="utf-8"?><Relationships xmlns="http://schemas.openxmlformats.org/package/2006/relationships"><Relationship Type="http://schemas.openxmlformats.org/officeDocument/2006/relationships/table" Target="/xl/tables/table2.xml" Id="Rf40026362df943dd" /></Relationships>
</file>

<file path=xl/worksheets/_rels/sheet3.xml.rels>&#65279;<?xml version="1.0" encoding="utf-8"?><Relationships xmlns="http://schemas.openxmlformats.org/package/2006/relationships"><Relationship Type="http://schemas.openxmlformats.org/officeDocument/2006/relationships/drawing" Target="/xl/drawings/drawing1.xml" Id="R69f5aff8009c4262" /></Relationships>
</file>

<file path=xl/worksheets/_rels/sheet4.xml.rels>&#65279;<?xml version="1.0" encoding="utf-8"?><Relationships xmlns="http://schemas.openxmlformats.org/package/2006/relationships"><Relationship Type="http://schemas.openxmlformats.org/officeDocument/2006/relationships/table" Target="/xl/tables/table3.xml" Id="R270948cc9e9f4ca5" /></Relationships>
</file>

<file path=xl/worksheets/_rels/sheet5.xml.rels>&#65279;<?xml version="1.0" encoding="utf-8"?><Relationships xmlns="http://schemas.openxmlformats.org/package/2006/relationships"><Relationship Type="http://schemas.openxmlformats.org/officeDocument/2006/relationships/table" Target="/xl/tables/table4.xml" Id="Rd506d5d7eac94807" /></Relationships>
</file>

<file path=xl/worksheets/_rels/sheet6.xml.rels>&#65279;<?xml version="1.0" encoding="utf-8"?><Relationships xmlns="http://schemas.openxmlformats.org/package/2006/relationships"><Relationship Type="http://schemas.openxmlformats.org/officeDocument/2006/relationships/table" Target="/xl/tables/table5.xml" Id="Rece494e860cc44c2" /></Relationships>
</file>

<file path=xl/worksheets/_rels/sheet7.xml.rels>&#65279;<?xml version="1.0" encoding="utf-8"?><Relationships xmlns="http://schemas.openxmlformats.org/package/2006/relationships"><Relationship Type="http://schemas.openxmlformats.org/officeDocument/2006/relationships/table" Target="/xl/tables/table6.xml" Id="R436bd0b9bf924b6a" /></Relationships>
</file>

<file path=xl/worksheets/_rels/sheet9.xml.rels>&#65279;<?xml version="1.0" encoding="utf-8"?><Relationships xmlns="http://schemas.openxmlformats.org/package/2006/relationships"><Relationship Type="http://schemas.openxmlformats.org/officeDocument/2006/relationships/table" Target="/xl/tables/table7.xml" Id="R7c8502dd3fd144dc" /></Relationships>
</file>

<file path=xl/worksheets/_rels/sheet10.xml.rels>&#65279;<?xml version="1.0" encoding="utf-8"?><Relationships xmlns="http://schemas.openxmlformats.org/package/2006/relationships"><Relationship Type="http://schemas.openxmlformats.org/officeDocument/2006/relationships/table" Target="/xl/tables/table8.xml" Id="R274ec5d87480418d" /></Relationships>
</file>

<file path=xl/worksheets/_rels/sheet11.xml.rels>&#65279;<?xml version="1.0" encoding="utf-8"?><Relationships xmlns="http://schemas.openxmlformats.org/package/2006/relationships"><Relationship Type="http://schemas.openxmlformats.org/officeDocument/2006/relationships/table" Target="/xl/tables/table9.xml" Id="R72b0cce59eec49ee" /></Relationships>
</file>

<file path=xl/worksheets/_rels/sheet13.xml.rels>&#65279;<?xml version="1.0" encoding="utf-8"?><Relationships xmlns="http://schemas.openxmlformats.org/package/2006/relationships"><Relationship Type="http://schemas.openxmlformats.org/officeDocument/2006/relationships/table" Target="/xl/tables/table10.xml" Id="R2194e3eaf00347ef" /></Relationships>
</file>

<file path=xl/worksheets/_rels/sheet14.xml.rels>&#65279;<?xml version="1.0" encoding="utf-8"?><Relationships xmlns="http://schemas.openxmlformats.org/package/2006/relationships"><Relationship Type="http://schemas.openxmlformats.org/officeDocument/2006/relationships/table" Target="/xl/tables/table11.xml" Id="R1da25b63aeb5424d" /></Relationships>
</file>

<file path=xl/worksheets/_rels/sheet15.xml.rels>&#65279;<?xml version="1.0" encoding="utf-8"?><Relationships xmlns="http://schemas.openxmlformats.org/package/2006/relationships"><Relationship Type="http://schemas.openxmlformats.org/officeDocument/2006/relationships/table" Target="/xl/tables/table12.xml" Id="R5f943707de4d4920" /></Relationships>
</file>

<file path=xl/worksheets/_rels/sheet16.xml.rels>&#65279;<?xml version="1.0" encoding="utf-8"?><Relationships xmlns="http://schemas.openxmlformats.org/package/2006/relationships"><Relationship Type="http://schemas.openxmlformats.org/officeDocument/2006/relationships/table" Target="/xl/tables/table13.xml" Id="Rc43b923619fd449d"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8e8242a9e134ff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f40026362df943d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305</x:v>
      </x:c>
      <x:c r="D6" s="133" t="inlineStr">
        <x:is>
          <x:t xml:space="preserve">G0A — Corporate platform architecture ready</x:t>
        </x:is>
      </x:c>
      <x:c r="E6" s="32" t="str">
        <x:f>'03 Launch Gates'!D20</x:f>
        <x:v>Completed</x:v>
      </x:c>
      <x:c r="G6" t="inlineStr">
        <x:is>
          <x:t xml:space="preserve">UI Tasks Complete</x:t>
        </x:is>
      </x:c>
      <x:c r="H6" t="n">
        <x:f>SUM(B36:B46)</x:f>
        <x:v>83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0.8310626702997275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0.8654545454545455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2</x:v>
      </x:c>
      <x:c r="C42" s="133" t="n">
        <x:f>COUNTIFS('01 Master Plan'!C$5:C$383,A42,'01 Master Plan'!H$5:H$383,"In Progress")</x:f>
        <x:v>0</x:v>
      </x:c>
      <x:c r="D42" s="133" t="n">
        <x:f>COUNTIFS('01 Master Plan'!C$5:C$383,A42,'01 Master Plan'!H$5:H$383,"Not Started")</x:f>
        <x:v>12</x:v>
      </x:c>
      <x:c r="E42" s="133" t="n">
        <x:f>COUNTIFS('01 Master Plan'!C$5:C$383,A42,'01 Master Plan'!H$5:H$383,"Blocked")</x:f>
        <x:v>0</x:v>
      </x:c>
      <x:c r="F42" s="133" t="n">
        <x:f>COUNTIFS('01 Master Plan'!C$5:C$383,A42,'01 Master Plan'!H$5:H$383,"Deferred")</x:f>
        <x:v>0</x:v>
      </x:c>
      <x:c r="G42" s="255" t="n">
        <x:f>IFERROR(B42/(B42+C42+D42+E42),0)</x:f>
        <x:v>0.14285714285714285</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9f5aff8009c426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70948cc9e9f4ca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506d5d7eac9480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ece494e860cc44c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436bd0b9bf924b6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c8502dd3fd144d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274ec5d87480418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2b0cce59eec49e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IN PROGRESS — 13F-01 and 13F-02 PASS/CLOSED/PUBLISHED. The domain-neutral five-level guidance taxonomy and closed eligibility contexts now exist. FIRST_TIME/CHANGE/RISK/INCOMPLETE are proactive; REQUESTED is user-requested only. No frequency, memory, persistence, UI components or Ask Nexus behavior has been pulled forward. Next executable canonical task: 13F-03 Implement guidance frequency controls.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In Progress</x:v>
      </x:c>
      <x:c r="J10" s="133" t="str">
        <x:v>U5 / Phase 13F IN PROGRESS — 13F-01 and 13F-02 PASS/CLOSED/PUBLISHED. The domain-neutral five-level guidance taxonomy and closed eligibility contexts now exist. FIRST_TIME/CHANGE/RISK/INCOMPLETE are proactive; REQUESTED is user-requested only. No frequency, memory, persistence, UI components or Ask Nexus behavior has been pulled forward. Next executable canonical task: 13F-03 Implement guidance frequency controls.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194e3eaf00347ef"/>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da25b63aeb5424d"/>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5f943707de4d4920"/>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c43b923619fd449d"/>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