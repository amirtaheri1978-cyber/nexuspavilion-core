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01734499404fdd" /></Relationships>
</file>

<file path=xl/workbook.xml><?xml version="1.0" encoding="utf-8"?>
<x:workbook xmlns:x="http://schemas.openxmlformats.org/spreadsheetml/2006/main">
  <x:sheets>
    <x:sheet xmlns:r="http://schemas.openxmlformats.org/officeDocument/2006/relationships" name="01 Master Plan" sheetId="1" r:id="Rfea5f7f23625428d"/>
    <x:sheet xmlns:r="http://schemas.openxmlformats.org/officeDocument/2006/relationships" name="03 Launch Gates" sheetId="2" r:id="Rb096559602a843e5"/>
    <x:sheet xmlns:r="http://schemas.openxmlformats.org/officeDocument/2006/relationships" name="00 Dashboard" sheetId="3" r:id="R99870559303e4cb2"/>
    <x:sheet xmlns:r="http://schemas.openxmlformats.org/officeDocument/2006/relationships" name="04 Cursor Tasks" sheetId="4" r:id="R7948f9fe58b0409c"/>
    <x:sheet xmlns:r="http://schemas.openxmlformats.org/officeDocument/2006/relationships" name="05 UAT Matrix" sheetId="5" r:id="Rafbeaf103f714be9"/>
    <x:sheet xmlns:r="http://schemas.openxmlformats.org/officeDocument/2006/relationships" name="06 Security Matrix" sheetId="6" r:id="Ra03953ab114b4ca9"/>
    <x:sheet xmlns:r="http://schemas.openxmlformats.org/officeDocument/2006/relationships" name="07 Risks" sheetId="7" r:id="R43f2f66f3112460f"/>
    <x:sheet xmlns:r="http://schemas.openxmlformats.org/officeDocument/2006/relationships" name="08 Architecture" sheetId="8" r:id="Rc8e4fab6129d4acc"/>
    <x:sheet xmlns:r="http://schemas.openxmlformats.org/officeDocument/2006/relationships" name="09 Release Checklist" sheetId="9" r:id="Rf4f4867c2f4e402f"/>
    <x:sheet xmlns:r="http://schemas.openxmlformats.org/officeDocument/2006/relationships" name="10 Change Log" sheetId="10" r:id="R171b5065106a460b"/>
    <x:sheet xmlns:r="http://schemas.openxmlformats.org/officeDocument/2006/relationships" name="11 Scope &amp; Roadmap" sheetId="11" r:id="R2c157667f6fd4ac0"/>
    <x:sheet xmlns:r="http://schemas.openxmlformats.org/officeDocument/2006/relationships" name="12 How to Use" sheetId="12" r:id="Rb2b926e04f624350"/>
    <x:sheet xmlns:r="http://schemas.openxmlformats.org/officeDocument/2006/relationships" name="13 UI Program" sheetId="13" r:id="Ra224db86b83f4559"/>
    <x:sheet xmlns:r="http://schemas.openxmlformats.org/officeDocument/2006/relationships" name="14 UI Scorecard" sheetId="14" r:id="R13f5faa2fe0141fa"/>
    <x:sheet xmlns:r="http://schemas.openxmlformats.org/officeDocument/2006/relationships" name="15 Motion Guidance" sheetId="15" r:id="R6d4cfc3d45c54caf"/>
    <x:sheet xmlns:r="http://schemas.openxmlformats.org/officeDocument/2006/relationships" name="16 Design Standards" sheetId="16" r:id="R6257a164143c4174"/>
    <x:sheet xmlns:r="http://schemas.openxmlformats.org/officeDocument/2006/relationships" name="17 Corporate Platform" sheetId="17" r:id="Read244e7f440427d"/>
    <x:sheet xmlns:r="http://schemas.openxmlformats.org/officeDocument/2006/relationships" name="18 Analytics Reuse Map" sheetId="18" r:id="Rcf622a09327348f9"/>
    <x:sheet xmlns:r="http://schemas.openxmlformats.org/officeDocument/2006/relationships" name="19 Executive Insights Discovery" sheetId="19" r:id="R89922b1a7c54438e"/>
    <x:sheet xmlns:r="http://schemas.openxmlformats.org/officeDocument/2006/relationships" name="20 Procurement Insights Discovery" sheetId="20" r:id="R0e26655f7ba94c37"/>
    <x:sheet xmlns:r="http://schemas.openxmlformats.org/officeDocument/2006/relationships" name="21 Commercial Insights Discovery" sheetId="21" r:id="Rfc7970979641430a"/>
    <x:sheet xmlns:r="http://schemas.openxmlformats.org/officeDocument/2006/relationships" name="22 Project Insights Discovery" sheetId="22" r:id="Rf3fefdb2b62843ea"/>
    <x:sheet xmlns:r="http://schemas.openxmlformats.org/officeDocument/2006/relationships" name="23 Performance Discovery" sheetId="23" r:id="Ra49e34fddeab4c9d"/>
    <x:sheet xmlns:r="http://schemas.openxmlformats.org/officeDocument/2006/relationships" name="24 Risk Compliance Discovery" sheetId="24" r:id="R00c3f9307b924cbd"/>
    <x:sheet xmlns:r="http://schemas.openxmlformats.org/officeDocument/2006/relationships" name="25 Commercial Handoff" sheetId="25" r:id="Rcbe43aaa11bb4e4e"/>
    <x:sheet xmlns:r="http://schemas.openxmlformats.org/officeDocument/2006/relationships" name="26 RFQ Governance" sheetId="26" r:id="Ra72ed7a414824a9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23399b40aa94f5c" /><Relationship Type="http://schemas.openxmlformats.org/officeDocument/2006/relationships/theme" Target="/xl/theme/theme1.xml" Id="R208eb4886aa84bda" /><Relationship Type="http://schemas.openxmlformats.org/officeDocument/2006/relationships/sharedStrings" Target="/xl/sharedStrings.xml" Id="Rc88b9e9352ae4723" /><Relationship Type="http://schemas.openxmlformats.org/officeDocument/2006/relationships/worksheet" Target="/xl/worksheets/sheet1.xml" Id="Rfea5f7f23625428d" /><Relationship Type="http://schemas.openxmlformats.org/officeDocument/2006/relationships/worksheet" Target="/xl/worksheets/sheet2.xml" Id="Rb096559602a843e5" /><Relationship Type="http://schemas.openxmlformats.org/officeDocument/2006/relationships/worksheet" Target="/xl/worksheets/sheet3.xml" Id="R99870559303e4cb2" /><Relationship Type="http://schemas.openxmlformats.org/officeDocument/2006/relationships/worksheet" Target="/xl/worksheets/sheet4.xml" Id="R7948f9fe58b0409c" /><Relationship Type="http://schemas.openxmlformats.org/officeDocument/2006/relationships/worksheet" Target="/xl/worksheets/sheet5.xml" Id="Rafbeaf103f714be9" /><Relationship Type="http://schemas.openxmlformats.org/officeDocument/2006/relationships/worksheet" Target="/xl/worksheets/sheet6.xml" Id="Ra03953ab114b4ca9" /><Relationship Type="http://schemas.openxmlformats.org/officeDocument/2006/relationships/worksheet" Target="/xl/worksheets/sheet7.xml" Id="R43f2f66f3112460f" /><Relationship Type="http://schemas.openxmlformats.org/officeDocument/2006/relationships/worksheet" Target="/xl/worksheets/sheet8.xml" Id="Rc8e4fab6129d4acc" /><Relationship Type="http://schemas.openxmlformats.org/officeDocument/2006/relationships/worksheet" Target="/xl/worksheets/sheet9.xml" Id="Rf4f4867c2f4e402f" /><Relationship Type="http://schemas.openxmlformats.org/officeDocument/2006/relationships/worksheet" Target="/xl/worksheets/sheet10.xml" Id="R171b5065106a460b" /><Relationship Type="http://schemas.openxmlformats.org/officeDocument/2006/relationships/worksheet" Target="/xl/worksheets/sheet11.xml" Id="R2c157667f6fd4ac0" /><Relationship Type="http://schemas.openxmlformats.org/officeDocument/2006/relationships/worksheet" Target="/xl/worksheets/sheet12.xml" Id="Rb2b926e04f624350" /><Relationship Type="http://schemas.openxmlformats.org/officeDocument/2006/relationships/worksheet" Target="/xl/worksheets/sheet13.xml" Id="Ra224db86b83f4559" /><Relationship Type="http://schemas.openxmlformats.org/officeDocument/2006/relationships/worksheet" Target="/xl/worksheets/sheet14.xml" Id="R13f5faa2fe0141fa" /><Relationship Type="http://schemas.openxmlformats.org/officeDocument/2006/relationships/worksheet" Target="/xl/worksheets/sheet15.xml" Id="R6d4cfc3d45c54caf" /><Relationship Type="http://schemas.openxmlformats.org/officeDocument/2006/relationships/worksheet" Target="/xl/worksheets/sheet16.xml" Id="R6257a164143c4174" /><Relationship Type="http://schemas.openxmlformats.org/officeDocument/2006/relationships/worksheet" Target="/xl/worksheets/sheet17.xml" Id="Read244e7f440427d" /><Relationship Type="http://schemas.openxmlformats.org/officeDocument/2006/relationships/worksheet" Target="/xl/worksheets/sheet18.xml" Id="Rcf622a09327348f9" /><Relationship Type="http://schemas.openxmlformats.org/officeDocument/2006/relationships/worksheet" Target="/xl/worksheets/sheet19.xml" Id="R89922b1a7c54438e" /><Relationship Type="http://schemas.openxmlformats.org/officeDocument/2006/relationships/worksheet" Target="/xl/worksheets/sheet20.xml" Id="R0e26655f7ba94c37" /><Relationship Type="http://schemas.openxmlformats.org/officeDocument/2006/relationships/worksheet" Target="/xl/worksheets/sheet21.xml" Id="Rfc7970979641430a" /><Relationship Type="http://schemas.openxmlformats.org/officeDocument/2006/relationships/worksheet" Target="/xl/worksheets/sheet22.xml" Id="Rf3fefdb2b62843ea" /><Relationship Type="http://schemas.openxmlformats.org/officeDocument/2006/relationships/worksheet" Target="/xl/worksheets/sheet23.xml" Id="Ra49e34fddeab4c9d" /><Relationship Type="http://schemas.openxmlformats.org/officeDocument/2006/relationships/worksheet" Target="/xl/worksheets/sheet24.xml" Id="R00c3f9307b924cbd" /><Relationship Type="http://schemas.openxmlformats.org/officeDocument/2006/relationships/worksheet" Target="/xl/worksheets/sheet25.xml" Id="Rcbe43aaa11bb4e4e" /><Relationship Type="http://schemas.openxmlformats.org/officeDocument/2006/relationships/worksheet" Target="/xl/worksheets/sheet26.xml" Id="Ra72ed7a414824a95" /></Relationships>
</file>

<file path=xl/drawings/_rels/drawing1.xml.rels>&#65279;<?xml version="1.0" encoding="utf-8"?><Relationships xmlns="http://schemas.openxmlformats.org/package/2006/relationships"><Relationship Type="http://schemas.openxmlformats.org/officeDocument/2006/relationships/chart" Target="/xl/drawings/charts/chart1.xml" Id="Re9e4b7b00ecc49e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9e4b7b00ecc49e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304ddaadd7c4858" /></Relationships>
</file>

<file path=xl/worksheets/_rels/sheet2.xml.rels>&#65279;<?xml version="1.0" encoding="utf-8"?><Relationships xmlns="http://schemas.openxmlformats.org/package/2006/relationships"><Relationship Type="http://schemas.openxmlformats.org/officeDocument/2006/relationships/table" Target="/xl/tables/table2.xml" Id="R0e98aefd02dd45e8" /></Relationships>
</file>

<file path=xl/worksheets/_rels/sheet3.xml.rels>&#65279;<?xml version="1.0" encoding="utf-8"?><Relationships xmlns="http://schemas.openxmlformats.org/package/2006/relationships"><Relationship Type="http://schemas.openxmlformats.org/officeDocument/2006/relationships/drawing" Target="/xl/drawings/drawing1.xml" Id="R490f53b2129148d2" /></Relationships>
</file>

<file path=xl/worksheets/_rels/sheet4.xml.rels>&#65279;<?xml version="1.0" encoding="utf-8"?><Relationships xmlns="http://schemas.openxmlformats.org/package/2006/relationships"><Relationship Type="http://schemas.openxmlformats.org/officeDocument/2006/relationships/table" Target="/xl/tables/table3.xml" Id="R6a1465c9104c4517" /></Relationships>
</file>

<file path=xl/worksheets/_rels/sheet5.xml.rels>&#65279;<?xml version="1.0" encoding="utf-8"?><Relationships xmlns="http://schemas.openxmlformats.org/package/2006/relationships"><Relationship Type="http://schemas.openxmlformats.org/officeDocument/2006/relationships/table" Target="/xl/tables/table4.xml" Id="Re0d30a0e05124fce" /></Relationships>
</file>

<file path=xl/worksheets/_rels/sheet6.xml.rels>&#65279;<?xml version="1.0" encoding="utf-8"?><Relationships xmlns="http://schemas.openxmlformats.org/package/2006/relationships"><Relationship Type="http://schemas.openxmlformats.org/officeDocument/2006/relationships/table" Target="/xl/tables/table5.xml" Id="R699eb7f72bf74823" /></Relationships>
</file>

<file path=xl/worksheets/_rels/sheet7.xml.rels>&#65279;<?xml version="1.0" encoding="utf-8"?><Relationships xmlns="http://schemas.openxmlformats.org/package/2006/relationships"><Relationship Type="http://schemas.openxmlformats.org/officeDocument/2006/relationships/table" Target="/xl/tables/table6.xml" Id="R028c49b528cc4888" /></Relationships>
</file>

<file path=xl/worksheets/_rels/sheet9.xml.rels>&#65279;<?xml version="1.0" encoding="utf-8"?><Relationships xmlns="http://schemas.openxmlformats.org/package/2006/relationships"><Relationship Type="http://schemas.openxmlformats.org/officeDocument/2006/relationships/table" Target="/xl/tables/table7.xml" Id="R5223e7495dee4fcc" /></Relationships>
</file>

<file path=xl/worksheets/_rels/sheet10.xml.rels>&#65279;<?xml version="1.0" encoding="utf-8"?><Relationships xmlns="http://schemas.openxmlformats.org/package/2006/relationships"><Relationship Type="http://schemas.openxmlformats.org/officeDocument/2006/relationships/table" Target="/xl/tables/table8.xml" Id="R14f0b352df184e38" /></Relationships>
</file>

<file path=xl/worksheets/_rels/sheet11.xml.rels>&#65279;<?xml version="1.0" encoding="utf-8"?><Relationships xmlns="http://schemas.openxmlformats.org/package/2006/relationships"><Relationship Type="http://schemas.openxmlformats.org/officeDocument/2006/relationships/table" Target="/xl/tables/table9.xml" Id="Rd874ed4f6af54a7b" /></Relationships>
</file>

<file path=xl/worksheets/_rels/sheet13.xml.rels>&#65279;<?xml version="1.0" encoding="utf-8"?><Relationships xmlns="http://schemas.openxmlformats.org/package/2006/relationships"><Relationship Type="http://schemas.openxmlformats.org/officeDocument/2006/relationships/table" Target="/xl/tables/table10.xml" Id="Rd08cb7adfd764428" /></Relationships>
</file>

<file path=xl/worksheets/_rels/sheet14.xml.rels>&#65279;<?xml version="1.0" encoding="utf-8"?><Relationships xmlns="http://schemas.openxmlformats.org/package/2006/relationships"><Relationship Type="http://schemas.openxmlformats.org/officeDocument/2006/relationships/table" Target="/xl/tables/table11.xml" Id="Rc38151cac40d4a0a" /></Relationships>
</file>

<file path=xl/worksheets/_rels/sheet15.xml.rels>&#65279;<?xml version="1.0" encoding="utf-8"?><Relationships xmlns="http://schemas.openxmlformats.org/package/2006/relationships"><Relationship Type="http://schemas.openxmlformats.org/officeDocument/2006/relationships/table" Target="/xl/tables/table12.xml" Id="R29f1a0f338d249e2" /></Relationships>
</file>

<file path=xl/worksheets/_rels/sheet16.xml.rels>&#65279;<?xml version="1.0" encoding="utf-8"?><Relationships xmlns="http://schemas.openxmlformats.org/package/2006/relationships"><Relationship Type="http://schemas.openxmlformats.org/officeDocument/2006/relationships/table" Target="/xl/tables/table13.xml" Id="Rdca100f8eebc46a9"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304ddaadd7c485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e98aefd02dd45e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312</x:v>
      </x:c>
      <x:c r="D6" s="133" t="inlineStr">
        <x:is>
          <x:t xml:space="preserve">G0A — Corporate platform architecture ready</x:t>
        </x:is>
      </x:c>
      <x:c r="E6" s="32" t="str">
        <x:f>'03 Launch Gates'!D20</x:f>
        <x:v>Completed</x:v>
      </x:c>
      <x:c r="G6" t="inlineStr">
        <x:is>
          <x:t xml:space="preserve">UI Tasks Complete</x:t>
        </x:is>
      </x:c>
      <x:c r="H6" t="n">
        <x:f>SUM(B36:B46)</x:f>
        <x:v>90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0.8501362397820164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9</x:v>
      </x:c>
      <x:c r="C42" s="133" t="n">
        <x:f>COUNTIFS('01 Master Plan'!C$5:C$383,A42,'01 Master Plan'!H$5:H$383,"In Progress")</x:f>
        <x:v>0</x:v>
      </x:c>
      <x:c r="D42" s="133" t="n">
        <x:f>COUNTIFS('01 Master Plan'!C$5:C$383,A42,'01 Master Plan'!H$5:H$383,"Not Started")</x:f>
        <x:v>5</x:v>
      </x:c>
      <x:c r="E42" s="133" t="n">
        <x:f>COUNTIFS('01 Master Plan'!C$5:C$383,A42,'01 Master Plan'!H$5:H$383,"Blocked")</x:f>
        <x:v>0</x:v>
      </x:c>
      <x:c r="F42" s="133" t="n">
        <x:f>COUNTIFS('01 Master Plan'!C$5:C$383,A42,'01 Master Plan'!H$5:H$383,"Deferred")</x:f>
        <x:v>0</x:v>
      </x:c>
      <x:c r="G42" s="255" t="n">
        <x:f>IFERROR(B42/(B42+C42+D42+E42),0)</x:f>
        <x:v>0.6428571428571429</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490f53b2129148d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6a1465c9104c451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e0d30a0e05124fce"/>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99eb7f72bf7482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28c49b528cc4888"/>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223e7495dee4fc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4f0b352df184e38"/>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d874ed4f6af54a7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through 13F-09 PASS/CLOSED/PUBLISHED. RFI contextual guidance now reuses the shared Guidance Card and is grounded only in explicit signals plus existing deadline/open-RFI state; no ambiguity/materiality inference is performed. Next executable canonical task: 13F-10 Add proposal readiness contextual guidance.</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through 13F-09 PASS/CLOSED/PUBLISHED. RFI contextual guidance now reuses the shared Guidance Card and is grounded only in explicit signals plus existing deadline/open-RFI state; no ambiguity/materiality inference is performed. Next executable canonical task: 13F-10 Add proposal readiness contextual guidance.</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08cb7adfd76442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38151cac40d4a0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29f1a0f338d249e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ca100f8eebc46a9"/>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