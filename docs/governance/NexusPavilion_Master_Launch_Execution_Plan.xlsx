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73233bce8d4d08" /></Relationships>
</file>

<file path=xl/workbook.xml><?xml version="1.0" encoding="utf-8"?>
<x:workbook xmlns:x="http://schemas.openxmlformats.org/spreadsheetml/2006/main">
  <x:sheets>
    <x:sheet xmlns:r="http://schemas.openxmlformats.org/officeDocument/2006/relationships" name="01 Master Plan" sheetId="1" r:id="Rf769de644cf54e50"/>
    <x:sheet xmlns:r="http://schemas.openxmlformats.org/officeDocument/2006/relationships" name="03 Launch Gates" sheetId="2" r:id="R9eba482cdcb74523"/>
    <x:sheet xmlns:r="http://schemas.openxmlformats.org/officeDocument/2006/relationships" name="00 Dashboard" sheetId="3" r:id="R24ced239812640bc"/>
    <x:sheet xmlns:r="http://schemas.openxmlformats.org/officeDocument/2006/relationships" name="04 Cursor Tasks" sheetId="4" r:id="R5d2c8c9d2e094e70"/>
    <x:sheet xmlns:r="http://schemas.openxmlformats.org/officeDocument/2006/relationships" name="05 UAT Matrix" sheetId="5" r:id="Rd2dcf3e747ee4cd4"/>
    <x:sheet xmlns:r="http://schemas.openxmlformats.org/officeDocument/2006/relationships" name="06 Security Matrix" sheetId="6" r:id="Re873929479c04b27"/>
    <x:sheet xmlns:r="http://schemas.openxmlformats.org/officeDocument/2006/relationships" name="07 Risks" sheetId="7" r:id="R97e8ffbc7fb44b8b"/>
    <x:sheet xmlns:r="http://schemas.openxmlformats.org/officeDocument/2006/relationships" name="08 Architecture" sheetId="8" r:id="Rbe11889f74564603"/>
    <x:sheet xmlns:r="http://schemas.openxmlformats.org/officeDocument/2006/relationships" name="09 Release Checklist" sheetId="9" r:id="R00daf9835d914474"/>
    <x:sheet xmlns:r="http://schemas.openxmlformats.org/officeDocument/2006/relationships" name="10 Change Log" sheetId="10" r:id="Rcef21d2d3ebb454d"/>
    <x:sheet xmlns:r="http://schemas.openxmlformats.org/officeDocument/2006/relationships" name="11 Scope &amp; Roadmap" sheetId="11" r:id="R3a292f66c57849a9"/>
    <x:sheet xmlns:r="http://schemas.openxmlformats.org/officeDocument/2006/relationships" name="12 How to Use" sheetId="12" r:id="R719720b121c1473a"/>
    <x:sheet xmlns:r="http://schemas.openxmlformats.org/officeDocument/2006/relationships" name="13 UI Program" sheetId="13" r:id="R3c4dc6d78189425a"/>
    <x:sheet xmlns:r="http://schemas.openxmlformats.org/officeDocument/2006/relationships" name="14 UI Scorecard" sheetId="14" r:id="R763bbbcef8874407"/>
    <x:sheet xmlns:r="http://schemas.openxmlformats.org/officeDocument/2006/relationships" name="15 Motion Guidance" sheetId="15" r:id="R22d7e2336a294a66"/>
    <x:sheet xmlns:r="http://schemas.openxmlformats.org/officeDocument/2006/relationships" name="16 Design Standards" sheetId="16" r:id="Rde5bdea199d348b2"/>
    <x:sheet xmlns:r="http://schemas.openxmlformats.org/officeDocument/2006/relationships" name="17 Corporate Platform" sheetId="17" r:id="Rd3b405acfe324234"/>
    <x:sheet xmlns:r="http://schemas.openxmlformats.org/officeDocument/2006/relationships" name="18 Analytics Reuse Map" sheetId="18" r:id="Ra460e65276964927"/>
    <x:sheet xmlns:r="http://schemas.openxmlformats.org/officeDocument/2006/relationships" name="19 Executive Insights Discovery" sheetId="19" r:id="R7ecda51137244ea5"/>
    <x:sheet xmlns:r="http://schemas.openxmlformats.org/officeDocument/2006/relationships" name="20 Procurement Insights Discovery" sheetId="20" r:id="Redd44ba15b484d88"/>
    <x:sheet xmlns:r="http://schemas.openxmlformats.org/officeDocument/2006/relationships" name="21 Commercial Insights Discovery" sheetId="21" r:id="Rec8c516a28464397"/>
    <x:sheet xmlns:r="http://schemas.openxmlformats.org/officeDocument/2006/relationships" name="22 Project Insights Discovery" sheetId="22" r:id="Re935a1cd40e04d7c"/>
    <x:sheet xmlns:r="http://schemas.openxmlformats.org/officeDocument/2006/relationships" name="23 Performance Discovery" sheetId="23" r:id="R89401eecb4c74014"/>
    <x:sheet xmlns:r="http://schemas.openxmlformats.org/officeDocument/2006/relationships" name="24 Risk Compliance Discovery" sheetId="24" r:id="R16a90b6197d24f3f"/>
    <x:sheet xmlns:r="http://schemas.openxmlformats.org/officeDocument/2006/relationships" name="25 Commercial Handoff" sheetId="25" r:id="R09ff551cbb71473e"/>
    <x:sheet xmlns:r="http://schemas.openxmlformats.org/officeDocument/2006/relationships" name="26 RFQ Governance" sheetId="26" r:id="Rfeeb0300637c43d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165aadfcb584721" /><Relationship Type="http://schemas.openxmlformats.org/officeDocument/2006/relationships/theme" Target="/xl/theme/theme1.xml" Id="Rfc197d2d78614a21" /><Relationship Type="http://schemas.openxmlformats.org/officeDocument/2006/relationships/sharedStrings" Target="/xl/sharedStrings.xml" Id="Rba732cc78ef1473f" /><Relationship Type="http://schemas.openxmlformats.org/officeDocument/2006/relationships/worksheet" Target="/xl/worksheets/sheet1.xml" Id="Rf769de644cf54e50" /><Relationship Type="http://schemas.openxmlformats.org/officeDocument/2006/relationships/worksheet" Target="/xl/worksheets/sheet2.xml" Id="R9eba482cdcb74523" /><Relationship Type="http://schemas.openxmlformats.org/officeDocument/2006/relationships/worksheet" Target="/xl/worksheets/sheet3.xml" Id="R24ced239812640bc" /><Relationship Type="http://schemas.openxmlformats.org/officeDocument/2006/relationships/worksheet" Target="/xl/worksheets/sheet4.xml" Id="R5d2c8c9d2e094e70" /><Relationship Type="http://schemas.openxmlformats.org/officeDocument/2006/relationships/worksheet" Target="/xl/worksheets/sheet5.xml" Id="Rd2dcf3e747ee4cd4" /><Relationship Type="http://schemas.openxmlformats.org/officeDocument/2006/relationships/worksheet" Target="/xl/worksheets/sheet6.xml" Id="Re873929479c04b27" /><Relationship Type="http://schemas.openxmlformats.org/officeDocument/2006/relationships/worksheet" Target="/xl/worksheets/sheet7.xml" Id="R97e8ffbc7fb44b8b" /><Relationship Type="http://schemas.openxmlformats.org/officeDocument/2006/relationships/worksheet" Target="/xl/worksheets/sheet8.xml" Id="Rbe11889f74564603" /><Relationship Type="http://schemas.openxmlformats.org/officeDocument/2006/relationships/worksheet" Target="/xl/worksheets/sheet9.xml" Id="R00daf9835d914474" /><Relationship Type="http://schemas.openxmlformats.org/officeDocument/2006/relationships/worksheet" Target="/xl/worksheets/sheet10.xml" Id="Rcef21d2d3ebb454d" /><Relationship Type="http://schemas.openxmlformats.org/officeDocument/2006/relationships/worksheet" Target="/xl/worksheets/sheet11.xml" Id="R3a292f66c57849a9" /><Relationship Type="http://schemas.openxmlformats.org/officeDocument/2006/relationships/worksheet" Target="/xl/worksheets/sheet12.xml" Id="R719720b121c1473a" /><Relationship Type="http://schemas.openxmlformats.org/officeDocument/2006/relationships/worksheet" Target="/xl/worksheets/sheet13.xml" Id="R3c4dc6d78189425a" /><Relationship Type="http://schemas.openxmlformats.org/officeDocument/2006/relationships/worksheet" Target="/xl/worksheets/sheet14.xml" Id="R763bbbcef8874407" /><Relationship Type="http://schemas.openxmlformats.org/officeDocument/2006/relationships/worksheet" Target="/xl/worksheets/sheet15.xml" Id="R22d7e2336a294a66" /><Relationship Type="http://schemas.openxmlformats.org/officeDocument/2006/relationships/worksheet" Target="/xl/worksheets/sheet16.xml" Id="Rde5bdea199d348b2" /><Relationship Type="http://schemas.openxmlformats.org/officeDocument/2006/relationships/worksheet" Target="/xl/worksheets/sheet17.xml" Id="Rd3b405acfe324234" /><Relationship Type="http://schemas.openxmlformats.org/officeDocument/2006/relationships/worksheet" Target="/xl/worksheets/sheet18.xml" Id="Ra460e65276964927" /><Relationship Type="http://schemas.openxmlformats.org/officeDocument/2006/relationships/worksheet" Target="/xl/worksheets/sheet19.xml" Id="R7ecda51137244ea5" /><Relationship Type="http://schemas.openxmlformats.org/officeDocument/2006/relationships/worksheet" Target="/xl/worksheets/sheet20.xml" Id="Redd44ba15b484d88" /><Relationship Type="http://schemas.openxmlformats.org/officeDocument/2006/relationships/worksheet" Target="/xl/worksheets/sheet21.xml" Id="Rec8c516a28464397" /><Relationship Type="http://schemas.openxmlformats.org/officeDocument/2006/relationships/worksheet" Target="/xl/worksheets/sheet22.xml" Id="Re935a1cd40e04d7c" /><Relationship Type="http://schemas.openxmlformats.org/officeDocument/2006/relationships/worksheet" Target="/xl/worksheets/sheet23.xml" Id="R89401eecb4c74014" /><Relationship Type="http://schemas.openxmlformats.org/officeDocument/2006/relationships/worksheet" Target="/xl/worksheets/sheet24.xml" Id="R16a90b6197d24f3f" /><Relationship Type="http://schemas.openxmlformats.org/officeDocument/2006/relationships/worksheet" Target="/xl/worksheets/sheet25.xml" Id="R09ff551cbb71473e" /><Relationship Type="http://schemas.openxmlformats.org/officeDocument/2006/relationships/worksheet" Target="/xl/worksheets/sheet26.xml" Id="Rfeeb0300637c43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db761fadcb8c4e7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b761fadcb8c4e7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1bcabc6d5334f82" /></Relationships>
</file>

<file path=xl/worksheets/_rels/sheet2.xml.rels>&#65279;<?xml version="1.0" encoding="utf-8"?><Relationships xmlns="http://schemas.openxmlformats.org/package/2006/relationships"><Relationship Type="http://schemas.openxmlformats.org/officeDocument/2006/relationships/table" Target="/xl/tables/table2.xml" Id="R0717249a0b044789" /></Relationships>
</file>

<file path=xl/worksheets/_rels/sheet3.xml.rels>&#65279;<?xml version="1.0" encoding="utf-8"?><Relationships xmlns="http://schemas.openxmlformats.org/package/2006/relationships"><Relationship Type="http://schemas.openxmlformats.org/officeDocument/2006/relationships/drawing" Target="/xl/drawings/drawing1.xml" Id="Rab55043e8fba49e5" /></Relationships>
</file>

<file path=xl/worksheets/_rels/sheet4.xml.rels>&#65279;<?xml version="1.0" encoding="utf-8"?><Relationships xmlns="http://schemas.openxmlformats.org/package/2006/relationships"><Relationship Type="http://schemas.openxmlformats.org/officeDocument/2006/relationships/table" Target="/xl/tables/table3.xml" Id="R8c977249d6544959" /></Relationships>
</file>

<file path=xl/worksheets/_rels/sheet5.xml.rels>&#65279;<?xml version="1.0" encoding="utf-8"?><Relationships xmlns="http://schemas.openxmlformats.org/package/2006/relationships"><Relationship Type="http://schemas.openxmlformats.org/officeDocument/2006/relationships/table" Target="/xl/tables/table4.xml" Id="R29e9a2cfe5ca4c12" /></Relationships>
</file>

<file path=xl/worksheets/_rels/sheet6.xml.rels>&#65279;<?xml version="1.0" encoding="utf-8"?><Relationships xmlns="http://schemas.openxmlformats.org/package/2006/relationships"><Relationship Type="http://schemas.openxmlformats.org/officeDocument/2006/relationships/table" Target="/xl/tables/table5.xml" Id="R94ab0304c11d4fa1" /></Relationships>
</file>

<file path=xl/worksheets/_rels/sheet7.xml.rels>&#65279;<?xml version="1.0" encoding="utf-8"?><Relationships xmlns="http://schemas.openxmlformats.org/package/2006/relationships"><Relationship Type="http://schemas.openxmlformats.org/officeDocument/2006/relationships/table" Target="/xl/tables/table6.xml" Id="R8a19af896d334bc0" /></Relationships>
</file>

<file path=xl/worksheets/_rels/sheet9.xml.rels>&#65279;<?xml version="1.0" encoding="utf-8"?><Relationships xmlns="http://schemas.openxmlformats.org/package/2006/relationships"><Relationship Type="http://schemas.openxmlformats.org/officeDocument/2006/relationships/table" Target="/xl/tables/table7.xml" Id="R9546ad6c152e4e12" /></Relationships>
</file>

<file path=xl/worksheets/_rels/sheet10.xml.rels>&#65279;<?xml version="1.0" encoding="utf-8"?><Relationships xmlns="http://schemas.openxmlformats.org/package/2006/relationships"><Relationship Type="http://schemas.openxmlformats.org/officeDocument/2006/relationships/table" Target="/xl/tables/table8.xml" Id="Re3db353155f74d94" /></Relationships>
</file>

<file path=xl/worksheets/_rels/sheet11.xml.rels>&#65279;<?xml version="1.0" encoding="utf-8"?><Relationships xmlns="http://schemas.openxmlformats.org/package/2006/relationships"><Relationship Type="http://schemas.openxmlformats.org/officeDocument/2006/relationships/table" Target="/xl/tables/table9.xml" Id="Rc5a1c17862204efa" /></Relationships>
</file>

<file path=xl/worksheets/_rels/sheet13.xml.rels>&#65279;<?xml version="1.0" encoding="utf-8"?><Relationships xmlns="http://schemas.openxmlformats.org/package/2006/relationships"><Relationship Type="http://schemas.openxmlformats.org/officeDocument/2006/relationships/table" Target="/xl/tables/table10.xml" Id="R1a9a6426e7c540a8" /></Relationships>
</file>

<file path=xl/worksheets/_rels/sheet14.xml.rels>&#65279;<?xml version="1.0" encoding="utf-8"?><Relationships xmlns="http://schemas.openxmlformats.org/package/2006/relationships"><Relationship Type="http://schemas.openxmlformats.org/officeDocument/2006/relationships/table" Target="/xl/tables/table11.xml" Id="Rcc8fbf6e9a2d4863" /></Relationships>
</file>

<file path=xl/worksheets/_rels/sheet15.xml.rels>&#65279;<?xml version="1.0" encoding="utf-8"?><Relationships xmlns="http://schemas.openxmlformats.org/package/2006/relationships"><Relationship Type="http://schemas.openxmlformats.org/officeDocument/2006/relationships/table" Target="/xl/tables/table12.xml" Id="R4cdecc4b2b17418e" /></Relationships>
</file>

<file path=xl/worksheets/_rels/sheet16.xml.rels>&#65279;<?xml version="1.0" encoding="utf-8"?><Relationships xmlns="http://schemas.openxmlformats.org/package/2006/relationships"><Relationship Type="http://schemas.openxmlformats.org/officeDocument/2006/relationships/table" Target="/xl/tables/table13.xml" Id="Re7320faf968946b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71bcabc6d5334f8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717249a0b04478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351</x:v>
      </x:c>
      <x:c r="D6" s="133" t="inlineStr">
        <x:is>
          <x:t xml:space="preserve">G0A — Corporate platform architecture ready</x:t>
        </x:is>
      </x:c>
      <x:c r="E6" s="32" t="str">
        <x:f>'03 Launch Gates'!D20</x:f>
        <x:v>Completed</x:v>
      </x:c>
      <x:c r="G6" t="inlineStr">
        <x:is>
          <x:t xml:space="preserve">UI Tasks Complete</x:t>
        </x:is>
      </x:c>
      <x:c r="H6" t="n">
        <x:f>SUM(B36:B46)</x:f>
        <x:v>129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0.9564032697547684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0.9636363636363636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4</x:v>
      </x:c>
      <x:c r="C45" s="28" t="n">
        <x:f>COUNTIFS('01 Master Plan'!C$5:C$383,A45,'01 Master Plan'!H$5:H$383,"In Progress")</x:f>
        <x:v>0</x:v>
      </x:c>
      <x:c r="D45" s="28" t="n">
        <x:f>COUNTIFS('01 Master Plan'!C$5:C$383,A45,'01 Master Plan'!H$5:H$383,"Not Started")</x:f>
        <x:v>6</x:v>
      </x:c>
      <x:c r="E45" s="28" t="n">
        <x:f>COUNTIFS('01 Master Plan'!C$5:C$383,A45,'01 Master Plan'!H$5:H$383,"Blocked")</x:f>
        <x:v>0</x:v>
      </x:c>
      <x:c r="F45" s="28" t="n">
        <x:f>COUNTIFS('01 Master Plan'!C$5:C$383,A45,'01 Master Plan'!H$5:H$383,"Deferred")</x:f>
        <x:v>0</x:v>
      </x:c>
      <x:c r="G45" s="258" t="n">
        <x:f>IFERROR(B45/(B45+C45+D45+E45),0)</x:f>
        <x:v>0.4</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b55043e8fba49e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c977249d654495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9e9a2cfe5ca4c1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4ab0304c11d4fa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a19af896d334bc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546ad6c152e4e1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3db353155f74d9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5a1c17862204efa"/>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13I-04 are PASS/CLOSED under the approved evidence boundaries. 13I-04 dark-mode consistency audit passed evidence-only across eight representative authenticated surfaces at desktop/tablet/mobile with no P0/P1 or actionable P2 visual-system conflicts. Next canonical task: 13I-05 — motion consistency and annoyance audit.</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a9a6426e7c540a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c8fbf6e9a2d486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cdecc4b2b17418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7320faf968946b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