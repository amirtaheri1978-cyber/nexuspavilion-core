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01e38837c3f4414" /></Relationships>
</file>

<file path=xl/workbook.xml><?xml version="1.0" encoding="utf-8"?>
<x:workbook xmlns:x="http://schemas.openxmlformats.org/spreadsheetml/2006/main">
  <x:sheets>
    <x:sheet xmlns:r="http://schemas.openxmlformats.org/officeDocument/2006/relationships" name="01 Master Plan" sheetId="1" r:id="R913eb501874f4c22"/>
    <x:sheet xmlns:r="http://schemas.openxmlformats.org/officeDocument/2006/relationships" name="03 Launch Gates" sheetId="2" r:id="R8c2f654cfff2436f"/>
    <x:sheet xmlns:r="http://schemas.openxmlformats.org/officeDocument/2006/relationships" name="00 Dashboard" sheetId="3" r:id="Rd7bd5f6708ff4105"/>
    <x:sheet xmlns:r="http://schemas.openxmlformats.org/officeDocument/2006/relationships" name="04 Cursor Tasks" sheetId="4" r:id="Rff6f44acccdb440e"/>
    <x:sheet xmlns:r="http://schemas.openxmlformats.org/officeDocument/2006/relationships" name="05 UAT Matrix" sheetId="5" r:id="Rb68b305b31ff47e2"/>
    <x:sheet xmlns:r="http://schemas.openxmlformats.org/officeDocument/2006/relationships" name="06 Security Matrix" sheetId="6" r:id="Racd7f532416c47bf"/>
    <x:sheet xmlns:r="http://schemas.openxmlformats.org/officeDocument/2006/relationships" name="07 Risks" sheetId="7" r:id="Re0db951e061345e1"/>
    <x:sheet xmlns:r="http://schemas.openxmlformats.org/officeDocument/2006/relationships" name="08 Architecture" sheetId="8" r:id="Ra68bc625ca8b4981"/>
    <x:sheet xmlns:r="http://schemas.openxmlformats.org/officeDocument/2006/relationships" name="09 Release Checklist" sheetId="9" r:id="Ra90d79a9a0094f53"/>
    <x:sheet xmlns:r="http://schemas.openxmlformats.org/officeDocument/2006/relationships" name="10 Change Log" sheetId="10" r:id="R2796cedaa31146f4"/>
    <x:sheet xmlns:r="http://schemas.openxmlformats.org/officeDocument/2006/relationships" name="11 Scope &amp; Roadmap" sheetId="11" r:id="Rb089559e0cfe452d"/>
    <x:sheet xmlns:r="http://schemas.openxmlformats.org/officeDocument/2006/relationships" name="12 How to Use" sheetId="12" r:id="Rb586bf6809a040ac"/>
    <x:sheet xmlns:r="http://schemas.openxmlformats.org/officeDocument/2006/relationships" name="13 UI Program" sheetId="13" r:id="R08bdd2cd7f714b9a"/>
    <x:sheet xmlns:r="http://schemas.openxmlformats.org/officeDocument/2006/relationships" name="14 UI Scorecard" sheetId="14" r:id="R8fed7ea711f54575"/>
    <x:sheet xmlns:r="http://schemas.openxmlformats.org/officeDocument/2006/relationships" name="15 Motion Guidance" sheetId="15" r:id="R0d2bca622a774a4a"/>
    <x:sheet xmlns:r="http://schemas.openxmlformats.org/officeDocument/2006/relationships" name="16 Design Standards" sheetId="16" r:id="R57332b90a6b84ebb"/>
    <x:sheet xmlns:r="http://schemas.openxmlformats.org/officeDocument/2006/relationships" name="17 Corporate Platform" sheetId="17" r:id="Rda9b03284f08484e"/>
    <x:sheet xmlns:r="http://schemas.openxmlformats.org/officeDocument/2006/relationships" name="18 Analytics Reuse Map" sheetId="18" r:id="Rf55327b20f56441b"/>
    <x:sheet xmlns:r="http://schemas.openxmlformats.org/officeDocument/2006/relationships" name="19 Executive Insights Discovery" sheetId="19" r:id="Rcc0baf731b724c61"/>
    <x:sheet xmlns:r="http://schemas.openxmlformats.org/officeDocument/2006/relationships" name="20 Procurement Insights Discovery" sheetId="20" r:id="R6dc67fee5eb647ef"/>
    <x:sheet xmlns:r="http://schemas.openxmlformats.org/officeDocument/2006/relationships" name="21 Commercial Insights Discovery" sheetId="21" r:id="R3138fbc0326e4292"/>
    <x:sheet xmlns:r="http://schemas.openxmlformats.org/officeDocument/2006/relationships" name="22 Project Insights Discovery" sheetId="22" r:id="R47c4f12694bb4679"/>
    <x:sheet xmlns:r="http://schemas.openxmlformats.org/officeDocument/2006/relationships" name="23 Performance Discovery" sheetId="23" r:id="R904019506fae47cc"/>
    <x:sheet xmlns:r="http://schemas.openxmlformats.org/officeDocument/2006/relationships" name="24 Risk Compliance Discovery" sheetId="24" r:id="Rae27dd04bff64e00"/>
    <x:sheet xmlns:r="http://schemas.openxmlformats.org/officeDocument/2006/relationships" name="25 Commercial Handoff" sheetId="25" r:id="Rb7343dcc570a4aaf"/>
    <x:sheet xmlns:r="http://schemas.openxmlformats.org/officeDocument/2006/relationships" name="26 RFQ Governance" sheetId="26" r:id="Rb9c97a884f684a9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4fac10e0e9f4484" /><Relationship Type="http://schemas.openxmlformats.org/officeDocument/2006/relationships/theme" Target="/xl/theme/theme1.xml" Id="R7dea2e5741d04f99" /><Relationship Type="http://schemas.openxmlformats.org/officeDocument/2006/relationships/sharedStrings" Target="/xl/sharedStrings.xml" Id="Rd68d6ea25b5e43a1" /><Relationship Type="http://schemas.openxmlformats.org/officeDocument/2006/relationships/worksheet" Target="/xl/worksheets/sheet1.xml" Id="R913eb501874f4c22" /><Relationship Type="http://schemas.openxmlformats.org/officeDocument/2006/relationships/worksheet" Target="/xl/worksheets/sheet2.xml" Id="R8c2f654cfff2436f" /><Relationship Type="http://schemas.openxmlformats.org/officeDocument/2006/relationships/worksheet" Target="/xl/worksheets/sheet3.xml" Id="Rd7bd5f6708ff4105" /><Relationship Type="http://schemas.openxmlformats.org/officeDocument/2006/relationships/worksheet" Target="/xl/worksheets/sheet4.xml" Id="Rff6f44acccdb440e" /><Relationship Type="http://schemas.openxmlformats.org/officeDocument/2006/relationships/worksheet" Target="/xl/worksheets/sheet5.xml" Id="Rb68b305b31ff47e2" /><Relationship Type="http://schemas.openxmlformats.org/officeDocument/2006/relationships/worksheet" Target="/xl/worksheets/sheet6.xml" Id="Racd7f532416c47bf" /><Relationship Type="http://schemas.openxmlformats.org/officeDocument/2006/relationships/worksheet" Target="/xl/worksheets/sheet7.xml" Id="Re0db951e061345e1" /><Relationship Type="http://schemas.openxmlformats.org/officeDocument/2006/relationships/worksheet" Target="/xl/worksheets/sheet8.xml" Id="Ra68bc625ca8b4981" /><Relationship Type="http://schemas.openxmlformats.org/officeDocument/2006/relationships/worksheet" Target="/xl/worksheets/sheet9.xml" Id="Ra90d79a9a0094f53" /><Relationship Type="http://schemas.openxmlformats.org/officeDocument/2006/relationships/worksheet" Target="/xl/worksheets/sheet10.xml" Id="R2796cedaa31146f4" /><Relationship Type="http://schemas.openxmlformats.org/officeDocument/2006/relationships/worksheet" Target="/xl/worksheets/sheet11.xml" Id="Rb089559e0cfe452d" /><Relationship Type="http://schemas.openxmlformats.org/officeDocument/2006/relationships/worksheet" Target="/xl/worksheets/sheet12.xml" Id="Rb586bf6809a040ac" /><Relationship Type="http://schemas.openxmlformats.org/officeDocument/2006/relationships/worksheet" Target="/xl/worksheets/sheet13.xml" Id="R08bdd2cd7f714b9a" /><Relationship Type="http://schemas.openxmlformats.org/officeDocument/2006/relationships/worksheet" Target="/xl/worksheets/sheet14.xml" Id="R8fed7ea711f54575" /><Relationship Type="http://schemas.openxmlformats.org/officeDocument/2006/relationships/worksheet" Target="/xl/worksheets/sheet15.xml" Id="R0d2bca622a774a4a" /><Relationship Type="http://schemas.openxmlformats.org/officeDocument/2006/relationships/worksheet" Target="/xl/worksheets/sheet16.xml" Id="R57332b90a6b84ebb" /><Relationship Type="http://schemas.openxmlformats.org/officeDocument/2006/relationships/worksheet" Target="/xl/worksheets/sheet17.xml" Id="Rda9b03284f08484e" /><Relationship Type="http://schemas.openxmlformats.org/officeDocument/2006/relationships/worksheet" Target="/xl/worksheets/sheet18.xml" Id="Rf55327b20f56441b" /><Relationship Type="http://schemas.openxmlformats.org/officeDocument/2006/relationships/worksheet" Target="/xl/worksheets/sheet19.xml" Id="Rcc0baf731b724c61" /><Relationship Type="http://schemas.openxmlformats.org/officeDocument/2006/relationships/worksheet" Target="/xl/worksheets/sheet20.xml" Id="R6dc67fee5eb647ef" /><Relationship Type="http://schemas.openxmlformats.org/officeDocument/2006/relationships/worksheet" Target="/xl/worksheets/sheet21.xml" Id="R3138fbc0326e4292" /><Relationship Type="http://schemas.openxmlformats.org/officeDocument/2006/relationships/worksheet" Target="/xl/worksheets/sheet22.xml" Id="R47c4f12694bb4679" /><Relationship Type="http://schemas.openxmlformats.org/officeDocument/2006/relationships/worksheet" Target="/xl/worksheets/sheet23.xml" Id="R904019506fae47cc" /><Relationship Type="http://schemas.openxmlformats.org/officeDocument/2006/relationships/worksheet" Target="/xl/worksheets/sheet24.xml" Id="Rae27dd04bff64e00" /><Relationship Type="http://schemas.openxmlformats.org/officeDocument/2006/relationships/worksheet" Target="/xl/worksheets/sheet25.xml" Id="Rb7343dcc570a4aaf" /><Relationship Type="http://schemas.openxmlformats.org/officeDocument/2006/relationships/worksheet" Target="/xl/worksheets/sheet26.xml" Id="Rb9c97a884f684a9b" /></Relationships>
</file>

<file path=xl/drawings/_rels/drawing1.xml.rels>&#65279;<?xml version="1.0" encoding="utf-8"?><Relationships xmlns="http://schemas.openxmlformats.org/package/2006/relationships"><Relationship Type="http://schemas.openxmlformats.org/officeDocument/2006/relationships/chart" Target="/xl/drawings/charts/chart1.xml" Id="R345bade2c1e841b9"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45bade2c1e841b9"/>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f114e887edd4f89" /></Relationships>
</file>

<file path=xl/worksheets/_rels/sheet2.xml.rels>&#65279;<?xml version="1.0" encoding="utf-8"?><Relationships xmlns="http://schemas.openxmlformats.org/package/2006/relationships"><Relationship Type="http://schemas.openxmlformats.org/officeDocument/2006/relationships/table" Target="/xl/tables/table2.xml" Id="R37c4a57de30a42b7" /></Relationships>
</file>

<file path=xl/worksheets/_rels/sheet3.xml.rels>&#65279;<?xml version="1.0" encoding="utf-8"?><Relationships xmlns="http://schemas.openxmlformats.org/package/2006/relationships"><Relationship Type="http://schemas.openxmlformats.org/officeDocument/2006/relationships/drawing" Target="/xl/drawings/drawing1.xml" Id="Rf6199febc9d94676" /></Relationships>
</file>

<file path=xl/worksheets/_rels/sheet4.xml.rels>&#65279;<?xml version="1.0" encoding="utf-8"?><Relationships xmlns="http://schemas.openxmlformats.org/package/2006/relationships"><Relationship Type="http://schemas.openxmlformats.org/officeDocument/2006/relationships/table" Target="/xl/tables/table3.xml" Id="Ra5cdea46ffb841fa" /></Relationships>
</file>

<file path=xl/worksheets/_rels/sheet5.xml.rels>&#65279;<?xml version="1.0" encoding="utf-8"?><Relationships xmlns="http://schemas.openxmlformats.org/package/2006/relationships"><Relationship Type="http://schemas.openxmlformats.org/officeDocument/2006/relationships/table" Target="/xl/tables/table4.xml" Id="R7961bf80eb1940df" /></Relationships>
</file>

<file path=xl/worksheets/_rels/sheet6.xml.rels>&#65279;<?xml version="1.0" encoding="utf-8"?><Relationships xmlns="http://schemas.openxmlformats.org/package/2006/relationships"><Relationship Type="http://schemas.openxmlformats.org/officeDocument/2006/relationships/table" Target="/xl/tables/table5.xml" Id="R0a797885a4d142d7" /></Relationships>
</file>

<file path=xl/worksheets/_rels/sheet7.xml.rels>&#65279;<?xml version="1.0" encoding="utf-8"?><Relationships xmlns="http://schemas.openxmlformats.org/package/2006/relationships"><Relationship Type="http://schemas.openxmlformats.org/officeDocument/2006/relationships/table" Target="/xl/tables/table6.xml" Id="Rb53fd1f7fc194461" /></Relationships>
</file>

<file path=xl/worksheets/_rels/sheet9.xml.rels>&#65279;<?xml version="1.0" encoding="utf-8"?><Relationships xmlns="http://schemas.openxmlformats.org/package/2006/relationships"><Relationship Type="http://schemas.openxmlformats.org/officeDocument/2006/relationships/table" Target="/xl/tables/table7.xml" Id="R58f766215d3a4214" /></Relationships>
</file>

<file path=xl/worksheets/_rels/sheet10.xml.rels>&#65279;<?xml version="1.0" encoding="utf-8"?><Relationships xmlns="http://schemas.openxmlformats.org/package/2006/relationships"><Relationship Type="http://schemas.openxmlformats.org/officeDocument/2006/relationships/table" Target="/xl/tables/table8.xml" Id="R58802067243b4733" /></Relationships>
</file>

<file path=xl/worksheets/_rels/sheet11.xml.rels>&#65279;<?xml version="1.0" encoding="utf-8"?><Relationships xmlns="http://schemas.openxmlformats.org/package/2006/relationships"><Relationship Type="http://schemas.openxmlformats.org/officeDocument/2006/relationships/table" Target="/xl/tables/table9.xml" Id="R13f8b38d69da42d5" /></Relationships>
</file>

<file path=xl/worksheets/_rels/sheet13.xml.rels>&#65279;<?xml version="1.0" encoding="utf-8"?><Relationships xmlns="http://schemas.openxmlformats.org/package/2006/relationships"><Relationship Type="http://schemas.openxmlformats.org/officeDocument/2006/relationships/table" Target="/xl/tables/table10.xml" Id="R22b4134bb6974822" /></Relationships>
</file>

<file path=xl/worksheets/_rels/sheet14.xml.rels>&#65279;<?xml version="1.0" encoding="utf-8"?><Relationships xmlns="http://schemas.openxmlformats.org/package/2006/relationships"><Relationship Type="http://schemas.openxmlformats.org/officeDocument/2006/relationships/table" Target="/xl/tables/table11.xml" Id="R6953022842a24686" /></Relationships>
</file>

<file path=xl/worksheets/_rels/sheet15.xml.rels>&#65279;<?xml version="1.0" encoding="utf-8"?><Relationships xmlns="http://schemas.openxmlformats.org/package/2006/relationships"><Relationship Type="http://schemas.openxmlformats.org/officeDocument/2006/relationships/table" Target="/xl/tables/table12.xml" Id="R21e56edd2e0d4d9d" /></Relationships>
</file>

<file path=xl/worksheets/_rels/sheet16.xml.rels>&#65279;<?xml version="1.0" encoding="utf-8"?><Relationships xmlns="http://schemas.openxmlformats.org/package/2006/relationships"><Relationship Type="http://schemas.openxmlformats.org/officeDocument/2006/relationships/table" Target="/xl/tables/table13.xml" Id="R620e8cbb5c7f49d6"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v>✓</x:v>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Completed</x:v>
      </x:c>
      <x:c r="I321" s="133" t="str">
        <x:v>Project Owner / Product / Engineering</x:v>
      </x:c>
      <x:c r="J321" s="133" t="str"/>
      <x:c r="K321" s="133" t="inlineStr">
        <x:is>
          <x:t xml:space="preserve">13G-10</x:t>
        </x:is>
      </x:c>
      <x:c r="L321" s="133" t="str"/>
      <x:c r="M321" s="133" t="str">
        <x:v>PASS / ACTIVITY CENTER RECONCILED CLOSEOUT — No code change required. The legacy My Tasks acceptance conflict was formally reconciled to the canonical launch contract: Needs Attention / Updates / History only. The existing Activity Center already satisfies the approved launch information architecture and presentation standard.</x:v>
      </x:c>
      <x:c r="N321" s="249" t="n"/>
      <x:c r="O321" s="249" t="n">
        <x:v>46297</x:v>
      </x:c>
      <x:c r="P321" s="135" t="str">
        <x:v>Evidence-only closeout on canonical remote HEAD 9ba925fa38e00de75ec4ca00767ec917bf7db1aa using an isolated clean worktree. Authenticated desktop/tablet/mobile QA PASS; accessibility PASS; no horizontal overflow; no console errors introduced; visual score 9.4/10. Needs Attention taxonomy remains quote, rfi, rfi_response, addendum_action_required with priority ordering addendum_action_required → rfi → rfi_response → quote and newest-first tie-breaker; source list remains copied before sort. Updates keeps award informational; Workspace Invitation actions are not present; authorized RFQ source resolution remains slug-based and access-safe; user-facing Unread/Urgent/Overdue semantics remain absent. Focused prioritization + guidance tests PASS 12/12. procurement-activity-event-writers-contract.test.ts has one independently verified pre-existing stale route-string assertion: rfq-addenda/route.ts delegates through recordAndDeliverAddendumCommunication, and that helper still invokes recordTrustedProcurementActivity with addendum_published. Lint PASS, build PASS, git diff --check PASS; no files changed. Phase 13H is now complete. Next canonical task: 13I-01 — Rescore all core pages after implementation.</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v>✓</x:v>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Completed</x:v>
      </x:c>
      <x:c r="I324" s="133" t="str">
        <x:v>Project Owner / Product / Engineering</x:v>
      </x:c>
      <x:c r="J324" s="133" t="str"/>
      <x:c r="K324" s="133" t="inlineStr">
        <x:is>
          <x:t xml:space="preserve">13G-10</x:t>
        </x:is>
      </x:c>
      <x:c r="L324" s="133" t="str"/>
      <x:c r="M324" s="133" t="str">
        <x:v>PASS / STRATEGIC INSIGHTS LIMITED-EXCEPTION UPGRADE PUBLISHED — Commit 6a412c36425d3ad6c50d53b4804c0370dc766000 changes exactly one authorized file: src/app/analytics/page.tsx. The work was executed from an isolated clean worktree based on 1650ac06d4829b9217b18aa83456a44e69d1ebb4 so the main repository's unrelated dirty analytics/M4 WIP remained untouched.</x:v>
      </x:c>
      <x:c r="N324" s="249" t="n"/>
      <x:c r="O324" s="249" t="n">
        <x:v>46297</x:v>
      </x:c>
      <x:c r="P324" s="135" t="str">
        <x:v>Validation: presentation-only boundary PASS; authenticated desktop/tablet/mobile real-route QA PASS; accessibility PASS; no horizontal overflow; no console errors introduced; visual rescore 9.3/10. analytics-permission-inheritance.test.ts PASS 22/22. analytics-decision-evidence-truthfulness.test.ts had exactly three independently reproduced pre-existing baseline failures on clean HEAD: one CRLF-sensitive Board Readiness string assertion and two stale public-company assertions superseded by the closed 13H-13 Company Network confidentiality remediation; no new test failures were introduced. Lint PASS, build PASS, git diff --check PASS. Remote verification confirmed branch commit 6a412c36425d3ad6c50d53b4804c0370dc766000 and exactly one file. No analytics business logic, source-loader, commercial confidentiality/gating, score/readiness calculation, report/export/narrative/M4 consumer, section-id/href, API/RLS/database, or child analytics component changes were included. The pre-existing main-worktree analytics rewrite cluster remains intentionally untouched and is not adopted into 13H-14. Phase 13H remains BLOCKED only by 13H-11 — Activity Center / My Tasks data-model contract.</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v>✓</x:v>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str">
        <x:v>Completed</x:v>
      </x:c>
      <x:c r="I326" s="133" t="str">
        <x:v>Project Owner / Product / Engineering</x:v>
      </x:c>
      <x:c r="J326" s="133" t="str"/>
      <x:c r="K326" s="133" t="inlineStr">
        <x:is>
          <x:t xml:space="preserve">13G-10</x:t>
        </x:is>
      </x:c>
      <x:c r="L326" s="133" t="str"/>
      <x:c r="M326" s="133" t="str">
        <x:v>PASS / TEAM &amp; ACCESS UPGRADE PUBLISHED — Commit 542704f3183c597357ce1dd9237914648c3ee103 changes exactly four authorized files: src/components/company-members-center.tsx, src/components/invite-user-form.tsx, src/components/member-actions.tsx, and src/components/invitation-actions.tsx. The Team &amp; Access experience now uses clearer workspace-membership, Access Level, member-action, and Workspace Invitation presentation while preserving all authorization and domain boundaries.</x:v>
      </x:c>
      <x:c r="N326" s="249" t="n"/>
      <x:c r="O326" s="249" t="n">
        <x:v>46297</x:v>
      </x:c>
      <x:c r="P326" s="135" t="str">
        <x:v>Validation before publication: focused Team &amp; Access tests PASS, lint PASS, build PASS, git diff --check PASS; desktop/tablet/mobile visual verification PASS; accessibility PASS; no horizontal overflow; visual rescore 9.4/10. Remote verification confirmed branch commit 542704f3183c597357ce1dd9237914648c3ee103 and exactly four authorized files. Workspace Membership, Workspace Role, and Procurement Function semantics remain distinct. Workspace Invitation remains explicitly separate from RFQ Invitation and does not grant RFQ access. Owner protection, current-user self-management protection, and active owner/admin member-management authority were preserved. No member-role API, member-removal API, Workspace Invitation API, auth/RLS/database, Company Profile, Professional Identity, Ownership/Governance, RFQ Invitation, or unrelated changes were included. Known pre-existing stale src/lib/auth/professional-identity-surfaces.test.ts Location N/A assertion remains out of scope and unchanged. Next executable canonical task: 13H-17 — Upgrade Capabilities &amp; Qualifications.</x:v>
      </x:c>
    </x:row>
    <x:row r="327">
      <x:c r="A327" s="133" t="str">
        <x:v>✓</x:v>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str">
        <x:v>Completed</x:v>
      </x:c>
      <x:c r="I327" s="133" t="str">
        <x:v>Project Owner / Product / Engineering</x:v>
      </x:c>
      <x:c r="J327" s="133" t="str"/>
      <x:c r="K327" s="133" t="inlineStr">
        <x:is>
          <x:t xml:space="preserve">13G-10</x:t>
        </x:is>
      </x:c>
      <x:c r="L327" s="133" t="str"/>
      <x:c r="M327" s="133" t="str">
        <x:v>PASS / CAPABILITIES &amp; QUALIFICATIONS UPGRADE PUBLISHED — Commit 3601c38fdd9b2ee88f82dd3a299d9b3e0f67f653 changes exactly two authorized files: src/components/company-capabilities-editor.tsx and src/components/company-qualifications-editor.tsx. The editors are presentation-standardized while preserving capability/qualification taxonomy, normalization, deduplication, limits, persistence, and visibility semantics.</x:v>
      </x:c>
      <x:c r="N327" s="249" t="n"/>
      <x:c r="O327" s="249" t="n">
        <x:v>46297</x:v>
      </x:c>
      <x:c r="P327" s="135" t="str">
        <x:v>Validation before publication: focused capability/qualification tests PASS, lint PASS, build PASS, git diff --check PASS; desktop/tablet/mobile visual verification PASS; accessibility PASS; no horizontal overflow; visual rescore 9.4/10. Remote verification confirmed branch commit 3601c38fdd9b2ee88f82dd3a299d9b3e0f67f653 and exactly two authorized editor files. Capability taxonomy, normalization/deduplication and group limits remain unchanged. Qualification taxonomy, normalization/deduplication and group limits remain unchanged. Public visibility semantics remain unchanged; Credential Identifier remains workspace-only. No API/payload, auth/RLS/database, Public Company Network, display-component or unrelated changes were included. Known pre-existing stale src/lib/auth/professional-identity-surfaces.test.ts Location N/A assertion remains out of scope and unchanged. Next executable canonical task: 13H-18 — Upgrade Compliance &amp; Documents.</x:v>
      </x:c>
    </x:row>
    <x:row r="328">
      <x:c r="A328" s="133" t="str">
        <x:v>✓</x:v>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str">
        <x:v>Completed</x:v>
      </x:c>
      <x:c r="I328" s="133" t="str">
        <x:v>Project Owner / Product / Engineering</x:v>
      </x:c>
      <x:c r="J328" s="133" t="str"/>
      <x:c r="K328" s="133" t="inlineStr">
        <x:is>
          <x:t xml:space="preserve">13G-10</x:t>
        </x:is>
      </x:c>
      <x:c r="L328" s="133" t="str"/>
      <x:c r="M328" s="133" t="str">
        <x:v>PASS / COMPLIANCE &amp; DOCUMENTS UPGRADE PUBLISHED — Commit 2b663f0cd7da74f2400a252406122c506dccb0ea changes exactly two authorized files: src/components/company-compliance-editor.tsx and src/components/company-documents-editor.tsx. The editors are presentation-standardized while preserving compliance/document taxonomy, self-declared evidence framing, date/status derivation, file operations, and storage/API contracts.</x:v>
      </x:c>
      <x:c r="N328" s="249" t="n"/>
      <x:c r="O328" s="249" t="n">
        <x:v>46297</x:v>
      </x:c>
      <x:c r="P328" s="135" t="str">
        <x:v>Validation before publication: focused compliance/document tests PASS, lint PASS, build PASS, git diff --check PASS; desktop/tablet/mobile visual verification PASS; accessibility PASS; no horizontal overflow; visual rescore 9.4/10. Remote verification confirmed branch commit 2b663f0cd7da74f2400a252406122c506dccb0ea and exactly two authorized editor files. Compliance taxonomy, normalization/deduplication, limits and deriveCompliancePresentation semantics remain unchanged; self-declared compliance notice remains visible. Document taxonomy, upload/replace/download/delete behavior, signed-upload/storage contract, metadata/date validation and deriveDocumentPresentation semantics remain unchanged; self-declared document notice remains visible. No API/payload, auth/RLS/database, Public Company Network, display-component or unrelated changes were included. Known pre-existing stale src/lib/auth/professional-identity-surfaces.test.ts Location N/A assertion remains out of scope and unchanged. Next executable canonical task: 13H-19 — Upgrade Policies &amp; Approvals.</x:v>
      </x:c>
    </x:row>
    <x:row r="329">
      <x:c r="A329" s="133" t="str">
        <x:v>✓</x:v>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str">
        <x:v>Completed</x:v>
      </x:c>
      <x:c r="I329" s="133" t="str">
        <x:v>Project Owner / Product / Engineering</x:v>
      </x:c>
      <x:c r="J329" s="133" t="str"/>
      <x:c r="K329" s="133" t="inlineStr">
        <x:is>
          <x:t xml:space="preserve">13G-10</x:t>
        </x:is>
      </x:c>
      <x:c r="L329" s="133" t="str"/>
      <x:c r="M329" s="133" t="str">
        <x:v>PASS / POLICIES &amp; APPROVALS UPGRADE PUBLISHED — Commit 306a4006ce77602e7d662eb7ef59e6a39204e11d changes exactly one authorized file: src/components/company-governance-center.tsx. The read-only governance catalog is presentation-standardized while preserving existing authority boundaries and business-workflow ownership.</x:v>
      </x:c>
      <x:c r="N329" s="249" t="n"/>
      <x:c r="O329" s="249" t="n">
        <x:v>46297</x:v>
      </x:c>
      <x:c r="P329" s="135" t="str">
        <x:v>Validation before publication: focused governance contract tests PASS, lint PASS, build PASS, git diff --check PASS; desktop/tablet/mobile visual verification PASS; accessibility PASS; no horizontal overflow; visual rescore 9.4/10. Remote verification confirmed branch commit 306a4006ce77602e7d662eb7ef59e6a39204e11d and exactly one authorized file. Policies &amp; Approval Controls remains a read-only overview with no fetch/form/input/checkbox/mutation/approval queue or secondary approval layer. Workspace Invitation remains distinct from RFQ Invitation; Quotation remains distinct from Contract Award; award remains RFQ-workflow-only; Organization Verification remains informational/platform-governed; Ownership flow remains unchanged. No authorization logic, API/RLS/database, contract-test or unrelated changes were included. Known pre-existing stale src/lib/auth/professional-identity-surfaces.test.ts Location N/A assertion remains out of scope and unchanged. Next executable canonical task: 13H-20 — Upgrade Integrations &amp; Settings.</x:v>
      </x:c>
    </x:row>
    <x:row r="330">
      <x:c r="A330" s="133" t="str">
        <x:v>✓</x:v>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str">
        <x:v>Completed</x:v>
      </x:c>
      <x:c r="I330" s="133" t="str">
        <x:v>Project Owner / Product / Engineering</x:v>
      </x:c>
      <x:c r="J330" s="133" t="str"/>
      <x:c r="K330" s="133" t="inlineStr">
        <x:is>
          <x:t xml:space="preserve">13G-10</x:t>
        </x:is>
      </x:c>
      <x:c r="L330" s="133" t="str"/>
      <x:c r="M330" s="133" t="str">
        <x:v>PASS / INTEGRATIONS &amp; SETTINGS UPGRADE PUBLISHED — Commit 0e577c1cbf442c89b4459775ced89c3c0f86cca6 changes exactly one authorized file: src/app/company/settings/page.tsx. Workspace Settings is presentation-standardized as a utility/configuration surface without inventing integration management, operational KPIs, or new configuration capabilities.</x:v>
      </x:c>
      <x:c r="N330" s="249" t="n"/>
      <x:c r="O330" s="249" t="n">
        <x:v>46297</x:v>
      </x:c>
      <x:c r="P330" s="135" t="str">
        <x:v>Validation before publication: focused settings/navigation/integration-boundary tests PASS, lint PASS, build PASS, git diff --check PASS; authenticated desktop/tablet/mobile real-route QA PASS; accessibility PASS; no horizontal overflow; no console errors introduced; visual rescore 9.3/10. Remote verification confirmed branch commit 0e577c1cbf442c89b4459775ced89c3c0f86cca6 and exactly one authorized file. Workspace Settings remains a utility/configuration surface; no fake integrations, connector cards, operational KPI/dashboard content, RFQ/Analytics hero CTAs, environment/provider settings or closed-section redesigns were introduced. Approved section navigation/hash targets, getPublicSiteUrl usage, authorization/data/API/RLS/database contracts and the pre-existing fail-closed unauthenticated identity behavior remain unchanged. Next execution decision requires Phase 13H blocker reconciliation before 13I-01: 13H-11 My Tasks remains BLOCKED pending an approved task ownership/data contract; 13H-14 Strategic Insights remains BLOCKED by the frozen direct /analytics surface.</x:v>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str">
        <x:v>In Progress</x:v>
      </x:c>
      <x:c r="I331" s="133" t="str">
        <x:v>Project Owner / Product / Engineering</x:v>
      </x:c>
      <x:c r="J331" s="133" t="str"/>
      <x:c r="K331" s="133" t="inlineStr">
        <x:is>
          <x:t xml:space="preserve">13H-20</x:t>
        </x:is>
      </x:c>
      <x:c r="L331" s="133" t="str"/>
      <x:c r="M331" s="133" t="str">
        <x:v>IN PROGRESS / UI 9.5 QUALITY GATE — Core-page rescoring is substantially complete on canonical remote HEAD ffc784b7bc5c32e032ebc1888480667c78c2bb88. Verified respondent/company/settings surfaces have no remaining &lt;9.0 scores after the closed-addendum acknowledgement defect remediation. Three issuer-only surfaces remain UNVERIFIED because the available authenticated session is Gulf Coast Concrete Solutions LLC in respondent context with no issuer-owned RFQs: Market Engagement &amp; Publishing, Issuer RFI/Addenda Management, and Evaluation &amp; Award.</x:v>
      </x:c>
      <x:c r="N331" s="249" t="n"/>
      <x:c r="O331" s="249" t="n">
        <x:v>46297</x:v>
      </x:c>
      <x:c r="P331" s="135" t="str">
        <x:v>Verified scoring evidence to date: Executive Overview 9.1; Procurement Center Landing 9.2 provisional because the session is respondent-framed and absence of issuer Create RFQ UI may be correct; RFQ Drafting &amp; Configuration 9.4; Respondent RFQ Review &amp; Scoping 9.3; Respondent RFI/Addenda 9.4 after remediation; Quote/Proposal Preparation 9.4; Submission &amp; Award Tracking 9.5; Activity Center 9.4; Project Portfolio 9.5; Company Network 9.3; Strategic Insights 9.4; Identity &amp; Profile 9.6; Team &amp; Access 9.5; Capabilities &amp; Qualifications 9.5; Compliance &amp; Documents 9.5; Policies &amp; Approvals 9.5; Integrations &amp; Settings 9.5. 13I defect remediation commit ffc784b7bc5c32e032ebc1888480667c78c2bb88 fixed the closed addendum acknowledgement impossible-action state with exactly four authorized files; open acknowledgement workflow, API/deadline governance, quote governance and Activity Center taxonomy remained unchanged. Issuer-only scoring must use a real authenticated issuer-owned RFQ; do not manufacture RFQs, deadlines, roles or commercial opening state solely for scoring. 13I-01 cannot close until the three issuer-only surfaces are verified or formally dispositioned.</x:v>
      </x:c>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4f114e887edd4f89"/>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37c4a57de30a42b7"/>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347</x:v>
      </x:c>
      <x:c r="D6" s="133" t="inlineStr">
        <x:is>
          <x:t xml:space="preserve">G0A — Corporate platform architecture ready</x:t>
        </x:is>
      </x:c>
      <x:c r="E6" s="32" t="str">
        <x:f>'03 Launch Gates'!D20</x:f>
        <x:v>Completed</x:v>
      </x:c>
      <x:c r="G6" t="inlineStr">
        <x:is>
          <x:t xml:space="preserve">UI Tasks Complete</x:t>
        </x:is>
      </x:c>
      <x:c r="H6" t="n">
        <x:f>SUM(B36:B46)</x:f>
        <x:v>125</x:v>
      </x:c>
    </x:row>
    <x:row r="7">
      <x:c r="A7" s="50" t="inlineStr">
        <x:is>
          <x:t xml:space="preserve">In Progress</x:t>
        </x:is>
      </x:c>
      <x:c r="B7" s="56" t="n">
        <x:f>COUNTIF('01 Master Plan'!H5:H383,"In Progress")</x:f>
        <x:v>1</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0.9455040871934605</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0.9490909090909091</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20</x:v>
      </x:c>
      <x:c r="C44" s="28" t="n">
        <x:f>COUNTIFS('01 Master Plan'!C$5:C$383,A44,'01 Master Plan'!H$5:H$383,"In Progress")</x:f>
        <x:v>0</x:v>
      </x:c>
      <x:c r="D44" s="28" t="n">
        <x:f>COUNTIFS('01 Master Plan'!C$5:C$383,A44,'01 Master Plan'!H$5:H$383,"Not Started")</x:f>
        <x:v>0</x:v>
      </x:c>
      <x:c r="E44" s="28" t="n">
        <x:f>COUNTIFS('01 Master Plan'!C$5:C$383,A44,'01 Master Plan'!H$5:H$383,"Blocked")</x:f>
        <x:v>0</x:v>
      </x:c>
      <x:c r="F44" s="28" t="n">
        <x:f>COUNTIFS('01 Master Plan'!C$5:C$383,A44,'01 Master Plan'!H$5:H$383,"Deferred")</x:f>
        <x:v>0</x:v>
      </x:c>
      <x:c r="G44" s="258" t="n">
        <x:f>IFERROR(B44/(B44+C44+D44+E44),0)</x:f>
        <x:v>1</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1</x:v>
      </x:c>
      <x:c r="D45" s="28" t="n">
        <x:f>COUNTIFS('01 Master Plan'!C$5:C$383,A45,'01 Master Plan'!H$5:H$383,"Not Started")</x:f>
        <x:v>9</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f6199febc9d94676"/>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a5cdea46ffb841fa"/>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7961bf80eb1940df"/>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0a797885a4d142d7"/>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b53fd1f7fc194461"/>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58f766215d3a4214"/>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row r="1282">
      <x:c r="A1282" t="n">
        <x:v>46297</x:v>
      </x:c>
      <x:c r="B1282" t="str">
        <x:v>Phase 13H / 13H-16</x:v>
      </x:c>
      <x:c r="C1282" t="str">
        <x:v>13H-16 Team &amp; Access Upgrade Published</x:v>
      </x:c>
      <x:c r="D1282" t="str">
        <x:v>executive-benchmark-engine</x:v>
      </x:c>
      <x:c r="E1282" t="str">
        <x:v>542704f3183c597357ce1dd9237914648c3ee103</x:v>
      </x:c>
      <x:c r="F1282" t="str">
        <x:v>Published a four-file presentation-only Team &amp; Access upgrade covering company members, workspace invitations, member actions, and invitation actions.</x:v>
      </x:c>
      <x:c r="G1282" t="str">
        <x:v>Focused tests/lint/build/diff-check PASS; desktop/tablet/mobile/accessibility verification PASS; no horizontal overflow; visual rescore 9.4/10.</x:v>
      </x:c>
      <x:c r="H1282" t="str">
        <x:v>PASS / 13H-16 CLOSED / PUBLISHED</x:v>
      </x:c>
      <x:c r="I1282" t="str">
        <x:v>Workspace Membership, Workspace Role, Procurement Function, Workspace Invitation and RFQ Invitation remain distinct. Owner/self protections and owner/admin authority preserved. No API/RLS/database, Company Profile, Professional Identity, Ownership/Governance or RFQ Invitation business-flow changes.</x:v>
      </x:c>
      <x:c r="J1282" t="str">
        <x:v>Next executable canonical task: Phase 13H / 13H-17 — Upgrade Capabilities &amp; Qualifications. Keep the stale Location N/A assertion out of scope until its owning surface is addressed.</x:v>
      </x:c>
    </x:row>
    <x:row r="1283">
      <x:c r="A1283" t="n">
        <x:v>46297</x:v>
      </x:c>
      <x:c r="B1283" t="str">
        <x:v>Phase 13H / 13H-17</x:v>
      </x:c>
      <x:c r="C1283" t="str">
        <x:v>13H-17 Capabilities &amp; Qualifications Upgrade Published</x:v>
      </x:c>
      <x:c r="D1283" t="str">
        <x:v>executive-benchmark-engine</x:v>
      </x:c>
      <x:c r="E1283" t="str">
        <x:v>3601c38fdd9b2ee88f82dd3a299d9b3e0f67f653</x:v>
      </x:c>
      <x:c r="F1283" t="str">
        <x:v>Published a two-file presentation-only Capabilities &amp; Qualifications editor upgrade.</x:v>
      </x:c>
      <x:c r="G1283" t="str">
        <x:v>Focused tests/lint/build/diff-check PASS; desktop/tablet/mobile/accessibility verification PASS; no horizontal overflow; visual rescore 9.4/10.</x:v>
      </x:c>
      <x:c r="H1283" t="str">
        <x:v>PASS / 13H-17 CLOSED / PUBLISHED</x:v>
      </x:c>
      <x:c r="I1283" t="str">
        <x:v>Capability and qualification taxonomy, normalization, deduplication, limits, API payloads and qualification public-visibility semantics preserved. Credential Identifier remains workspace-only. No Public Company Network/display/API/RLS/database changes.</x:v>
      </x:c>
      <x:c r="J1283" t="str">
        <x:v>Next executable canonical task: Phase 13H / 13H-18 — Upgrade Compliance &amp; Documents. Keep the stale Location N/A assertion out of scope until its owning surface is addressed.</x:v>
      </x:c>
    </x:row>
    <x:row r="1284">
      <x:c r="A1284" t="n">
        <x:v>46297</x:v>
      </x:c>
      <x:c r="B1284" t="str">
        <x:v>Phase 13H / 13H-18</x:v>
      </x:c>
      <x:c r="C1284" t="str">
        <x:v>13H-18 Compliance &amp; Documents Upgrade Published</x:v>
      </x:c>
      <x:c r="D1284" t="str">
        <x:v>executive-benchmark-engine</x:v>
      </x:c>
      <x:c r="E1284" t="str">
        <x:v>2b663f0cd7da74f2400a252406122c506dccb0ea</x:v>
      </x:c>
      <x:c r="F1284" t="str">
        <x:v>Published a two-file presentation-only Compliance &amp; Documents editor upgrade.</x:v>
      </x:c>
      <x:c r="G1284" t="str">
        <x:v>Focused tests/lint/build/diff-check PASS; desktop/tablet/mobile/accessibility verification PASS; no horizontal overflow; visual rescore 9.4/10.</x:v>
      </x:c>
      <x:c r="H1284" t="str">
        <x:v>PASS / 13H-18 CLOSED / PUBLISHED</x:v>
      </x:c>
      <x:c r="I1284" t="str">
        <x:v>Compliance/document taxonomy, self-declared framing, date/status derivation, upload/replace/download/delete behavior, storage and API contracts preserved. No Public Company Network/display/API/RLS/database changes.</x:v>
      </x:c>
      <x:c r="J1284" t="str">
        <x:v>Next executable canonical task: Phase 13H / 13H-19 — Upgrade Policies &amp; Approvals. Keep the stale Location N/A assertion out of scope until its owning surface is addressed.</x:v>
      </x:c>
    </x:row>
    <x:row r="1285">
      <x:c r="A1285" t="n">
        <x:v>46297</x:v>
      </x:c>
      <x:c r="B1285" t="str">
        <x:v>Phase 13H / 13H-19</x:v>
      </x:c>
      <x:c r="C1285" t="str">
        <x:v>13H-19 Policies &amp; Approvals Upgrade Published</x:v>
      </x:c>
      <x:c r="D1285" t="str">
        <x:v>executive-benchmark-engine</x:v>
      </x:c>
      <x:c r="E1285" t="str">
        <x:v>306a4006ce77602e7d662eb7ef59e6a39204e11d</x:v>
      </x:c>
      <x:c r="F1285" t="str">
        <x:v>Published a one-file presentation-only Policies &amp; Approvals governance overview upgrade.</x:v>
      </x:c>
      <x:c r="G1285" t="str">
        <x:v>Focused governance tests/lint/build/diff-check PASS; desktop/tablet/mobile/accessibility verification PASS; no horizontal overflow; visual rescore 9.4/10.</x:v>
      </x:c>
      <x:c r="H1285" t="str">
        <x:v>PASS / 13H-19 CLOSED / PUBLISHED</x:v>
      </x:c>
      <x:c r="I1285" t="str">
        <x:v>Read-only overview preserved; no new approval workflow/mutation controls. Workspace vs RFQ invitations, quotation vs award, RFQ-only award workflow, platform-governed verification and ownership boundaries remain intact.</x:v>
      </x:c>
      <x:c r="J1285" t="str">
        <x:v>Next executable canonical task: Phase 13H / 13H-20 — Upgrade Integrations &amp; Settings. Keep the stale Location N/A assertion out of scope until its owning surface is addressed.</x:v>
      </x:c>
    </x:row>
    <x:row r="1286">
      <x:c r="A1286" t="n">
        <x:v>46297</x:v>
      </x:c>
      <x:c r="B1286" t="str">
        <x:v>Phase 13H / 13H-20</x:v>
      </x:c>
      <x:c r="C1286" t="str">
        <x:v>13H-20 Integrations &amp; Settings Upgrade Published</x:v>
      </x:c>
      <x:c r="D1286" t="str">
        <x:v>executive-benchmark-engine</x:v>
      </x:c>
      <x:c r="E1286" t="str">
        <x:v>0e577c1cbf442c89b4459775ced89c3c0f86cca6</x:v>
      </x:c>
      <x:c r="F1286" t="str">
        <x:v>Published a one-file presentation-only Workspace Settings utility/configuration shell upgrade.</x:v>
      </x:c>
      <x:c r="G1286" t="str">
        <x:v>Focused tests/lint/build/diff-check PASS; authenticated real-route desktop/tablet/mobile/accessibility verification PASS; no horizontal overflow; no introduced console errors; visual rescore 9.3/10.</x:v>
      </x:c>
      <x:c r="H1286" t="str">
        <x:v>PASS / 13H-20 CLOSED / PUBLISHED</x:v>
      </x:c>
      <x:c r="I1286" t="str">
        <x:v>No fake integration surface, operational KPI/dashboard content, environment/provider configuration, auth/data/authorization/API/RLS/database or closed-section-internal changes. Existing fail-closed unauthenticated identity behavior unchanged.</x:v>
      </x:c>
      <x:c r="J1286" t="str">
        <x:v>Phase 13H has no remaining Not Started tasks but remains BLOCKED by 13H-11 and 13H-14. Reconcile those blockers before 13I-01.</x:v>
      </x:c>
    </x:row>
    <x:row r="1287">
      <x:c r="A1287" t="n">
        <x:v>46297</x:v>
      </x:c>
      <x:c r="B1287" t="str">
        <x:v>Phase 13H / 13H-14</x:v>
      </x:c>
      <x:c r="C1287" t="str">
        <x:v>13H-14 Strategic Insights Limited Exception Published</x:v>
      </x:c>
      <x:c r="D1287" t="str">
        <x:v>executive-benchmark-engine</x:v>
      </x:c>
      <x:c r="E1287" t="str">
        <x:v>6a412c36425d3ad6c50d53b4804c0370dc766000</x:v>
      </x:c>
      <x:c r="F1287" t="str">
        <x:v>Published a one-file presentation-only Strategic Insights upgrade from an isolated clean worktree, preserving the unrelated dirty analytics/M4 main-worktree cluster.</x:v>
      </x:c>
      <x:c r="G1287" t="str">
        <x:v>Authenticated desktop/tablet/mobile/accessibility QA PASS; lint/build/diff-check PASS; analytics permission test PASS 22/22; three truthfulness-test failures independently reproduced on clean HEAD and classified as pre-existing baseline defects; no new failures introduced.</x:v>
      </x:c>
      <x:c r="H1287" t="str">
        <x:v>PASS / 13H-14 CLOSED / PUBLISHED</x:v>
      </x:c>
      <x:c r="I1287" t="str">
        <x:v>Analytics business logic, source loader, commercial gating/confidentiality, score/readiness logic, report/export/narrative/M4 consumers, section IDs/hrefs, API/RLS/database and child analytics components unchanged.</x:v>
      </x:c>
      <x:c r="J1287" t="str">
        <x:v>Phase 13H remains BLOCKED only by 13H-11 Activity Center / My Tasks data-model contract. Do not start 13I-01 until that blocker is formally dispositioned.</x:v>
      </x:c>
    </x:row>
    <x:row r="1288">
      <x:c r="A1288" t="n">
        <x:v>46297</x:v>
      </x:c>
      <x:c r="B1288" t="str">
        <x:v>Phase 13H / 13H-11</x:v>
      </x:c>
      <x:c r="C1288" t="str">
        <x:v>13H-11 Activity Center Reconciled Closeout</x:v>
      </x:c>
      <x:c r="D1288" t="str">
        <x:v>executive-benchmark-engine</x:v>
      </x:c>
      <x:c r="E1288" t="str">
        <x:v>9ba925fa38e00de75ec4ca00767ec917bf7db1aa</x:v>
      </x:c>
      <x:c r="F1288" t="str">
        <x:v>Closed Activity Center evidence-only after formal acceptance reconciliation removed the conflicting legacy My Tasks requirement and retained the canonical Needs Attention / Updates / History launch scope.</x:v>
      </x:c>
      <x:c r="G1288" t="str">
        <x:v>Authenticated desktop/tablet/mobile/accessibility QA PASS; visual score 9.4/10; prioritization + guidance tests PASS 12/12; lint/build/diff-check PASS; one unrelated stale addenda route-string contract assertion independently verified as pre-existing with trusted activity recording still preserved through recordAndDeliverAddendumCommunication.</x:v>
      </x:c>
      <x:c r="H1288" t="str">
        <x:v>PASS / 13H-11 CLOSED / EVIDENCE-ONLY</x:v>
      </x:c>
      <x:c r="I1288" t="str">
        <x:v>No code changes. No My Tasks/personal assignment model introduced. Needs Attention taxonomy and ordering, Updates-only Award semantics, Workspace/RFQ invitation separation, authorized RFQ source resolution, and no Unread/Urgent/Overdue UI semantics preserved.</x:v>
      </x:c>
      <x:c r="J1288" t="str">
        <x:v>Phase 13H COMPLETE — 20/20 closed. Next canonical task: Phase 13I / 13I-01 — Rescore all core pages after implementation.</x:v>
      </x:c>
    </x:row>
    <x:row r="1289">
      <x:c r="A1289" t="n">
        <x:v>46297</x:v>
      </x:c>
      <x:c r="B1289" t="str">
        <x:v>Phase 13I / 13I-01</x:v>
      </x:c>
      <x:c r="C1289" t="str">
        <x:v>13I-01 Partial Core UI Rescore + Acknowledgement Defect Remediation</x:v>
      </x:c>
      <x:c r="D1289" t="str">
        <x:v>executive-benchmark-engine</x:v>
      </x:c>
      <x:c r="E1289" t="str">
        <x:v>ffc784b7bc5c32e032ebc1888480667c78c2bb88</x:v>
      </x:c>
      <x:c r="F1289" t="str">
        <x:v>Recorded Batch 1–4 scoring, closed the launch-critical closed-addendum acknowledgement presentation defect, and preserved issuer-only surfaces as UNVERIFIED where no issuer-authenticated RFQ evidence exists.</x:v>
      </x:c>
      <x:c r="G1289" t="str">
        <x:v>Defect remediation remote-verified at ffc784b; focused tests/lint/build/diff-check PASS; affected surface revalidated at 9.3/10. Batch scoring then confirmed no verified core surface below 9.0.</x:v>
      </x:c>
      <x:c r="H1289" t="str">
        <x:v>13I-01 IN PROGRESS</x:v>
      </x:c>
      <x:c r="I1289" t="str">
        <x:v>Three issuer-only surfaces remain unscored by design: Market Engagement &amp; Publishing, Issuer RFI/Addenda Management, Evaluation &amp; Award. No synthetic RFQ/role/deadline/commercial state used.</x:v>
      </x:c>
      <x:c r="J1289" t="str">
        <x:v>Next action: obtain a legitimate issuer-authenticated workspace with existing issuer-owned RFQ evidence, then score only the three remaining issuer surfaces. Do not begin 13I-02 until 13I-01 is complete.</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58802067243b4733"/>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13f8b38d69da42d5"/>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Completed</x:v>
      </x:c>
      <x:c r="J12" s="133" t="str">
        <x:v>U7 / Phase 13H COMPLETE — 20 of 20 page-upgrade tasks are PASS/CLOSED/PUBLISHED or evidence-closed under the approved launch contract. 13H-11 closed evidence-only after formal reconciliation removed the conflicting legacy My Tasks requirement and confirmed the canonical Activity Center scope as Needs Attention / Updates / History. 13H-14 Strategic Insights closed via isolated one-file presentation-only limited exception while preserving the unrelated dirty analytics/M4 main-worktree cluster. Next canonical task: 13I-01 — UI 9.5 Quality Gate / rescore all core pages using the shared 10-dimension scorecard.</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str">
        <x:v>In Progress</x:v>
      </x:c>
      <x:c r="J13" s="133" t="str">
        <x:v>U8 / Phase 13I IN PROGRESS — 13I-01 core-page rescoring is substantially complete. No verified page remains below 9.0 after remediation of the respondent closed-addendum acknowledgement defect at commit ffc784b7bc5c32e032ebc1888480667c78c2bb88. Three issuer-only surfaces remain UNVERIFIED because the current authenticated workspace has no issuer-owned RFQs: Market Engagement &amp; Publishing, Issuer RFI/Addenda Management, Evaluation &amp; Award. Do not invent issuer evidence; complete scoring only from a real issuer-authenticated workspace.</x:v>
      </x:c>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22b4134bb6974822"/>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6953022842a24686"/>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21e56edd2e0d4d9d"/>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620e8cbb5c7f49d6"/>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