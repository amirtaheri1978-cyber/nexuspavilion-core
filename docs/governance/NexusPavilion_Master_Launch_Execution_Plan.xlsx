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5ffa677c83549a5" /></Relationships>
</file>

<file path=xl/workbook.xml><?xml version="1.0" encoding="utf-8"?>
<x:workbook xmlns:x="http://schemas.openxmlformats.org/spreadsheetml/2006/main">
  <x:sheets>
    <x:sheet xmlns:r="http://schemas.openxmlformats.org/officeDocument/2006/relationships" name="01 Master Plan" sheetId="1" r:id="R15bc7fea6919404e"/>
    <x:sheet xmlns:r="http://schemas.openxmlformats.org/officeDocument/2006/relationships" name="03 Launch Gates" sheetId="2" r:id="R3911c39641c241be"/>
    <x:sheet xmlns:r="http://schemas.openxmlformats.org/officeDocument/2006/relationships" name="00 Dashboard" sheetId="3" r:id="Rcdec74c23be346ce"/>
    <x:sheet xmlns:r="http://schemas.openxmlformats.org/officeDocument/2006/relationships" name="04 Cursor Tasks" sheetId="4" r:id="Reb39cddddd444ee5"/>
    <x:sheet xmlns:r="http://schemas.openxmlformats.org/officeDocument/2006/relationships" name="05 UAT Matrix" sheetId="5" r:id="R4b8c1bf2701541df"/>
    <x:sheet xmlns:r="http://schemas.openxmlformats.org/officeDocument/2006/relationships" name="06 Security Matrix" sheetId="6" r:id="R581731ad2a76450e"/>
    <x:sheet xmlns:r="http://schemas.openxmlformats.org/officeDocument/2006/relationships" name="07 Risks" sheetId="7" r:id="R63928fa3219f47fe"/>
    <x:sheet xmlns:r="http://schemas.openxmlformats.org/officeDocument/2006/relationships" name="08 Architecture" sheetId="8" r:id="R9b5cb367ef144394"/>
    <x:sheet xmlns:r="http://schemas.openxmlformats.org/officeDocument/2006/relationships" name="09 Release Checklist" sheetId="9" r:id="Re526057e9f264390"/>
    <x:sheet xmlns:r="http://schemas.openxmlformats.org/officeDocument/2006/relationships" name="10 Change Log" sheetId="10" r:id="R12a59f1b9e0e4c87"/>
    <x:sheet xmlns:r="http://schemas.openxmlformats.org/officeDocument/2006/relationships" name="11 Scope &amp; Roadmap" sheetId="11" r:id="R053ae369f7f144cd"/>
    <x:sheet xmlns:r="http://schemas.openxmlformats.org/officeDocument/2006/relationships" name="12 How to Use" sheetId="12" r:id="R5a1ac6931d604ce6"/>
    <x:sheet xmlns:r="http://schemas.openxmlformats.org/officeDocument/2006/relationships" name="13 UI Program" sheetId="13" r:id="R90b3eecc07ce4ca6"/>
    <x:sheet xmlns:r="http://schemas.openxmlformats.org/officeDocument/2006/relationships" name="14 UI Scorecard" sheetId="14" r:id="R4a1a922c08ac4ad8"/>
    <x:sheet xmlns:r="http://schemas.openxmlformats.org/officeDocument/2006/relationships" name="15 Motion Guidance" sheetId="15" r:id="R2fa3e4244075436a"/>
    <x:sheet xmlns:r="http://schemas.openxmlformats.org/officeDocument/2006/relationships" name="16 Design Standards" sheetId="16" r:id="Rf80f61f074cd4f15"/>
    <x:sheet xmlns:r="http://schemas.openxmlformats.org/officeDocument/2006/relationships" name="17 Corporate Platform" sheetId="17" r:id="R4b37ee523f154df8"/>
    <x:sheet xmlns:r="http://schemas.openxmlformats.org/officeDocument/2006/relationships" name="18 Analytics Reuse Map" sheetId="18" r:id="R3b55ad6785104c5d"/>
    <x:sheet xmlns:r="http://schemas.openxmlformats.org/officeDocument/2006/relationships" name="19 Executive Insights Discovery" sheetId="19" r:id="Raf115530aad1498c"/>
    <x:sheet xmlns:r="http://schemas.openxmlformats.org/officeDocument/2006/relationships" name="20 Procurement Insights Discovery" sheetId="20" r:id="R48038044fe114358"/>
    <x:sheet xmlns:r="http://schemas.openxmlformats.org/officeDocument/2006/relationships" name="21 Commercial Insights Discovery" sheetId="21" r:id="Rb75b68f9e4184d88"/>
    <x:sheet xmlns:r="http://schemas.openxmlformats.org/officeDocument/2006/relationships" name="22 Project Insights Discovery" sheetId="22" r:id="R4d8c0b2b44b74a8b"/>
    <x:sheet xmlns:r="http://schemas.openxmlformats.org/officeDocument/2006/relationships" name="23 Performance Discovery" sheetId="23" r:id="R9d00bebc5e9347c4"/>
    <x:sheet xmlns:r="http://schemas.openxmlformats.org/officeDocument/2006/relationships" name="24 Risk Compliance Discovery" sheetId="24" r:id="Rd79b909ac1094593"/>
    <x:sheet xmlns:r="http://schemas.openxmlformats.org/officeDocument/2006/relationships" name="25 Commercial Handoff" sheetId="25" r:id="R32674b0821cd4afc"/>
    <x:sheet xmlns:r="http://schemas.openxmlformats.org/officeDocument/2006/relationships" name="26 RFQ Governance" sheetId="26" r:id="Rb3cebaf011c24fc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09f25e06567405a" /><Relationship Type="http://schemas.openxmlformats.org/officeDocument/2006/relationships/theme" Target="/xl/theme/theme1.xml" Id="R7f3e7cf44bf74111" /><Relationship Type="http://schemas.openxmlformats.org/officeDocument/2006/relationships/sharedStrings" Target="/xl/sharedStrings.xml" Id="R10c1d6dfd0e0404c" /><Relationship Type="http://schemas.openxmlformats.org/officeDocument/2006/relationships/worksheet" Target="/xl/worksheets/sheet1.xml" Id="R15bc7fea6919404e" /><Relationship Type="http://schemas.openxmlformats.org/officeDocument/2006/relationships/worksheet" Target="/xl/worksheets/sheet2.xml" Id="R3911c39641c241be" /><Relationship Type="http://schemas.openxmlformats.org/officeDocument/2006/relationships/worksheet" Target="/xl/worksheets/sheet3.xml" Id="Rcdec74c23be346ce" /><Relationship Type="http://schemas.openxmlformats.org/officeDocument/2006/relationships/worksheet" Target="/xl/worksheets/sheet4.xml" Id="Reb39cddddd444ee5" /><Relationship Type="http://schemas.openxmlformats.org/officeDocument/2006/relationships/worksheet" Target="/xl/worksheets/sheet5.xml" Id="R4b8c1bf2701541df" /><Relationship Type="http://schemas.openxmlformats.org/officeDocument/2006/relationships/worksheet" Target="/xl/worksheets/sheet6.xml" Id="R581731ad2a76450e" /><Relationship Type="http://schemas.openxmlformats.org/officeDocument/2006/relationships/worksheet" Target="/xl/worksheets/sheet7.xml" Id="R63928fa3219f47fe" /><Relationship Type="http://schemas.openxmlformats.org/officeDocument/2006/relationships/worksheet" Target="/xl/worksheets/sheet8.xml" Id="R9b5cb367ef144394" /><Relationship Type="http://schemas.openxmlformats.org/officeDocument/2006/relationships/worksheet" Target="/xl/worksheets/sheet9.xml" Id="Re526057e9f264390" /><Relationship Type="http://schemas.openxmlformats.org/officeDocument/2006/relationships/worksheet" Target="/xl/worksheets/sheet10.xml" Id="R12a59f1b9e0e4c87" /><Relationship Type="http://schemas.openxmlformats.org/officeDocument/2006/relationships/worksheet" Target="/xl/worksheets/sheet11.xml" Id="R053ae369f7f144cd" /><Relationship Type="http://schemas.openxmlformats.org/officeDocument/2006/relationships/worksheet" Target="/xl/worksheets/sheet12.xml" Id="R5a1ac6931d604ce6" /><Relationship Type="http://schemas.openxmlformats.org/officeDocument/2006/relationships/worksheet" Target="/xl/worksheets/sheet13.xml" Id="R90b3eecc07ce4ca6" /><Relationship Type="http://schemas.openxmlformats.org/officeDocument/2006/relationships/worksheet" Target="/xl/worksheets/sheet14.xml" Id="R4a1a922c08ac4ad8" /><Relationship Type="http://schemas.openxmlformats.org/officeDocument/2006/relationships/worksheet" Target="/xl/worksheets/sheet15.xml" Id="R2fa3e4244075436a" /><Relationship Type="http://schemas.openxmlformats.org/officeDocument/2006/relationships/worksheet" Target="/xl/worksheets/sheet16.xml" Id="Rf80f61f074cd4f15" /><Relationship Type="http://schemas.openxmlformats.org/officeDocument/2006/relationships/worksheet" Target="/xl/worksheets/sheet17.xml" Id="R4b37ee523f154df8" /><Relationship Type="http://schemas.openxmlformats.org/officeDocument/2006/relationships/worksheet" Target="/xl/worksheets/sheet18.xml" Id="R3b55ad6785104c5d" /><Relationship Type="http://schemas.openxmlformats.org/officeDocument/2006/relationships/worksheet" Target="/xl/worksheets/sheet19.xml" Id="Raf115530aad1498c" /><Relationship Type="http://schemas.openxmlformats.org/officeDocument/2006/relationships/worksheet" Target="/xl/worksheets/sheet20.xml" Id="R48038044fe114358" /><Relationship Type="http://schemas.openxmlformats.org/officeDocument/2006/relationships/worksheet" Target="/xl/worksheets/sheet21.xml" Id="Rb75b68f9e4184d88" /><Relationship Type="http://schemas.openxmlformats.org/officeDocument/2006/relationships/worksheet" Target="/xl/worksheets/sheet22.xml" Id="R4d8c0b2b44b74a8b" /><Relationship Type="http://schemas.openxmlformats.org/officeDocument/2006/relationships/worksheet" Target="/xl/worksheets/sheet23.xml" Id="R9d00bebc5e9347c4" /><Relationship Type="http://schemas.openxmlformats.org/officeDocument/2006/relationships/worksheet" Target="/xl/worksheets/sheet24.xml" Id="Rd79b909ac1094593" /><Relationship Type="http://schemas.openxmlformats.org/officeDocument/2006/relationships/worksheet" Target="/xl/worksheets/sheet25.xml" Id="R32674b0821cd4afc" /><Relationship Type="http://schemas.openxmlformats.org/officeDocument/2006/relationships/worksheet" Target="/xl/worksheets/sheet26.xml" Id="Rb3cebaf011c24fc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978483a49594eea"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978483a49594eea"/>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e6a40283cea4998" /></Relationships>
</file>

<file path=xl/worksheets/_rels/sheet2.xml.rels>&#65279;<?xml version="1.0" encoding="utf-8"?><Relationships xmlns="http://schemas.openxmlformats.org/package/2006/relationships"><Relationship Type="http://schemas.openxmlformats.org/officeDocument/2006/relationships/table" Target="/xl/tables/table2.xml" Id="Rb0a7571bf2df404c" /></Relationships>
</file>

<file path=xl/worksheets/_rels/sheet3.xml.rels>&#65279;<?xml version="1.0" encoding="utf-8"?><Relationships xmlns="http://schemas.openxmlformats.org/package/2006/relationships"><Relationship Type="http://schemas.openxmlformats.org/officeDocument/2006/relationships/drawing" Target="/xl/drawings/drawing1.xml" Id="Rddb241c3c17d46c2" /></Relationships>
</file>

<file path=xl/worksheets/_rels/sheet4.xml.rels>&#65279;<?xml version="1.0" encoding="utf-8"?><Relationships xmlns="http://schemas.openxmlformats.org/package/2006/relationships"><Relationship Type="http://schemas.openxmlformats.org/officeDocument/2006/relationships/table" Target="/xl/tables/table3.xml" Id="Rd6fe72b7d5ab41a2" /></Relationships>
</file>

<file path=xl/worksheets/_rels/sheet5.xml.rels>&#65279;<?xml version="1.0" encoding="utf-8"?><Relationships xmlns="http://schemas.openxmlformats.org/package/2006/relationships"><Relationship Type="http://schemas.openxmlformats.org/officeDocument/2006/relationships/table" Target="/xl/tables/table4.xml" Id="R37e8bcc5e50649c7" /></Relationships>
</file>

<file path=xl/worksheets/_rels/sheet6.xml.rels>&#65279;<?xml version="1.0" encoding="utf-8"?><Relationships xmlns="http://schemas.openxmlformats.org/package/2006/relationships"><Relationship Type="http://schemas.openxmlformats.org/officeDocument/2006/relationships/table" Target="/xl/tables/table5.xml" Id="Rcc263433ff0b4a20" /></Relationships>
</file>

<file path=xl/worksheets/_rels/sheet7.xml.rels>&#65279;<?xml version="1.0" encoding="utf-8"?><Relationships xmlns="http://schemas.openxmlformats.org/package/2006/relationships"><Relationship Type="http://schemas.openxmlformats.org/officeDocument/2006/relationships/table" Target="/xl/tables/table6.xml" Id="Rfd66da1c051d4221" /></Relationships>
</file>

<file path=xl/worksheets/_rels/sheet9.xml.rels>&#65279;<?xml version="1.0" encoding="utf-8"?><Relationships xmlns="http://schemas.openxmlformats.org/package/2006/relationships"><Relationship Type="http://schemas.openxmlformats.org/officeDocument/2006/relationships/table" Target="/xl/tables/table7.xml" Id="R614f553619324dd7" /></Relationships>
</file>

<file path=xl/worksheets/_rels/sheet10.xml.rels>&#65279;<?xml version="1.0" encoding="utf-8"?><Relationships xmlns="http://schemas.openxmlformats.org/package/2006/relationships"><Relationship Type="http://schemas.openxmlformats.org/officeDocument/2006/relationships/table" Target="/xl/tables/table8.xml" Id="R01d756b841f447f7" /></Relationships>
</file>

<file path=xl/worksheets/_rels/sheet11.xml.rels>&#65279;<?xml version="1.0" encoding="utf-8"?><Relationships xmlns="http://schemas.openxmlformats.org/package/2006/relationships"><Relationship Type="http://schemas.openxmlformats.org/officeDocument/2006/relationships/table" Target="/xl/tables/table9.xml" Id="R6084363312884250" /></Relationships>
</file>

<file path=xl/worksheets/_rels/sheet13.xml.rels>&#65279;<?xml version="1.0" encoding="utf-8"?><Relationships xmlns="http://schemas.openxmlformats.org/package/2006/relationships"><Relationship Type="http://schemas.openxmlformats.org/officeDocument/2006/relationships/table" Target="/xl/tables/table10.xml" Id="Rc7f0ac86d58e4bc5" /></Relationships>
</file>

<file path=xl/worksheets/_rels/sheet14.xml.rels>&#65279;<?xml version="1.0" encoding="utf-8"?><Relationships xmlns="http://schemas.openxmlformats.org/package/2006/relationships"><Relationship Type="http://schemas.openxmlformats.org/officeDocument/2006/relationships/table" Target="/xl/tables/table11.xml" Id="R2934587122ea4fbb" /></Relationships>
</file>

<file path=xl/worksheets/_rels/sheet15.xml.rels>&#65279;<?xml version="1.0" encoding="utf-8"?><Relationships xmlns="http://schemas.openxmlformats.org/package/2006/relationships"><Relationship Type="http://schemas.openxmlformats.org/officeDocument/2006/relationships/table" Target="/xl/tables/table12.xml" Id="Rad7b569df64e4f07" /></Relationships>
</file>

<file path=xl/worksheets/_rels/sheet16.xml.rels>&#65279;<?xml version="1.0" encoding="utf-8"?><Relationships xmlns="http://schemas.openxmlformats.org/package/2006/relationships"><Relationship Type="http://schemas.openxmlformats.org/officeDocument/2006/relationships/table" Target="/xl/tables/table13.xml" Id="R3e872021ac154262"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ce6a40283cea4998"/>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b0a7571bf2df404c"/>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298</x:v>
      </x:c>
      <x:c r="D6" s="133" t="inlineStr">
        <x:is>
          <x:t xml:space="preserve">G0A — Corporate platform architecture ready</x:t>
        </x:is>
      </x:c>
      <x:c r="E6" s="32" t="str">
        <x:f>'03 Launch Gates'!D20</x:f>
        <x:v>Completed</x:v>
      </x:c>
      <x:c r="G6" t="inlineStr">
        <x:is>
          <x:t xml:space="preserve">UI Tasks Complete</x:t>
        </x:is>
      </x:c>
      <x:c r="H6" t="n">
        <x:f>SUM(B36:B46)</x:f>
        <x:v>76</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4</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0.8119891008174387</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1</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4</x:v>
      </x:c>
      <x:c r="C41" s="133" t="n">
        <x:f>COUNTIFS('01 Master Plan'!C$5:C$383,A41,'01 Master Plan'!H$5:H$383,"In Progress")</x:f>
        <x:v>0</x:v>
      </x:c>
      <x:c r="D41" s="133" t="n">
        <x:f>COUNTIFS('01 Master Plan'!C$5:C$383,A41,'01 Master Plan'!H$5:H$383,"Not Started")</x:f>
        <x:v>7</x:v>
      </x:c>
      <x:c r="E41" s="133" t="n">
        <x:f>COUNTIFS('01 Master Plan'!C$5:C$383,A41,'01 Master Plan'!H$5:H$383,"Blocked")</x:f>
        <x:v>2</x:v>
      </x:c>
      <x:c r="F41" s="133" t="n">
        <x:f>COUNTIFS('01 Master Plan'!C$5:C$383,A41,'01 Master Plan'!H$5:H$383,"Deferred")</x:f>
        <x:v>0</x:v>
      </x:c>
      <x:c r="G41" s="255" t="n">
        <x:f>IFERROR(B41/(B41+C41+D41+E41),0)</x:f>
        <x:v>0.3076923076923077</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ddb241c3c17d46c2"/>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d6fe72b7d5ab41a2"/>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37e8bcc5e50649c7"/>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cc263433ff0b4a20"/>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fd66da1c051d4221"/>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614f553619324dd7"/>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01d756b841f447f7"/>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6084363312884250"/>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U4 / Phase 13E IN PROGRESS — 13E-01, 13E-04, 13E-05 and 13E-06 PASS/CLOSED. 13E-02 and 13E-03 remain BLOCKED/Open under their documented stable-success-surface criteria. 13D-04 and 13D-05 remain BLOCKED/Open under their prior unblock criteria. 13E-06 published commit 8179c3939f2be8559f888142396a272d8fa03f19 with exactly two isolated authorized files; publication, acknowledgement implication and notification outcomes are now presented truthfully without API/business-logic changes. Next executable canonical task: 13E-07 Implement quote/proposal submitted completion moment.</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In Progress</x:v>
      </x:c>
      <x:c r="J9" s="133" t="str">
        <x:v>U4 / Phase 13E IN PROGRESS — 13E-01, 13E-04, 13E-05 and 13E-06 PASS/CLOSED. 13E-02 and 13E-03 remain BLOCKED/Open under their documented stable-success-surface criteria. 13D-04 and 13D-05 remain BLOCKED/Open under their prior unblock criteria. 13E-06 published commit 8179c3939f2be8559f888142396a272d8fa03f19 with exactly two isolated authorized files; publication, acknowledgement implication and notification outcomes are now presented truthfully without API/business-logic changes. Next executable canonical task: 13E-07 Implement quote/proposal submitted completion moment.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c7f0ac86d58e4bc5"/>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2934587122ea4fbb"/>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ad7b569df64e4f07"/>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3e872021ac154262"/>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