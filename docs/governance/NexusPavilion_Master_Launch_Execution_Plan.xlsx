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af9355a4c744758" /></Relationships>
</file>

<file path=xl/workbook.xml><?xml version="1.0" encoding="utf-8"?>
<x:workbook xmlns:x="http://schemas.openxmlformats.org/spreadsheetml/2006/main">
  <x:sheets>
    <x:sheet xmlns:r="http://schemas.openxmlformats.org/officeDocument/2006/relationships" name="01 Master Plan" sheetId="1" r:id="R355bba094c534089"/>
    <x:sheet xmlns:r="http://schemas.openxmlformats.org/officeDocument/2006/relationships" name="03 Launch Gates" sheetId="2" r:id="R45295b0ddd1b4d9f"/>
    <x:sheet xmlns:r="http://schemas.openxmlformats.org/officeDocument/2006/relationships" name="00 Dashboard" sheetId="3" r:id="R7d892bd4d4bf4f7c"/>
    <x:sheet xmlns:r="http://schemas.openxmlformats.org/officeDocument/2006/relationships" name="04 Cursor Tasks" sheetId="4" r:id="Raef98499d0c248ea"/>
    <x:sheet xmlns:r="http://schemas.openxmlformats.org/officeDocument/2006/relationships" name="05 UAT Matrix" sheetId="5" r:id="Rf5f7d2ea366b42a3"/>
    <x:sheet xmlns:r="http://schemas.openxmlformats.org/officeDocument/2006/relationships" name="06 Security Matrix" sheetId="6" r:id="Rb73edf21e3104fa0"/>
    <x:sheet xmlns:r="http://schemas.openxmlformats.org/officeDocument/2006/relationships" name="07 Risks" sheetId="7" r:id="R3261bc5e94ac4fbc"/>
    <x:sheet xmlns:r="http://schemas.openxmlformats.org/officeDocument/2006/relationships" name="08 Architecture" sheetId="8" r:id="Re12c7d531fc5474f"/>
    <x:sheet xmlns:r="http://schemas.openxmlformats.org/officeDocument/2006/relationships" name="09 Release Checklist" sheetId="9" r:id="R1cb605f2fc1d4b4e"/>
    <x:sheet xmlns:r="http://schemas.openxmlformats.org/officeDocument/2006/relationships" name="10 Change Log" sheetId="10" r:id="R2d4beaa587c34f2e"/>
    <x:sheet xmlns:r="http://schemas.openxmlformats.org/officeDocument/2006/relationships" name="11 Scope &amp; Roadmap" sheetId="11" r:id="Rf05927a1b5654d99"/>
    <x:sheet xmlns:r="http://schemas.openxmlformats.org/officeDocument/2006/relationships" name="12 How to Use" sheetId="12" r:id="Rdef57af430494f77"/>
    <x:sheet xmlns:r="http://schemas.openxmlformats.org/officeDocument/2006/relationships" name="13 UI Program" sheetId="13" r:id="R3b2cd3c12bde4a02"/>
    <x:sheet xmlns:r="http://schemas.openxmlformats.org/officeDocument/2006/relationships" name="14 UI Scorecard" sheetId="14" r:id="R779817bc5cae4686"/>
    <x:sheet xmlns:r="http://schemas.openxmlformats.org/officeDocument/2006/relationships" name="15 Motion Guidance" sheetId="15" r:id="R1f7413e40d5a4625"/>
    <x:sheet xmlns:r="http://schemas.openxmlformats.org/officeDocument/2006/relationships" name="16 Design Standards" sheetId="16" r:id="Rc22c0ac898b847d7"/>
    <x:sheet xmlns:r="http://schemas.openxmlformats.org/officeDocument/2006/relationships" name="17 Corporate Platform" sheetId="17" r:id="Rbb4588a5c8bb4d80"/>
    <x:sheet xmlns:r="http://schemas.openxmlformats.org/officeDocument/2006/relationships" name="18 Analytics Reuse Map" sheetId="18" r:id="R22905d52b4c44755"/>
    <x:sheet xmlns:r="http://schemas.openxmlformats.org/officeDocument/2006/relationships" name="19 Executive Insights Discovery" sheetId="19" r:id="R299265327d964593"/>
    <x:sheet xmlns:r="http://schemas.openxmlformats.org/officeDocument/2006/relationships" name="20 Procurement Insights Discovery" sheetId="20" r:id="R6ef88d97720c4b44"/>
    <x:sheet xmlns:r="http://schemas.openxmlformats.org/officeDocument/2006/relationships" name="21 Commercial Insights Discovery" sheetId="21" r:id="R2106ed4148fb4580"/>
    <x:sheet xmlns:r="http://schemas.openxmlformats.org/officeDocument/2006/relationships" name="22 Project Insights Discovery" sheetId="22" r:id="Rabbb3ee21fa34fa5"/>
    <x:sheet xmlns:r="http://schemas.openxmlformats.org/officeDocument/2006/relationships" name="23 Performance Discovery" sheetId="23" r:id="R0b05742fc75b4a98"/>
    <x:sheet xmlns:r="http://schemas.openxmlformats.org/officeDocument/2006/relationships" name="24 Risk Compliance Discovery" sheetId="24" r:id="R1d308888ffd84dc9"/>
    <x:sheet xmlns:r="http://schemas.openxmlformats.org/officeDocument/2006/relationships" name="25 Commercial Handoff" sheetId="25" r:id="R2b4587705b934bf5"/>
    <x:sheet xmlns:r="http://schemas.openxmlformats.org/officeDocument/2006/relationships" name="26 RFQ Governance" sheetId="26" r:id="R11e7a2902d1b4e9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a9a3a40592346fd" /><Relationship Type="http://schemas.openxmlformats.org/officeDocument/2006/relationships/theme" Target="/xl/theme/theme1.xml" Id="R482deb300fa2427b" /><Relationship Type="http://schemas.openxmlformats.org/officeDocument/2006/relationships/sharedStrings" Target="/xl/sharedStrings.xml" Id="R3a0f9a5d83384a1c" /><Relationship Type="http://schemas.openxmlformats.org/officeDocument/2006/relationships/worksheet" Target="/xl/worksheets/sheet1.xml" Id="R355bba094c534089" /><Relationship Type="http://schemas.openxmlformats.org/officeDocument/2006/relationships/worksheet" Target="/xl/worksheets/sheet2.xml" Id="R45295b0ddd1b4d9f" /><Relationship Type="http://schemas.openxmlformats.org/officeDocument/2006/relationships/worksheet" Target="/xl/worksheets/sheet3.xml" Id="R7d892bd4d4bf4f7c" /><Relationship Type="http://schemas.openxmlformats.org/officeDocument/2006/relationships/worksheet" Target="/xl/worksheets/sheet4.xml" Id="Raef98499d0c248ea" /><Relationship Type="http://schemas.openxmlformats.org/officeDocument/2006/relationships/worksheet" Target="/xl/worksheets/sheet5.xml" Id="Rf5f7d2ea366b42a3" /><Relationship Type="http://schemas.openxmlformats.org/officeDocument/2006/relationships/worksheet" Target="/xl/worksheets/sheet6.xml" Id="Rb73edf21e3104fa0" /><Relationship Type="http://schemas.openxmlformats.org/officeDocument/2006/relationships/worksheet" Target="/xl/worksheets/sheet7.xml" Id="R3261bc5e94ac4fbc" /><Relationship Type="http://schemas.openxmlformats.org/officeDocument/2006/relationships/worksheet" Target="/xl/worksheets/sheet8.xml" Id="Re12c7d531fc5474f" /><Relationship Type="http://schemas.openxmlformats.org/officeDocument/2006/relationships/worksheet" Target="/xl/worksheets/sheet9.xml" Id="R1cb605f2fc1d4b4e" /><Relationship Type="http://schemas.openxmlformats.org/officeDocument/2006/relationships/worksheet" Target="/xl/worksheets/sheet10.xml" Id="R2d4beaa587c34f2e" /><Relationship Type="http://schemas.openxmlformats.org/officeDocument/2006/relationships/worksheet" Target="/xl/worksheets/sheet11.xml" Id="Rf05927a1b5654d99" /><Relationship Type="http://schemas.openxmlformats.org/officeDocument/2006/relationships/worksheet" Target="/xl/worksheets/sheet12.xml" Id="Rdef57af430494f77" /><Relationship Type="http://schemas.openxmlformats.org/officeDocument/2006/relationships/worksheet" Target="/xl/worksheets/sheet13.xml" Id="R3b2cd3c12bde4a02" /><Relationship Type="http://schemas.openxmlformats.org/officeDocument/2006/relationships/worksheet" Target="/xl/worksheets/sheet14.xml" Id="R779817bc5cae4686" /><Relationship Type="http://schemas.openxmlformats.org/officeDocument/2006/relationships/worksheet" Target="/xl/worksheets/sheet15.xml" Id="R1f7413e40d5a4625" /><Relationship Type="http://schemas.openxmlformats.org/officeDocument/2006/relationships/worksheet" Target="/xl/worksheets/sheet16.xml" Id="Rc22c0ac898b847d7" /><Relationship Type="http://schemas.openxmlformats.org/officeDocument/2006/relationships/worksheet" Target="/xl/worksheets/sheet17.xml" Id="Rbb4588a5c8bb4d80" /><Relationship Type="http://schemas.openxmlformats.org/officeDocument/2006/relationships/worksheet" Target="/xl/worksheets/sheet18.xml" Id="R22905d52b4c44755" /><Relationship Type="http://schemas.openxmlformats.org/officeDocument/2006/relationships/worksheet" Target="/xl/worksheets/sheet19.xml" Id="R299265327d964593" /><Relationship Type="http://schemas.openxmlformats.org/officeDocument/2006/relationships/worksheet" Target="/xl/worksheets/sheet20.xml" Id="R6ef88d97720c4b44" /><Relationship Type="http://schemas.openxmlformats.org/officeDocument/2006/relationships/worksheet" Target="/xl/worksheets/sheet21.xml" Id="R2106ed4148fb4580" /><Relationship Type="http://schemas.openxmlformats.org/officeDocument/2006/relationships/worksheet" Target="/xl/worksheets/sheet22.xml" Id="Rabbb3ee21fa34fa5" /><Relationship Type="http://schemas.openxmlformats.org/officeDocument/2006/relationships/worksheet" Target="/xl/worksheets/sheet23.xml" Id="R0b05742fc75b4a98" /><Relationship Type="http://schemas.openxmlformats.org/officeDocument/2006/relationships/worksheet" Target="/xl/worksheets/sheet24.xml" Id="R1d308888ffd84dc9" /><Relationship Type="http://schemas.openxmlformats.org/officeDocument/2006/relationships/worksheet" Target="/xl/worksheets/sheet25.xml" Id="R2b4587705b934bf5" /><Relationship Type="http://schemas.openxmlformats.org/officeDocument/2006/relationships/worksheet" Target="/xl/worksheets/sheet26.xml" Id="R11e7a2902d1b4e9b" /></Relationships>
</file>

<file path=xl/drawings/_rels/drawing1.xml.rels>&#65279;<?xml version="1.0" encoding="utf-8"?><Relationships xmlns="http://schemas.openxmlformats.org/package/2006/relationships"><Relationship Type="http://schemas.openxmlformats.org/officeDocument/2006/relationships/chart" Target="/xl/drawings/charts/chart1.xml" Id="R8b1c854ffe2045c9"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b1c854ffe2045c9"/>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5bff23f7d524640" /></Relationships>
</file>

<file path=xl/worksheets/_rels/sheet2.xml.rels>&#65279;<?xml version="1.0" encoding="utf-8"?><Relationships xmlns="http://schemas.openxmlformats.org/package/2006/relationships"><Relationship Type="http://schemas.openxmlformats.org/officeDocument/2006/relationships/table" Target="/xl/tables/table2.xml" Id="R7fb6955280b24ddb" /></Relationships>
</file>

<file path=xl/worksheets/_rels/sheet3.xml.rels>&#65279;<?xml version="1.0" encoding="utf-8"?><Relationships xmlns="http://schemas.openxmlformats.org/package/2006/relationships"><Relationship Type="http://schemas.openxmlformats.org/officeDocument/2006/relationships/drawing" Target="/xl/drawings/drawing1.xml" Id="Rf21fc87a3250427d" /></Relationships>
</file>

<file path=xl/worksheets/_rels/sheet4.xml.rels>&#65279;<?xml version="1.0" encoding="utf-8"?><Relationships xmlns="http://schemas.openxmlformats.org/package/2006/relationships"><Relationship Type="http://schemas.openxmlformats.org/officeDocument/2006/relationships/table" Target="/xl/tables/table3.xml" Id="R5689396387944ae5" /></Relationships>
</file>

<file path=xl/worksheets/_rels/sheet5.xml.rels>&#65279;<?xml version="1.0" encoding="utf-8"?><Relationships xmlns="http://schemas.openxmlformats.org/package/2006/relationships"><Relationship Type="http://schemas.openxmlformats.org/officeDocument/2006/relationships/table" Target="/xl/tables/table4.xml" Id="Rd95199ee714945d7" /></Relationships>
</file>

<file path=xl/worksheets/_rels/sheet6.xml.rels>&#65279;<?xml version="1.0" encoding="utf-8"?><Relationships xmlns="http://schemas.openxmlformats.org/package/2006/relationships"><Relationship Type="http://schemas.openxmlformats.org/officeDocument/2006/relationships/table" Target="/xl/tables/table5.xml" Id="R7a4bd1fc77ea4a6e" /></Relationships>
</file>

<file path=xl/worksheets/_rels/sheet7.xml.rels>&#65279;<?xml version="1.0" encoding="utf-8"?><Relationships xmlns="http://schemas.openxmlformats.org/package/2006/relationships"><Relationship Type="http://schemas.openxmlformats.org/officeDocument/2006/relationships/table" Target="/xl/tables/table6.xml" Id="R2427768e10cd4789" /></Relationships>
</file>

<file path=xl/worksheets/_rels/sheet9.xml.rels>&#65279;<?xml version="1.0" encoding="utf-8"?><Relationships xmlns="http://schemas.openxmlformats.org/package/2006/relationships"><Relationship Type="http://schemas.openxmlformats.org/officeDocument/2006/relationships/table" Target="/xl/tables/table7.xml" Id="Rf257030125b74974" /></Relationships>
</file>

<file path=xl/worksheets/_rels/sheet10.xml.rels>&#65279;<?xml version="1.0" encoding="utf-8"?><Relationships xmlns="http://schemas.openxmlformats.org/package/2006/relationships"><Relationship Type="http://schemas.openxmlformats.org/officeDocument/2006/relationships/table" Target="/xl/tables/table8.xml" Id="R1bd0f8ba23b14ae7" /></Relationships>
</file>

<file path=xl/worksheets/_rels/sheet11.xml.rels>&#65279;<?xml version="1.0" encoding="utf-8"?><Relationships xmlns="http://schemas.openxmlformats.org/package/2006/relationships"><Relationship Type="http://schemas.openxmlformats.org/officeDocument/2006/relationships/table" Target="/xl/tables/table9.xml" Id="R4054a15111e447fb" /></Relationships>
</file>

<file path=xl/worksheets/_rels/sheet13.xml.rels>&#65279;<?xml version="1.0" encoding="utf-8"?><Relationships xmlns="http://schemas.openxmlformats.org/package/2006/relationships"><Relationship Type="http://schemas.openxmlformats.org/officeDocument/2006/relationships/table" Target="/xl/tables/table10.xml" Id="R211dd08e171c4989" /></Relationships>
</file>

<file path=xl/worksheets/_rels/sheet14.xml.rels>&#65279;<?xml version="1.0" encoding="utf-8"?><Relationships xmlns="http://schemas.openxmlformats.org/package/2006/relationships"><Relationship Type="http://schemas.openxmlformats.org/officeDocument/2006/relationships/table" Target="/xl/tables/table11.xml" Id="Rbec9910b7c694545" /></Relationships>
</file>

<file path=xl/worksheets/_rels/sheet15.xml.rels>&#65279;<?xml version="1.0" encoding="utf-8"?><Relationships xmlns="http://schemas.openxmlformats.org/package/2006/relationships"><Relationship Type="http://schemas.openxmlformats.org/officeDocument/2006/relationships/table" Target="/xl/tables/table12.xml" Id="Rf048c0e0920345a2" /></Relationships>
</file>

<file path=xl/worksheets/_rels/sheet16.xml.rels>&#65279;<?xml version="1.0" encoding="utf-8"?><Relationships xmlns="http://schemas.openxmlformats.org/package/2006/relationships"><Relationship Type="http://schemas.openxmlformats.org/officeDocument/2006/relationships/table" Target="/xl/tables/table13.xml" Id="R56eb62b79997452f"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f>IF(H216="Completed","✓",IF(H216="Blocked","!",""))</x:f>
      </x:c>
      <x:c r="B216" s="133" t="inlineStr">
        <x:is>
          <x:t xml:space="preserve">20-10</x:t>
        </x:is>
      </x:c>
      <x:c r="C216" s="133" t="inlineStr">
        <x:is>
          <x:t xml:space="preserve">20 Launch Documentation</x:t>
        </x:is>
      </x:c>
      <x:c r="D216" s="133" t="inlineStr">
        <x:is>
          <x:t xml:space="preserve">Documentation</x:t>
        </x:is>
      </x:c>
      <x:c r="E216" s="133" t="inlineStr">
        <x:is>
          <x:t xml:space="preserve">Roles &amp; Permissions</x:t>
        </x:is>
      </x:c>
      <x:c r="F216" s="133" t="inlineStr">
        <x:is>
          <x:t xml:space="preserve">Company membership and RFQ relationship model explained.</x:t>
        </x:is>
      </x:c>
      <x:c r="G216" s="133" t="inlineStr">
        <x:is>
          <x:t xml:space="preserve">P0</x:t>
        </x:is>
      </x:c>
      <x:c r="H216" s="133" t="inlineStr">
        <x:is>
          <x:t xml:space="preserve">Not Started</x:t>
        </x:is>
      </x:c>
      <x:c r="I216" s="133" t="str"/>
      <x:c r="J216" s="133" t="str"/>
      <x:c r="K216" s="133" t="str"/>
      <x:c r="L216" s="133" t="inlineStr">
        <x:is>
          <x:t xml:space="preserve">G11</x:t>
        </x:is>
      </x:c>
      <x:c r="M216" s="133" t="str"/>
      <x:c r="N216" s="249" t="n"/>
      <x:c r="O216" s="249" t="n"/>
      <x:c r="P216" s="32" t="str"/>
    </x:row>
    <x:row r="217">
      <x:c r="A217" s="42" t="str">
        <x:f>IF(H217="Completed","✓",IF(H217="Blocked","!",""))</x:f>
      </x:c>
      <x:c r="B217" s="133" t="inlineStr">
        <x:is>
          <x:t xml:space="preserve">20-11</x:t>
        </x:is>
      </x:c>
      <x:c r="C217" s="133" t="inlineStr">
        <x:is>
          <x:t xml:space="preserve">20 Launch Documentation</x:t>
        </x:is>
      </x:c>
      <x:c r="D217" s="133" t="inlineStr">
        <x:is>
          <x:t xml:space="preserve">Documentation</x:t>
        </x:is>
      </x:c>
      <x:c r="E217" s="133" t="inlineStr">
        <x:is>
          <x:t xml:space="preserve">FAQ &amp; Support</x:t>
        </x:is>
      </x:c>
      <x:c r="F217" s="133" t="inlineStr">
        <x:is>
          <x:t xml:space="preserve">Common issues and support path documented.</x:t>
        </x:is>
      </x:c>
      <x:c r="G217" s="133" t="inlineStr">
        <x:is>
          <x:t xml:space="preserve">P0</x:t>
        </x:is>
      </x:c>
      <x:c r="H217" s="133" t="inlineStr">
        <x:is>
          <x:t xml:space="preserve">Not Started</x:t>
        </x:is>
      </x:c>
      <x:c r="I217" s="133" t="str"/>
      <x:c r="J217" s="133" t="str"/>
      <x:c r="K217" s="133" t="str"/>
      <x:c r="L217" s="133" t="inlineStr">
        <x:is>
          <x:t xml:space="preserve">G11</x:t>
        </x:is>
      </x:c>
      <x:c r="M217" s="133" t="str"/>
      <x:c r="N217" s="249" t="n"/>
      <x:c r="O217" s="249" t="n"/>
      <x:c r="P217" s="32" t="str"/>
    </x:row>
    <x:row r="218">
      <x:c r="A218" s="42" t="str">
        <x:f>IF(H218="Completed","✓",IF(H218="Blocked","!",""))</x:f>
      </x:c>
      <x:c r="B218" s="133" t="inlineStr">
        <x:is>
          <x:t xml:space="preserve">20-12</x:t>
        </x:is>
      </x:c>
      <x:c r="C218" s="133" t="inlineStr">
        <x:is>
          <x:t xml:space="preserve">20 Launch Documentation</x:t>
        </x:is>
      </x:c>
      <x:c r="D218" s="133" t="inlineStr">
        <x:is>
          <x:t xml:space="preserve">Documentation</x:t>
        </x:is>
      </x:c>
      <x:c r="E218" s="133" t="inlineStr">
        <x:is>
          <x:t xml:space="preserve">Privacy/Security Overview</x:t>
        </x:is>
      </x:c>
      <x:c r="F218" s="133" t="inlineStr">
        <x:is>
          <x:t xml:space="preserve">High-level confidentiality and access model documented.</x:t>
        </x:is>
      </x:c>
      <x:c r="G218" s="133" t="inlineStr">
        <x:is>
          <x:t xml:space="preserve">P0</x:t>
        </x:is>
      </x:c>
      <x:c r="H218" s="133" t="inlineStr">
        <x:is>
          <x:t xml:space="preserve">Not Started</x:t>
        </x:is>
      </x:c>
      <x:c r="I218" s="133" t="str"/>
      <x:c r="J218" s="133" t="str"/>
      <x:c r="K218" s="133" t="str"/>
      <x:c r="L218" s="133" t="inlineStr">
        <x:is>
          <x:t xml:space="preserve">G11</x:t>
        </x:is>
      </x:c>
      <x:c r="M218" s="133" t="str"/>
      <x:c r="N218" s="249" t="n"/>
      <x:c r="O218" s="249" t="n"/>
      <x:c r="P218" s="32" t="str"/>
    </x:row>
    <x:row r="219">
      <x:c r="A219" s="42" t="str">
        <x:f>IF(H219="Completed","✓",IF(H219="Blocked","!",""))</x:f>
      </x:c>
      <x:c r="B219" s="133" t="inlineStr">
        <x:is>
          <x:t xml:space="preserve">21-01</x:t>
        </x:is>
      </x:c>
      <x:c r="C219" s="133" t="inlineStr">
        <x:is>
          <x:t xml:space="preserve">21 Final Launch Gate</x:t>
        </x:is>
      </x:c>
      <x:c r="D219" s="133" t="inlineStr">
        <x:is>
          <x:t xml:space="preserve">Launch</x:t>
        </x:is>
      </x:c>
      <x:c r="E219" s="133" t="inlineStr">
        <x:is>
          <x:t xml:space="preserve">Review G0–G13</x:t>
        </x:is>
      </x:c>
      <x:c r="F219" s="133" t="inlineStr">
        <x:is>
          <x:t xml:space="preserve">Every gate has evidence, owner and sign-off status.</x:t>
        </x:is>
      </x:c>
      <x:c r="G219" s="133" t="inlineStr">
        <x:is>
          <x:t xml:space="preserve">P0</x:t>
        </x:is>
      </x:c>
      <x:c r="H219" s="133" t="inlineStr">
        <x:is>
          <x:t xml:space="preserve">Not Started</x:t>
        </x:is>
      </x:c>
      <x:c r="I219" s="133" t="str"/>
      <x:c r="J219" s="133" t="str"/>
      <x:c r="K219" s="133" t="str"/>
      <x:c r="L219" s="133" t="inlineStr">
        <x:is>
          <x:t xml:space="preserve">G13</x:t>
        </x:is>
      </x:c>
      <x:c r="M219" s="133" t="str"/>
      <x:c r="N219" s="249" t="n"/>
      <x:c r="O219" s="249" t="n"/>
      <x:c r="P219" s="32" t="str"/>
    </x:row>
    <x:row r="220">
      <x:c r="A220" s="42" t="str">
        <x:f>IF(H220="Completed","✓",IF(H220="Blocked","!",""))</x:f>
      </x:c>
      <x:c r="B220" s="133" t="inlineStr">
        <x:is>
          <x:t xml:space="preserve">21-02</x:t>
        </x:is>
      </x:c>
      <x:c r="C220" s="133" t="inlineStr">
        <x:is>
          <x:t xml:space="preserve">21 Final Launch Gate</x:t>
        </x:is>
      </x:c>
      <x:c r="D220" s="133" t="inlineStr">
        <x:is>
          <x:t xml:space="preserve">Launch</x:t>
        </x:is>
      </x:c>
      <x:c r="E220" s="133" t="inlineStr">
        <x:is>
          <x:t xml:space="preserve">Production UAT</x:t>
        </x:is>
      </x:c>
      <x:c r="F220" s="133" t="inlineStr">
        <x:is>
          <x:t xml:space="preserve">Critical journeys validated in production-like environment.</x:t>
        </x:is>
      </x:c>
      <x:c r="G220" s="133" t="inlineStr">
        <x:is>
          <x:t xml:space="preserve">P0</x:t>
        </x:is>
      </x:c>
      <x:c r="H220" s="133" t="inlineStr">
        <x:is>
          <x:t xml:space="preserve">Not Started</x:t>
        </x:is>
      </x:c>
      <x:c r="I220" s="133" t="str"/>
      <x:c r="J220" s="133" t="str"/>
      <x:c r="K220" s="133" t="str"/>
      <x:c r="L220" s="133" t="inlineStr">
        <x:is>
          <x:t xml:space="preserve">G13</x:t>
        </x:is>
      </x:c>
      <x:c r="M220" s="133" t="str"/>
      <x:c r="N220" s="249" t="n"/>
      <x:c r="O220" s="249" t="n"/>
      <x:c r="P220" s="32" t="str"/>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45bff23f7d524640"/>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inlineStr">
        <x:is>
          <x:t xml:space="preserve">Not Started</x:t>
        </x:is>
      </x:c>
      <x:c r="E9" s="133" t="str"/>
      <x:c r="F9" s="133" t="str"/>
      <x:c r="G9" s="249" t="n"/>
      <x:c r="H9" s="32" t="str"/>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inlineStr">
        <x:is>
          <x:t xml:space="preserve">Not Started</x:t>
        </x:is>
      </x:c>
      <x:c r="E12" s="133" t="str"/>
      <x:c r="F12" s="133" t="str"/>
      <x:c r="G12" s="249" t="n"/>
      <x:c r="H12" s="32" t="str"/>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inlineStr">
        <x:is>
          <x:t xml:space="preserve">Not Started</x:t>
        </x:is>
      </x:c>
      <x:c r="E13" s="133" t="str"/>
      <x:c r="F13" s="133" t="str"/>
      <x:c r="G13" s="249" t="n"/>
      <x:c r="H13" s="32" t="str"/>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In Progress</x:v>
      </x:c>
      <x:c r="E16" s="133" t="str">
        <x:v>Project Owner / Engineering</x:v>
      </x:c>
      <x:c r="F16" s="133" t="str">
        <x:v>G11 IN PROGRESS — Phase 20 Launch Documentation is underway. 20-01 through 20-09 are published and closed: Getting Started, Create Company, Create RFQ, Invite Companies, Respond to RFQ, Submit RFI, Submit Quote, Evaluate Responses, and Award. Documentation now covers the governed procurement journey from Company Workspace onboarding through recorded RFQ Award, including the explicit downstream Contract / PO boundary. G11 remains open pending 20-10 through 20-12.</x:v>
      </x:c>
      <x:c r="G16" s="249" t="n">
        <x:v>46295</x:v>
      </x:c>
      <x:c r="H16" s="32" t="str">
        <x:v>Do not mark G11 complete until all launch documentation and support-path tasks 20-01 through 20-12 are complete, internally consistent, and reviewed.</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matrix is complete: UAT-01 through UAT-38 PASS and 18-28 is closed. G13 is not complete because Release Candidate build/tests, remaining launch gates/checklist evidence, known-risk/deferral acceptance, monitoring/watch plan and explicit Production Go/No-Go approval remain outstanding.</x:v>
      </x:c>
      <x:c r="G18" s="294" t="n">
        <x:v>46294</x:v>
      </x:c>
      <x:c r="H18" s="34" t="str">
        <x:v>UAT blocker resolved. Keep G13 BLOCKED until the remaining independent release criteria are satisfied and explicit Production Go/No-Go approval is recorded.</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inlineStr">
        <x:is>
          <x:t xml:space="preserve">Not Started</x:t>
        </x:is>
      </x:c>
      <x:c r="G19" s="252" t="n"/>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7fb6955280b24ddb"/>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241</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0.6566757493188011</x:v>
      </x:c>
      <x:c r="D10" s="133" t="inlineStr">
        <x:is>
          <x:t xml:space="preserve">G4 — RFI lifecycle launch-ready</x:t>
        </x:is>
      </x:c>
      <x:c r="E10" s="32" t="str">
        <x:f>'03 Launch Gates'!D9</x:f>
        <x:v>Not Started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0.6618181818181819</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10</x:v>
      </x:c>
      <x:c r="D13" s="133" t="inlineStr">
        <x:is>
          <x:t xml:space="preserve">G7 — Intelligence permissions verified</x:t>
        </x:is>
      </x:c>
      <x:c r="E13" s="32" t="str">
        <x:f>'03 Launch Gates'!D12</x:f>
        <x:v>Not Started</x:v>
      </x:c>
    </x:row>
    <x:row r="14">
      <x:c r="A14" s="51" t="inlineStr">
        <x:is>
          <x:t xml:space="preserve">Launch Gates Total</x:t>
        </x:is>
      </x:c>
      <x:c r="B14" s="58" t="n">
        <x:f>COUNTA('03 Launch Gates'!A5:A20)</x:f>
        <x:v>16</x:v>
      </x:c>
      <x:c r="D14" s="133" t="inlineStr">
        <x:is>
          <x:t xml:space="preserve">G8 — Email journey pass</x:t>
        </x:is>
      </x:c>
      <x:c r="E14" s="32" t="str">
        <x:f>'03 Launch Gates'!D13</x:f>
        <x:v>Not Started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Not Started</x:v>
      </x:c>
    </x:row>
    <x:row r="18" s="124" customFormat="1" ht="28" customHeight="1">
      <x:c r="A18" s="21" t="n"/>
      <x:c r="B18" s="21" t="n"/>
      <x:c r="C18" s="21" t="n"/>
      <x:c r="D18" s="122" t="inlineStr">
        <x:is>
          <x:t xml:space="preserve">G11 — Documentation ready</x:t>
        </x:is>
      </x:c>
      <x:c r="E18" s="123" t="str">
        <x:f>'03 Launch Gates'!D16</x:f>
        <x:v>In Progress</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9</x:v>
      </x:c>
      <x:c r="C53" s="28" t="n">
        <x:f>COUNTIFS('01 Master Plan'!C$5:C$383,A53,'01 Master Plan'!H$5:H$383,"In Progress")</x:f>
        <x:v>0</x:v>
      </x:c>
      <x:c r="D53" s="28" t="n">
        <x:f>COUNTIFS('01 Master Plan'!C$5:C$383,A53,'01 Master Plan'!H$5:H$383,"Not Started")</x:f>
        <x:v>3</x:v>
      </x:c>
      <x:c r="E53" s="28" t="n">
        <x:f>COUNTIFS('01 Master Plan'!C$5:C$383,A53,'01 Master Plan'!H$5:H$383,"Blocked")</x:f>
        <x:v>0</x:v>
      </x:c>
      <x:c r="F53" s="28" t="n">
        <x:f>COUNTIFS('01 Master Plan'!C$5:C$383,A53,'01 Master Plan'!H$5:H$383,"Deferred")</x:f>
        <x:v>0</x:v>
      </x:c>
      <x:c r="G53" s="258" t="n">
        <x:f>IFERROR(B53/(B53+C53+D53+E53),0)</x:f>
        <x:v>0.75</x:v>
      </x:c>
    </x:row>
    <x:row r="54">
      <x:c r="A54" s="28" t="inlineStr">
        <x:is>
          <x:t xml:space="preserve">21 Final Launch Gate</x:t>
        </x:is>
      </x:c>
      <x:c r="B54" s="28" t="n">
        <x:f>COUNTIFS('01 Master Plan'!C$5:C$383,A54,'01 Master Plan'!H$5:H$383,"Completed")+COUNTIFS('01 Master Plan'!C$5:C$383,A54,'01 Master Plan'!H$5:H$383,"Complete")</x:f>
        <x:v>0</x:v>
      </x:c>
      <x:c r="C54" s="28" t="n">
        <x:f>COUNTIFS('01 Master Plan'!C$5:C$383,A54,'01 Master Plan'!H$5:H$383,"In Progress")</x:f>
        <x:v>0</x:v>
      </x:c>
      <x:c r="D54" s="28" t="n">
        <x:f>COUNTIFS('01 Master Plan'!C$5:C$383,A54,'01 Master Plan'!H$5:H$383,"Not Started")</x:f>
        <x:v>6</x:v>
      </x:c>
      <x:c r="E54" s="28" t="n">
        <x:f>COUNTIFS('01 Master Plan'!C$5:C$383,A54,'01 Master Plan'!H$5:H$383,"Blocked")</x:f>
        <x:v>0</x:v>
      </x:c>
      <x:c r="F54" s="28" t="n">
        <x:f>COUNTIFS('01 Master Plan'!C$5:C$383,A54,'01 Master Plan'!H$5:H$383,"Deferred")</x:f>
        <x:v>0</x:v>
      </x:c>
      <x:c r="G54" s="258" t="n">
        <x:f>IFERROR(B54/(B54+C54+D54+E54),0)</x:f>
        <x:v>0</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f21fc87a3250427d"/>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5689396387944ae5"/>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d95199ee714945d7"/>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7a4bd1fc77ea4a6e"/>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2427768e10cd4789"/>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inlineStr">
        <x:is>
          <x:t xml:space="preserve">Not Started</x:t>
        </x:is>
      </x:c>
      <x:c r="E5" s="133" t="str"/>
      <x:c r="F5" s="133" t="str"/>
      <x:c r="G5" s="133" t="inlineStr">
        <x:is>
          <x:t xml:space="preserve">G0/G1/G2</x:t>
        </x:is>
      </x:c>
      <x:c r="H5" s="249" t="n"/>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inlineStr">
        <x:is>
          <x:t xml:space="preserve">Not Started</x:t>
        </x:is>
      </x:c>
      <x:c r="E8" s="133" t="str"/>
      <x:c r="F8" s="133" t="str"/>
      <x:c r="G8" s="133" t="inlineStr">
        <x:is>
          <x:t xml:space="preserve">G4</x:t>
        </x:is>
      </x:c>
      <x:c r="H8" s="249" t="n"/>
      <x:c r="I8" s="32" t="str"/>
    </x:row>
    <x:row r="9">
      <x:c r="A9" s="133" t="inlineStr">
        <x:is>
          <x:t xml:space="preserve">Activity</x:t>
        </x:is>
      </x:c>
      <x:c r="B9" s="133" t="inlineStr">
        <x:is>
          <x:t xml:space="preserve">Activity Center lifecycle events pass</x:t>
        </x:is>
      </x:c>
      <x:c r="C9" s="133" t="inlineStr">
        <x:is>
          <x:t xml:space="preserve">P0</x:t>
        </x:is>
      </x:c>
      <x:c r="D9" s="133" t="inlineStr">
        <x:is>
          <x:t xml:space="preserve">Not Started</x:t>
        </x:is>
      </x:c>
      <x:c r="E9" s="133" t="str"/>
      <x:c r="F9" s="133" t="str"/>
      <x:c r="G9" s="133" t="inlineStr">
        <x:is>
          <x:t xml:space="preserve">G3</x:t>
        </x:is>
      </x:c>
      <x:c r="H9" s="249" t="n"/>
      <x:c r="I9" s="32" t="str"/>
    </x:row>
    <x:row r="10">
      <x:c r="A10" s="133" t="inlineStr">
        <x:is>
          <x:t xml:space="preserve">Security</x:t>
        </x:is>
      </x:c>
      <x:c r="B10" s="133" t="inlineStr">
        <x:is>
          <x:t xml:space="preserve">Security regression matrix passes</x:t>
        </x:is>
      </x:c>
      <x:c r="C10" s="133" t="inlineStr">
        <x:is>
          <x:t xml:space="preserve">P0</x:t>
        </x:is>
      </x:c>
      <x:c r="D10" s="133" t="inlineStr">
        <x:is>
          <x:t xml:space="preserve">Not Started</x:t>
        </x:is>
      </x:c>
      <x:c r="E10" s="133" t="str"/>
      <x:c r="F10" s="133" t="str"/>
      <x:c r="G10" s="133" t="inlineStr">
        <x:is>
          <x:t xml:space="preserve">G6</x:t>
        </x:is>
      </x:c>
      <x:c r="H10" s="249" t="n"/>
      <x:c r="I10" s="32" t="str"/>
    </x:row>
    <x:row r="11">
      <x:c r="A11" s="133" t="inlineStr">
        <x:is>
          <x:t xml:space="preserve">Intelligence</x:t>
        </x:is>
      </x:c>
      <x:c r="B11" s="133" t="inlineStr">
        <x:is>
          <x:t xml:space="preserve">Issuer/respondent intelligence isolation verified</x:t>
        </x:is>
      </x:c>
      <x:c r="C11" s="133" t="inlineStr">
        <x:is>
          <x:t xml:space="preserve">P0</x:t>
        </x:is>
      </x:c>
      <x:c r="D11" s="133" t="inlineStr">
        <x:is>
          <x:t xml:space="preserve">Not Started</x:t>
        </x:is>
      </x:c>
      <x:c r="E11" s="133" t="str"/>
      <x:c r="F11" s="133" t="str"/>
      <x:c r="G11" s="133" t="inlineStr">
        <x:is>
          <x:t xml:space="preserve">G7</x:t>
        </x:is>
      </x:c>
      <x:c r="H11" s="249" t="n"/>
      <x:c r="I11" s="32" t="str"/>
    </x:row>
    <x:row r="12">
      <x:c r="A12" s="133" t="inlineStr">
        <x:is>
          <x:t xml:space="preserve">Email</x:t>
        </x:is>
      </x:c>
      <x:c r="B12" s="133" t="inlineStr">
        <x:is>
          <x:t xml:space="preserve">Invitation/resend/continuation pass</x:t>
        </x:is>
      </x:c>
      <x:c r="C12" s="133" t="inlineStr">
        <x:is>
          <x:t xml:space="preserve">P0</x:t>
        </x:is>
      </x:c>
      <x:c r="D12" s="133" t="inlineStr">
        <x:is>
          <x:t xml:space="preserve">Not Started</x:t>
        </x:is>
      </x:c>
      <x:c r="E12" s="133" t="str"/>
      <x:c r="F12" s="133" t="str"/>
      <x:c r="G12" s="133" t="inlineStr">
        <x:is>
          <x:t xml:space="preserve">G8</x:t>
        </x:is>
      </x:c>
      <x:c r="H12" s="249" t="n"/>
      <x:c r="I12" s="32" t="str"/>
    </x:row>
    <x:row r="13">
      <x:c r="A13" s="133" t="inlineStr">
        <x:is>
          <x:t xml:space="preserve">Email</x:t>
        </x:is>
      </x:c>
      <x:c r="B13" s="133" t="inlineStr">
        <x:is>
          <x:t xml:space="preserve">RFI/addendum/award communications verified</x:t>
        </x:is>
      </x:c>
      <x:c r="C13" s="133" t="inlineStr">
        <x:is>
          <x:t xml:space="preserve">P0</x:t>
        </x:is>
      </x:c>
      <x:c r="D13" s="133" t="inlineStr">
        <x:is>
          <x:t xml:space="preserve">Not Started</x:t>
        </x:is>
      </x:c>
      <x:c r="E13" s="133" t="str"/>
      <x:c r="F13" s="133" t="str"/>
      <x:c r="G13" s="133" t="inlineStr">
        <x:is>
          <x:t xml:space="preserve">G8</x:t>
        </x:is>
      </x:c>
      <x:c r="H13" s="249" t="n"/>
      <x:c r="I13" s="32" t="str"/>
    </x:row>
    <x:row r="14">
      <x:c r="A14" s="133" t="inlineStr">
        <x:is>
          <x:t xml:space="preserve">Operations</x:t>
        </x:is>
      </x:c>
      <x:c r="B14" s="133" t="inlineStr">
        <x:is>
          <x:t xml:space="preserve">Production env vars verified</x:t>
        </x:is>
      </x:c>
      <x:c r="C14" s="133" t="inlineStr">
        <x:is>
          <x:t xml:space="preserve">P0</x:t>
        </x:is>
      </x:c>
      <x:c r="D14" s="133" t="inlineStr">
        <x:is>
          <x:t xml:space="preserve">Not Started</x:t>
        </x:is>
      </x:c>
      <x:c r="E14" s="133" t="str"/>
      <x:c r="F14" s="133" t="str"/>
      <x:c r="G14" s="133" t="inlineStr">
        <x:is>
          <x:t xml:space="preserve">G9</x:t>
        </x:is>
      </x:c>
      <x:c r="H14" s="249" t="n"/>
      <x:c r="I14" s="32" t="str"/>
    </x:row>
    <x:row r="15">
      <x:c r="A15" s="133" t="inlineStr">
        <x:is>
          <x:t xml:space="preserve">Operations</x:t>
        </x:is>
      </x:c>
      <x:c r="B15" s="133" t="inlineStr">
        <x:is>
          <x:t xml:space="preserve">Error tracking/logging verified</x:t>
        </x:is>
      </x:c>
      <x:c r="C15" s="133" t="inlineStr">
        <x:is>
          <x:t xml:space="preserve">P0</x:t>
        </x:is>
      </x:c>
      <x:c r="D15" s="133" t="inlineStr">
        <x:is>
          <x:t xml:space="preserve">Not Started</x:t>
        </x:is>
      </x:c>
      <x:c r="E15" s="133" t="str"/>
      <x:c r="F15" s="133" t="str"/>
      <x:c r="G15" s="133" t="inlineStr">
        <x:is>
          <x:t xml:space="preserve">G9</x:t>
        </x:is>
      </x:c>
      <x:c r="H15" s="249" t="n"/>
      <x:c r="I15" s="32" t="str"/>
    </x:row>
    <x:row r="16">
      <x:c r="A16" s="133" t="inlineStr">
        <x:is>
          <x:t xml:space="preserve">Operations</x:t>
        </x:is>
      </x:c>
      <x:c r="B16" s="133" t="inlineStr">
        <x:is>
          <x:t xml:space="preserve">Rollback and recovery procedures documented</x:t>
        </x:is>
      </x:c>
      <x:c r="C16" s="133" t="inlineStr">
        <x:is>
          <x:t xml:space="preserve">P0</x:t>
        </x:is>
      </x:c>
      <x:c r="D16" s="133" t="inlineStr">
        <x:is>
          <x:t xml:space="preserve">Not Started</x:t>
        </x:is>
      </x:c>
      <x:c r="E16" s="133" t="str"/>
      <x:c r="F16" s="133" t="str"/>
      <x:c r="G16" s="133" t="inlineStr">
        <x:is>
          <x:t xml:space="preserve">G9</x:t>
        </x:is>
      </x:c>
      <x:c r="H16" s="249" t="n"/>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inlineStr">
        <x:is>
          <x:t xml:space="preserve">Not Started</x:t>
        </x:is>
      </x:c>
      <x:c r="E17" s="133" t="str"/>
      <x:c r="F17" s="133" t="str"/>
      <x:c r="G17" s="133" t="inlineStr">
        <x:is>
          <x:t xml:space="preserve">G10</x:t>
        </x:is>
      </x:c>
      <x:c r="H17" s="249" t="n"/>
      <x:c r="I17" s="32" t="str"/>
    </x:row>
    <x:row r="18">
      <x:c r="A18" s="133" t="inlineStr">
        <x:is>
          <x:t xml:space="preserve">Security</x:t>
        </x:is>
      </x:c>
      <x:c r="B18" s="133" t="inlineStr">
        <x:is>
          <x:t xml:space="preserve">RSC/server payload leakage audit complete</x:t>
        </x:is>
      </x:c>
      <x:c r="C18" s="133" t="inlineStr">
        <x:is>
          <x:t xml:space="preserve">P0</x:t>
        </x:is>
      </x:c>
      <x:c r="D18" s="133" t="inlineStr">
        <x:is>
          <x:t xml:space="preserve">Not Started</x:t>
        </x:is>
      </x:c>
      <x:c r="E18" s="133" t="str"/>
      <x:c r="F18" s="133" t="str"/>
      <x:c r="G18" s="133" t="inlineStr">
        <x:is>
          <x:t xml:space="preserve">G10</x:t>
        </x:is>
      </x:c>
      <x:c r="H18" s="249" t="n"/>
      <x:c r="I18" s="32" t="str"/>
    </x:row>
    <x:row r="19">
      <x:c r="A19" s="133" t="inlineStr">
        <x:is>
          <x:t xml:space="preserve">Accessibility</x:t>
        </x:is>
      </x:c>
      <x:c r="B19" s="133" t="inlineStr">
        <x:is>
          <x:t xml:space="preserve">Keyboard/focus/forms/mobile sanity pass</x:t>
        </x:is>
      </x:c>
      <x:c r="C19" s="133" t="inlineStr">
        <x:is>
          <x:t xml:space="preserve">P0</x:t>
        </x:is>
      </x:c>
      <x:c r="D19" s="133" t="inlineStr">
        <x:is>
          <x:t xml:space="preserve">Not Started</x:t>
        </x:is>
      </x:c>
      <x:c r="E19" s="133" t="str"/>
      <x:c r="F19" s="133" t="str"/>
      <x:c r="G19" s="133" t="inlineStr">
        <x:is>
          <x:t xml:space="preserve">G10</x:t>
        </x:is>
      </x:c>
      <x:c r="H19" s="249" t="n"/>
      <x:c r="I19" s="32" t="str"/>
    </x:row>
    <x:row r="20">
      <x:c r="A20" s="133" t="inlineStr">
        <x:is>
          <x:t xml:space="preserve">Documentation</x:t>
        </x:is>
      </x:c>
      <x:c r="B20" s="133" t="inlineStr">
        <x:is>
          <x:t xml:space="preserve">Launch help/docs/support path ready</x:t>
        </x:is>
      </x:c>
      <x:c r="C20" s="133" t="inlineStr">
        <x:is>
          <x:t xml:space="preserve">P0</x:t>
        </x:is>
      </x:c>
      <x:c r="D20" s="133" t="inlineStr">
        <x:is>
          <x:t xml:space="preserve">Not Started</x:t>
        </x:is>
      </x:c>
      <x:c r="E20" s="133" t="str"/>
      <x:c r="F20" s="133" t="str"/>
      <x:c r="G20" s="133" t="inlineStr">
        <x:is>
          <x:t xml:space="preserve">G11</x:t>
        </x:is>
      </x:c>
      <x:c r="H20" s="249" t="n"/>
      <x:c r="I20" s="32" t="str"/>
    </x:row>
    <x:row r="21">
      <x:c r="A21" s="133" t="inlineStr">
        <x:is>
          <x:t xml:space="preserve">Marketing</x:t>
        </x:is>
      </x:c>
      <x:c r="B21" s="133" t="inlineStr">
        <x:is>
          <x:t xml:space="preserve">Available Now vs Planned reviewed</x:t>
        </x:is>
      </x:c>
      <x:c r="C21" s="133" t="inlineStr">
        <x:is>
          <x:t xml:space="preserve">P0</x:t>
        </x:is>
      </x:c>
      <x:c r="D21" s="133" t="inlineStr">
        <x:is>
          <x:t xml:space="preserve">Not Started</x:t>
        </x:is>
      </x:c>
      <x:c r="E21" s="133" t="str"/>
      <x:c r="F21" s="133" t="str"/>
      <x:c r="G21" s="133" t="inlineStr">
        <x:is>
          <x:t xml:space="preserve">G12</x:t>
        </x:is>
      </x:c>
      <x:c r="H21" s="249" t="n"/>
      <x:c r="I21" s="32" t="str"/>
    </x:row>
    <x:row r="22">
      <x:c r="A22" s="133" t="inlineStr">
        <x:is>
          <x:t xml:space="preserve">Marketing</x:t>
        </x:is>
      </x:c>
      <x:c r="B22" s="133" t="inlineStr">
        <x:is>
          <x:t xml:space="preserve">Screenshots/copy match actual product</x:t>
        </x:is>
      </x:c>
      <x:c r="C22" s="133" t="inlineStr">
        <x:is>
          <x:t xml:space="preserve">P1</x:t>
        </x:is>
      </x:c>
      <x:c r="D22" s="133" t="inlineStr">
        <x:is>
          <x:t xml:space="preserve">Not Started</x:t>
        </x:is>
      </x:c>
      <x:c r="E22" s="133" t="str"/>
      <x:c r="F22" s="133" t="str"/>
      <x:c r="G22" s="133" t="inlineStr">
        <x:is>
          <x:t xml:space="preserve">G12</x:t>
        </x:is>
      </x:c>
      <x:c r="H22" s="249" t="n"/>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Historical documented limitations remain preserved in their source evidence.</x:v>
      </x:c>
      <x:c r="G23" s="133" t="str">
        <x:v>G13</x:v>
      </x:c>
      <x:c r="H23" s="294" t="n">
        <x:v>46294</x:v>
      </x:c>
      <x:c r="I23" s="32" t="str">
        <x:v>UAT portion of G13 is complete. RC build/tests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inlineStr">
        <x:is>
          <x:t xml:space="preserve">Not Started</x:t>
        </x:is>
      </x:c>
      <x:c r="G37" t="inlineStr">
        <x:is>
          <x:t xml:space="preserve">G0A</x:t>
        </x:is>
      </x:c>
      <x:c r="H37" s="252" t="n"/>
    </x:row>
    <x:row r="38">
      <x:c r="A38" t="inlineStr">
        <x:is>
          <x:t xml:space="preserve">Corporate Platform</x:t>
        </x:is>
      </x:c>
      <x:c r="B38" t="inlineStr">
        <x:is>
          <x:t xml:space="preserve">Root homepage represents NexusPavilion Inc. and product portfolio correctly</x:t>
        </x:is>
      </x:c>
      <x:c r="C38" t="inlineStr">
        <x:is>
          <x:t xml:space="preserve">P0</x:t>
        </x:is>
      </x:c>
      <x:c r="D38" t="inlineStr">
        <x:is>
          <x:t xml:space="preserve">Not Started</x:t>
        </x:is>
      </x:c>
      <x:c r="G38" t="inlineStr">
        <x:is>
          <x:t xml:space="preserve">G0A/G12</x:t>
        </x:is>
      </x:c>
      <x:c r="H38" s="252" t="n"/>
    </x:row>
    <x:row r="39">
      <x:c r="A39" t="inlineStr">
        <x:is>
          <x:t xml:space="preserve">Routing</x:t>
        </x:is>
      </x:c>
      <x:c r="B39" t="inlineStr">
        <x:is>
          <x:t xml:space="preserve">RFQ invitation/auth/deep-link regressions pass after root-page change</x:t>
        </x:is>
      </x:c>
      <x:c r="C39" t="inlineStr">
        <x:is>
          <x:t xml:space="preserve">P0</x:t>
        </x:is>
      </x:c>
      <x:c r="D39" t="inlineStr">
        <x:is>
          <x:t xml:space="preserve">Not Started</x:t>
        </x:is>
      </x:c>
      <x:c r="G39" t="inlineStr">
        <x:is>
          <x:t xml:space="preserve">G0A/G6</x:t>
        </x:is>
      </x:c>
      <x:c r="H39" s="252" t="n"/>
    </x:row>
    <x:row r="40">
      <x:c r="A40" t="inlineStr">
        <x:is>
          <x:t xml:space="preserve">Brand</x:t>
        </x:is>
      </x:c>
      <x:c r="B40" t="inlineStr">
        <x:is>
          <x:t xml:space="preserve">Intelligent Procurement product attribution is consistent across public/app surfaces</x:t>
        </x:is>
      </x:c>
      <x:c r="C40" t="inlineStr">
        <x:is>
          <x:t xml:space="preserve">P0</x:t>
        </x:is>
      </x:c>
      <x:c r="D40" t="inlineStr">
        <x:is>
          <x:t xml:space="preserve">Not Started</x:t>
        </x:is>
      </x:c>
      <x:c r="G40" t="inlineStr">
        <x:is>
          <x:t xml:space="preserve">G0A/G12</x:t>
        </x:is>
      </x:c>
      <x:c r="H40" s="252" t="n"/>
    </x:row>
    <x:row r="41">
      <x:c r="A41" t="inlineStr">
        <x:is>
          <x:t xml:space="preserve">Legal</x:t>
        </x:is>
      </x:c>
      <x:c r="B41" t="inlineStr">
        <x:is>
          <x:t xml:space="preserve">Corporate footer/legal links and NexusPavilion Inc. attribution reviewed</x:t>
        </x:is>
      </x:c>
      <x:c r="C41" t="inlineStr">
        <x:is>
          <x:t xml:space="preserve">P0</x:t>
        </x:is>
      </x:c>
      <x:c r="D41" t="inlineStr">
        <x:is>
          <x:t xml:space="preserve">Not Started</x:t>
        </x:is>
      </x:c>
      <x:c r="G41" t="inlineStr">
        <x:is>
          <x:t xml:space="preserve">G0A/G12</x:t>
        </x:is>
      </x:c>
      <x:c r="H41" s="252" t="n"/>
    </x:row>
    <x:row r="42">
      <x:c r="A42" t="inlineStr">
        <x:is>
          <x:t xml:space="preserve">Marketing</x:t>
        </x:is>
      </x:c>
      <x:c r="B42" t="inlineStr">
        <x:is>
          <x:t xml:space="preserve">No unreleased product/project is presented as launch-ready</x:t>
        </x:is>
      </x:c>
      <x:c r="C42" t="inlineStr">
        <x:is>
          <x:t xml:space="preserve">P0</x:t>
        </x:is>
      </x:c>
      <x:c r="D42" t="inlineStr">
        <x:is>
          <x:t xml:space="preserve">Not Started</x:t>
        </x:is>
      </x:c>
      <x:c r="G42" t="inlineStr">
        <x:is>
          <x:t xml:space="preserve">G12</x:t>
        </x:is>
      </x:c>
      <x:c r="H42" s="252" t="n"/>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f257030125b74974"/>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1bd0f8ba23b14ae7"/>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4054a15111e447fb"/>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211dd08e171c4989"/>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bec9910b7c694545"/>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f048c0e0920345a2"/>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56eb62b79997452f"/>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