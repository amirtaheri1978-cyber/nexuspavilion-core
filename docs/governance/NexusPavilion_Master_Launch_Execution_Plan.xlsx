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b660d64127495d" /></Relationships>
</file>

<file path=xl/workbook.xml><?xml version="1.0" encoding="utf-8"?>
<x:workbook xmlns:x="http://schemas.openxmlformats.org/spreadsheetml/2006/main">
  <x:sheets>
    <x:sheet xmlns:r="http://schemas.openxmlformats.org/officeDocument/2006/relationships" name="01 Master Plan" sheetId="1" r:id="R2aada50bb5374eb4"/>
    <x:sheet xmlns:r="http://schemas.openxmlformats.org/officeDocument/2006/relationships" name="03 Launch Gates" sheetId="2" r:id="R9b13ed9d6cf542cd"/>
    <x:sheet xmlns:r="http://schemas.openxmlformats.org/officeDocument/2006/relationships" name="00 Dashboard" sheetId="3" r:id="Rcf1394ce1a3a44e9"/>
    <x:sheet xmlns:r="http://schemas.openxmlformats.org/officeDocument/2006/relationships" name="04 Cursor Tasks" sheetId="4" r:id="R2302763ace2e4c6f"/>
    <x:sheet xmlns:r="http://schemas.openxmlformats.org/officeDocument/2006/relationships" name="05 UAT Matrix" sheetId="5" r:id="Rfd4dd4c9a9ea4d6a"/>
    <x:sheet xmlns:r="http://schemas.openxmlformats.org/officeDocument/2006/relationships" name="06 Security Matrix" sheetId="6" r:id="Rd416127a7d2f4aec"/>
    <x:sheet xmlns:r="http://schemas.openxmlformats.org/officeDocument/2006/relationships" name="07 Risks" sheetId="7" r:id="R37b2c982e86640a2"/>
    <x:sheet xmlns:r="http://schemas.openxmlformats.org/officeDocument/2006/relationships" name="08 Architecture" sheetId="8" r:id="R9383d2e505ee4e8a"/>
    <x:sheet xmlns:r="http://schemas.openxmlformats.org/officeDocument/2006/relationships" name="09 Release Checklist" sheetId="9" r:id="R72da298073af4fee"/>
    <x:sheet xmlns:r="http://schemas.openxmlformats.org/officeDocument/2006/relationships" name="10 Change Log" sheetId="10" r:id="R58cf71d2e53e4a7a"/>
    <x:sheet xmlns:r="http://schemas.openxmlformats.org/officeDocument/2006/relationships" name="11 Scope &amp; Roadmap" sheetId="11" r:id="Rf4d5eac3e7bd48f2"/>
    <x:sheet xmlns:r="http://schemas.openxmlformats.org/officeDocument/2006/relationships" name="12 How to Use" sheetId="12" r:id="Rb82c053b1e69431b"/>
    <x:sheet xmlns:r="http://schemas.openxmlformats.org/officeDocument/2006/relationships" name="13 UI Program" sheetId="13" r:id="R601870db89e347cc"/>
    <x:sheet xmlns:r="http://schemas.openxmlformats.org/officeDocument/2006/relationships" name="14 UI Scorecard" sheetId="14" r:id="R47df1a39b0e7404b"/>
    <x:sheet xmlns:r="http://schemas.openxmlformats.org/officeDocument/2006/relationships" name="15 Motion Guidance" sheetId="15" r:id="R4ba0c590af424fb4"/>
    <x:sheet xmlns:r="http://schemas.openxmlformats.org/officeDocument/2006/relationships" name="16 Design Standards" sheetId="16" r:id="Raed61533cd0c4d31"/>
    <x:sheet xmlns:r="http://schemas.openxmlformats.org/officeDocument/2006/relationships" name="17 Corporate Platform" sheetId="17" r:id="R446a7ccf4379431d"/>
    <x:sheet xmlns:r="http://schemas.openxmlformats.org/officeDocument/2006/relationships" name="18 Analytics Reuse Map" sheetId="18" r:id="R8d4ffc10311141e6"/>
    <x:sheet xmlns:r="http://schemas.openxmlformats.org/officeDocument/2006/relationships" name="19 Executive Insights Discovery" sheetId="19" r:id="Rb8a2fc04884d4b7b"/>
    <x:sheet xmlns:r="http://schemas.openxmlformats.org/officeDocument/2006/relationships" name="20 Procurement Insights Discovery" sheetId="20" r:id="R3529623f8ecb489e"/>
    <x:sheet xmlns:r="http://schemas.openxmlformats.org/officeDocument/2006/relationships" name="21 Commercial Insights Discovery" sheetId="21" r:id="R15d873a38e1149a1"/>
    <x:sheet xmlns:r="http://schemas.openxmlformats.org/officeDocument/2006/relationships" name="22 Project Insights Discovery" sheetId="22" r:id="R9be1a01f12a142a6"/>
    <x:sheet xmlns:r="http://schemas.openxmlformats.org/officeDocument/2006/relationships" name="23 Performance Discovery" sheetId="23" r:id="R02e8571038d8495e"/>
    <x:sheet xmlns:r="http://schemas.openxmlformats.org/officeDocument/2006/relationships" name="24 Risk Compliance Discovery" sheetId="24" r:id="Rfaf7936c242844e0"/>
    <x:sheet xmlns:r="http://schemas.openxmlformats.org/officeDocument/2006/relationships" name="25 Commercial Handoff" sheetId="25" r:id="R92480920c72a4779"/>
    <x:sheet xmlns:r="http://schemas.openxmlformats.org/officeDocument/2006/relationships" name="26 RFQ Governance" sheetId="26" r:id="R1a6f290c5f19403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a73558d626e40db" /><Relationship Type="http://schemas.openxmlformats.org/officeDocument/2006/relationships/theme" Target="/xl/theme/theme1.xml" Id="R251c0596ce1848ac" /><Relationship Type="http://schemas.openxmlformats.org/officeDocument/2006/relationships/sharedStrings" Target="/xl/sharedStrings.xml" Id="Rd7e37767d7994fac" /><Relationship Type="http://schemas.openxmlformats.org/officeDocument/2006/relationships/worksheet" Target="/xl/worksheets/sheet1.xml" Id="R2aada50bb5374eb4" /><Relationship Type="http://schemas.openxmlformats.org/officeDocument/2006/relationships/worksheet" Target="/xl/worksheets/sheet2.xml" Id="R9b13ed9d6cf542cd" /><Relationship Type="http://schemas.openxmlformats.org/officeDocument/2006/relationships/worksheet" Target="/xl/worksheets/sheet3.xml" Id="Rcf1394ce1a3a44e9" /><Relationship Type="http://schemas.openxmlformats.org/officeDocument/2006/relationships/worksheet" Target="/xl/worksheets/sheet4.xml" Id="R2302763ace2e4c6f" /><Relationship Type="http://schemas.openxmlformats.org/officeDocument/2006/relationships/worksheet" Target="/xl/worksheets/sheet5.xml" Id="Rfd4dd4c9a9ea4d6a" /><Relationship Type="http://schemas.openxmlformats.org/officeDocument/2006/relationships/worksheet" Target="/xl/worksheets/sheet6.xml" Id="Rd416127a7d2f4aec" /><Relationship Type="http://schemas.openxmlformats.org/officeDocument/2006/relationships/worksheet" Target="/xl/worksheets/sheet7.xml" Id="R37b2c982e86640a2" /><Relationship Type="http://schemas.openxmlformats.org/officeDocument/2006/relationships/worksheet" Target="/xl/worksheets/sheet8.xml" Id="R9383d2e505ee4e8a" /><Relationship Type="http://schemas.openxmlformats.org/officeDocument/2006/relationships/worksheet" Target="/xl/worksheets/sheet9.xml" Id="R72da298073af4fee" /><Relationship Type="http://schemas.openxmlformats.org/officeDocument/2006/relationships/worksheet" Target="/xl/worksheets/sheet10.xml" Id="R58cf71d2e53e4a7a" /><Relationship Type="http://schemas.openxmlformats.org/officeDocument/2006/relationships/worksheet" Target="/xl/worksheets/sheet11.xml" Id="Rf4d5eac3e7bd48f2" /><Relationship Type="http://schemas.openxmlformats.org/officeDocument/2006/relationships/worksheet" Target="/xl/worksheets/sheet12.xml" Id="Rb82c053b1e69431b" /><Relationship Type="http://schemas.openxmlformats.org/officeDocument/2006/relationships/worksheet" Target="/xl/worksheets/sheet13.xml" Id="R601870db89e347cc" /><Relationship Type="http://schemas.openxmlformats.org/officeDocument/2006/relationships/worksheet" Target="/xl/worksheets/sheet14.xml" Id="R47df1a39b0e7404b" /><Relationship Type="http://schemas.openxmlformats.org/officeDocument/2006/relationships/worksheet" Target="/xl/worksheets/sheet15.xml" Id="R4ba0c590af424fb4" /><Relationship Type="http://schemas.openxmlformats.org/officeDocument/2006/relationships/worksheet" Target="/xl/worksheets/sheet16.xml" Id="Raed61533cd0c4d31" /><Relationship Type="http://schemas.openxmlformats.org/officeDocument/2006/relationships/worksheet" Target="/xl/worksheets/sheet17.xml" Id="R446a7ccf4379431d" /><Relationship Type="http://schemas.openxmlformats.org/officeDocument/2006/relationships/worksheet" Target="/xl/worksheets/sheet18.xml" Id="R8d4ffc10311141e6" /><Relationship Type="http://schemas.openxmlformats.org/officeDocument/2006/relationships/worksheet" Target="/xl/worksheets/sheet19.xml" Id="Rb8a2fc04884d4b7b" /><Relationship Type="http://schemas.openxmlformats.org/officeDocument/2006/relationships/worksheet" Target="/xl/worksheets/sheet20.xml" Id="R3529623f8ecb489e" /><Relationship Type="http://schemas.openxmlformats.org/officeDocument/2006/relationships/worksheet" Target="/xl/worksheets/sheet21.xml" Id="R15d873a38e1149a1" /><Relationship Type="http://schemas.openxmlformats.org/officeDocument/2006/relationships/worksheet" Target="/xl/worksheets/sheet22.xml" Id="R9be1a01f12a142a6" /><Relationship Type="http://schemas.openxmlformats.org/officeDocument/2006/relationships/worksheet" Target="/xl/worksheets/sheet23.xml" Id="R02e8571038d8495e" /><Relationship Type="http://schemas.openxmlformats.org/officeDocument/2006/relationships/worksheet" Target="/xl/worksheets/sheet24.xml" Id="Rfaf7936c242844e0" /><Relationship Type="http://schemas.openxmlformats.org/officeDocument/2006/relationships/worksheet" Target="/xl/worksheets/sheet25.xml" Id="R92480920c72a4779" /><Relationship Type="http://schemas.openxmlformats.org/officeDocument/2006/relationships/worksheet" Target="/xl/worksheets/sheet26.xml" Id="R1a6f290c5f19403b" /></Relationships>
</file>

<file path=xl/drawings/_rels/drawing1.xml.rels>&#65279;<?xml version="1.0" encoding="utf-8"?><Relationships xmlns="http://schemas.openxmlformats.org/package/2006/relationships"><Relationship Type="http://schemas.openxmlformats.org/officeDocument/2006/relationships/chart" Target="/xl/drawings/charts/chart1.xml" Id="R541f536375dc4fc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1f536375dc4fc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7e6444686b7491f" /></Relationships>
</file>

<file path=xl/worksheets/_rels/sheet2.xml.rels>&#65279;<?xml version="1.0" encoding="utf-8"?><Relationships xmlns="http://schemas.openxmlformats.org/package/2006/relationships"><Relationship Type="http://schemas.openxmlformats.org/officeDocument/2006/relationships/table" Target="/xl/tables/table2.xml" Id="R9eb8b63218014f08" /></Relationships>
</file>

<file path=xl/worksheets/_rels/sheet3.xml.rels>&#65279;<?xml version="1.0" encoding="utf-8"?><Relationships xmlns="http://schemas.openxmlformats.org/package/2006/relationships"><Relationship Type="http://schemas.openxmlformats.org/officeDocument/2006/relationships/drawing" Target="/xl/drawings/drawing1.xml" Id="Rbcf75036cfbb4f54" /></Relationships>
</file>

<file path=xl/worksheets/_rels/sheet4.xml.rels>&#65279;<?xml version="1.0" encoding="utf-8"?><Relationships xmlns="http://schemas.openxmlformats.org/package/2006/relationships"><Relationship Type="http://schemas.openxmlformats.org/officeDocument/2006/relationships/table" Target="/xl/tables/table3.xml" Id="R07932728b8874070" /></Relationships>
</file>

<file path=xl/worksheets/_rels/sheet5.xml.rels>&#65279;<?xml version="1.0" encoding="utf-8"?><Relationships xmlns="http://schemas.openxmlformats.org/package/2006/relationships"><Relationship Type="http://schemas.openxmlformats.org/officeDocument/2006/relationships/table" Target="/xl/tables/table4.xml" Id="Rbd69432b78214cd8" /></Relationships>
</file>

<file path=xl/worksheets/_rels/sheet6.xml.rels>&#65279;<?xml version="1.0" encoding="utf-8"?><Relationships xmlns="http://schemas.openxmlformats.org/package/2006/relationships"><Relationship Type="http://schemas.openxmlformats.org/officeDocument/2006/relationships/table" Target="/xl/tables/table5.xml" Id="R64e0b31348ed47f2" /></Relationships>
</file>

<file path=xl/worksheets/_rels/sheet7.xml.rels>&#65279;<?xml version="1.0" encoding="utf-8"?><Relationships xmlns="http://schemas.openxmlformats.org/package/2006/relationships"><Relationship Type="http://schemas.openxmlformats.org/officeDocument/2006/relationships/table" Target="/xl/tables/table6.xml" Id="R9c052ec167464017" /></Relationships>
</file>

<file path=xl/worksheets/_rels/sheet9.xml.rels>&#65279;<?xml version="1.0" encoding="utf-8"?><Relationships xmlns="http://schemas.openxmlformats.org/package/2006/relationships"><Relationship Type="http://schemas.openxmlformats.org/officeDocument/2006/relationships/table" Target="/xl/tables/table7.xml" Id="Rff2c6ad91e8846e4" /></Relationships>
</file>

<file path=xl/worksheets/_rels/sheet10.xml.rels>&#65279;<?xml version="1.0" encoding="utf-8"?><Relationships xmlns="http://schemas.openxmlformats.org/package/2006/relationships"><Relationship Type="http://schemas.openxmlformats.org/officeDocument/2006/relationships/table" Target="/xl/tables/table8.xml" Id="Refcdd6b0c96c439a" /></Relationships>
</file>

<file path=xl/worksheets/_rels/sheet11.xml.rels>&#65279;<?xml version="1.0" encoding="utf-8"?><Relationships xmlns="http://schemas.openxmlformats.org/package/2006/relationships"><Relationship Type="http://schemas.openxmlformats.org/officeDocument/2006/relationships/table" Target="/xl/tables/table9.xml" Id="R4b0967cb28ee49e5" /></Relationships>
</file>

<file path=xl/worksheets/_rels/sheet13.xml.rels>&#65279;<?xml version="1.0" encoding="utf-8"?><Relationships xmlns="http://schemas.openxmlformats.org/package/2006/relationships"><Relationship Type="http://schemas.openxmlformats.org/officeDocument/2006/relationships/table" Target="/xl/tables/table10.xml" Id="Rce3d8a398b7a47a9" /></Relationships>
</file>

<file path=xl/worksheets/_rels/sheet14.xml.rels>&#65279;<?xml version="1.0" encoding="utf-8"?><Relationships xmlns="http://schemas.openxmlformats.org/package/2006/relationships"><Relationship Type="http://schemas.openxmlformats.org/officeDocument/2006/relationships/table" Target="/xl/tables/table11.xml" Id="R49dd6a4194a946b2" /></Relationships>
</file>

<file path=xl/worksheets/_rels/sheet15.xml.rels>&#65279;<?xml version="1.0" encoding="utf-8"?><Relationships xmlns="http://schemas.openxmlformats.org/package/2006/relationships"><Relationship Type="http://schemas.openxmlformats.org/officeDocument/2006/relationships/table" Target="/xl/tables/table12.xml" Id="Rc376dd16799e4a9c" /></Relationships>
</file>

<file path=xl/worksheets/_rels/sheet16.xml.rels>&#65279;<?xml version="1.0" encoding="utf-8"?><Relationships xmlns="http://schemas.openxmlformats.org/package/2006/relationships"><Relationship Type="http://schemas.openxmlformats.org/officeDocument/2006/relationships/table" Target="/xl/tables/table13.xml" Id="R553da13c862940a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7e6444686b7491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eb8b63218014f0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287</x:v>
      </x:c>
      <x:c r="D6" s="133" t="inlineStr">
        <x:is>
          <x:t xml:space="preserve">G0A — Corporate platform architecture ready</x:t>
        </x:is>
      </x:c>
      <x:c r="E6" s="32" t="str">
        <x:f>'03 Launch Gates'!D20</x:f>
        <x:v>Completed</x:v>
      </x:c>
      <x:c r="G6" t="inlineStr">
        <x:is>
          <x:t xml:space="preserve">UI Tasks Complete</x:t>
        </x:is>
      </x:c>
      <x:c r="H6" t="n">
        <x:f>SUM(B36:B46)</x:f>
        <x:v>65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0.782016348773842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0.8145454545454546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1</x:v>
      </x:c>
      <x:c r="C40" s="162" t="n">
        <x:f>COUNTIFS('01 Master Plan'!C$5:C$383,A40,'01 Master Plan'!H$5:H$383,"In Progress")</x:f>
        <x:v>0</x:v>
      </x:c>
      <x:c r="D40" s="162" t="n">
        <x:f>COUNTIFS('01 Master Plan'!C$5:C$383,A40,'01 Master Plan'!H$5:H$383,"Not Started")</x:f>
        <x:v>9</x:v>
      </x:c>
      <x:c r="E40" s="162" t="n">
        <x:f>COUNTIFS('01 Master Plan'!C$5:C$383,A40,'01 Master Plan'!H$5:H$383,"Blocked")</x:f>
        <x:v>0</x:v>
      </x:c>
      <x:c r="F40" s="162" t="n">
        <x:f>COUNTIFS('01 Master Plan'!C$5:C$383,A40,'01 Master Plan'!H$5:H$383,"Deferred")</x:f>
        <x:v>0</x:v>
      </x:c>
      <x:c r="G40" s="257" t="n">
        <x:f>IFERROR(B40/(B40+C40+D40+E40),0)</x:f>
        <x:v>0.1</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cf75036cfbb4f5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7932728b887407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d69432b78214cd8"/>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4e0b31348ed47f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c052ec16746401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f2c6ad91e8846e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fcdd6b0c96c439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b0967cb28ee49e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PASS/CLOSED. Authenticated AppShell now provides the shared dark-first workspace foundation, width, spacing and overflow protection. Next: 13D-02 Implement enterprise sidebar treatment.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e3d8a398b7a47a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9dd6a4194a946b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376dd16799e4a9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53da13c862940a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