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9187a32053547c5" /></Relationships>
</file>

<file path=xl/workbook.xml><?xml version="1.0" encoding="utf-8"?>
<x:workbook xmlns:x="http://schemas.openxmlformats.org/spreadsheetml/2006/main">
  <x:sheets>
    <x:sheet xmlns:r="http://schemas.openxmlformats.org/officeDocument/2006/relationships" name="01 Master Plan" sheetId="1" r:id="Rfd0ae1d4c7954da4"/>
    <x:sheet xmlns:r="http://schemas.openxmlformats.org/officeDocument/2006/relationships" name="03 Launch Gates" sheetId="2" r:id="R14a9e02516034512"/>
    <x:sheet xmlns:r="http://schemas.openxmlformats.org/officeDocument/2006/relationships" name="00 Dashboard" sheetId="3" r:id="R5b9e465c01a745c4"/>
    <x:sheet xmlns:r="http://schemas.openxmlformats.org/officeDocument/2006/relationships" name="04 Cursor Tasks" sheetId="4" r:id="Rb84341f9dfa045e8"/>
    <x:sheet xmlns:r="http://schemas.openxmlformats.org/officeDocument/2006/relationships" name="05 UAT Matrix" sheetId="5" r:id="R5d86364b22854333"/>
    <x:sheet xmlns:r="http://schemas.openxmlformats.org/officeDocument/2006/relationships" name="06 Security Matrix" sheetId="6" r:id="Rd30419c5c68a444a"/>
    <x:sheet xmlns:r="http://schemas.openxmlformats.org/officeDocument/2006/relationships" name="07 Risks" sheetId="7" r:id="R923291024912430c"/>
    <x:sheet xmlns:r="http://schemas.openxmlformats.org/officeDocument/2006/relationships" name="08 Architecture" sheetId="8" r:id="Rc4d8ad8e72bd45d6"/>
    <x:sheet xmlns:r="http://schemas.openxmlformats.org/officeDocument/2006/relationships" name="09 Release Checklist" sheetId="9" r:id="R8dae9e2a110c4d16"/>
    <x:sheet xmlns:r="http://schemas.openxmlformats.org/officeDocument/2006/relationships" name="10 Change Log" sheetId="10" r:id="Rad7492dea09744a9"/>
    <x:sheet xmlns:r="http://schemas.openxmlformats.org/officeDocument/2006/relationships" name="11 Scope &amp; Roadmap" sheetId="11" r:id="R6ea5b33eefde4365"/>
    <x:sheet xmlns:r="http://schemas.openxmlformats.org/officeDocument/2006/relationships" name="12 How to Use" sheetId="12" r:id="R988f565e9457441d"/>
    <x:sheet xmlns:r="http://schemas.openxmlformats.org/officeDocument/2006/relationships" name="13 UI Program" sheetId="13" r:id="R4d9dffba45af49ba"/>
    <x:sheet xmlns:r="http://schemas.openxmlformats.org/officeDocument/2006/relationships" name="14 UI Scorecard" sheetId="14" r:id="R64e24d8baa304d4a"/>
    <x:sheet xmlns:r="http://schemas.openxmlformats.org/officeDocument/2006/relationships" name="15 Motion Guidance" sheetId="15" r:id="R7a0eb7bded944735"/>
    <x:sheet xmlns:r="http://schemas.openxmlformats.org/officeDocument/2006/relationships" name="16 Design Standards" sheetId="16" r:id="R6d2dff8331754524"/>
    <x:sheet xmlns:r="http://schemas.openxmlformats.org/officeDocument/2006/relationships" name="17 Corporate Platform" sheetId="17" r:id="R935f7c48bd944036"/>
    <x:sheet xmlns:r="http://schemas.openxmlformats.org/officeDocument/2006/relationships" name="18 Analytics Reuse Map" sheetId="18" r:id="R2698c18fa79443b0"/>
    <x:sheet xmlns:r="http://schemas.openxmlformats.org/officeDocument/2006/relationships" name="19 Executive Insights Discovery" sheetId="19" r:id="R832536f0928e4ce5"/>
    <x:sheet xmlns:r="http://schemas.openxmlformats.org/officeDocument/2006/relationships" name="20 Procurement Insights Discovery" sheetId="20" r:id="R69ffc0d0cb4240c1"/>
    <x:sheet xmlns:r="http://schemas.openxmlformats.org/officeDocument/2006/relationships" name="21 Commercial Insights Discovery" sheetId="21" r:id="Rb77f73e3c2584912"/>
    <x:sheet xmlns:r="http://schemas.openxmlformats.org/officeDocument/2006/relationships" name="22 Project Insights Discovery" sheetId="22" r:id="Rc40aef6934fc4b16"/>
    <x:sheet xmlns:r="http://schemas.openxmlformats.org/officeDocument/2006/relationships" name="23 Performance Discovery" sheetId="23" r:id="Re451b515b58f4840"/>
    <x:sheet xmlns:r="http://schemas.openxmlformats.org/officeDocument/2006/relationships" name="24 Risk Compliance Discovery" sheetId="24" r:id="R0065b9feacd24978"/>
    <x:sheet xmlns:r="http://schemas.openxmlformats.org/officeDocument/2006/relationships" name="25 Commercial Handoff" sheetId="25" r:id="R1e257c325b324c43"/>
    <x:sheet xmlns:r="http://schemas.openxmlformats.org/officeDocument/2006/relationships" name="26 RFQ Governance" sheetId="26" r:id="Rf0a0b4f4f903457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83d5207094a47a9" /><Relationship Type="http://schemas.openxmlformats.org/officeDocument/2006/relationships/theme" Target="/xl/theme/theme1.xml" Id="R4c1c788bd87a4fbc" /><Relationship Type="http://schemas.openxmlformats.org/officeDocument/2006/relationships/sharedStrings" Target="/xl/sharedStrings.xml" Id="Rf1505b1ec23d439e" /><Relationship Type="http://schemas.openxmlformats.org/officeDocument/2006/relationships/worksheet" Target="/xl/worksheets/sheet1.xml" Id="Rfd0ae1d4c7954da4" /><Relationship Type="http://schemas.openxmlformats.org/officeDocument/2006/relationships/worksheet" Target="/xl/worksheets/sheet2.xml" Id="R14a9e02516034512" /><Relationship Type="http://schemas.openxmlformats.org/officeDocument/2006/relationships/worksheet" Target="/xl/worksheets/sheet3.xml" Id="R5b9e465c01a745c4" /><Relationship Type="http://schemas.openxmlformats.org/officeDocument/2006/relationships/worksheet" Target="/xl/worksheets/sheet4.xml" Id="Rb84341f9dfa045e8" /><Relationship Type="http://schemas.openxmlformats.org/officeDocument/2006/relationships/worksheet" Target="/xl/worksheets/sheet5.xml" Id="R5d86364b22854333" /><Relationship Type="http://schemas.openxmlformats.org/officeDocument/2006/relationships/worksheet" Target="/xl/worksheets/sheet6.xml" Id="Rd30419c5c68a444a" /><Relationship Type="http://schemas.openxmlformats.org/officeDocument/2006/relationships/worksheet" Target="/xl/worksheets/sheet7.xml" Id="R923291024912430c" /><Relationship Type="http://schemas.openxmlformats.org/officeDocument/2006/relationships/worksheet" Target="/xl/worksheets/sheet8.xml" Id="Rc4d8ad8e72bd45d6" /><Relationship Type="http://schemas.openxmlformats.org/officeDocument/2006/relationships/worksheet" Target="/xl/worksheets/sheet9.xml" Id="R8dae9e2a110c4d16" /><Relationship Type="http://schemas.openxmlformats.org/officeDocument/2006/relationships/worksheet" Target="/xl/worksheets/sheet10.xml" Id="Rad7492dea09744a9" /><Relationship Type="http://schemas.openxmlformats.org/officeDocument/2006/relationships/worksheet" Target="/xl/worksheets/sheet11.xml" Id="R6ea5b33eefde4365" /><Relationship Type="http://schemas.openxmlformats.org/officeDocument/2006/relationships/worksheet" Target="/xl/worksheets/sheet12.xml" Id="R988f565e9457441d" /><Relationship Type="http://schemas.openxmlformats.org/officeDocument/2006/relationships/worksheet" Target="/xl/worksheets/sheet13.xml" Id="R4d9dffba45af49ba" /><Relationship Type="http://schemas.openxmlformats.org/officeDocument/2006/relationships/worksheet" Target="/xl/worksheets/sheet14.xml" Id="R64e24d8baa304d4a" /><Relationship Type="http://schemas.openxmlformats.org/officeDocument/2006/relationships/worksheet" Target="/xl/worksheets/sheet15.xml" Id="R7a0eb7bded944735" /><Relationship Type="http://schemas.openxmlformats.org/officeDocument/2006/relationships/worksheet" Target="/xl/worksheets/sheet16.xml" Id="R6d2dff8331754524" /><Relationship Type="http://schemas.openxmlformats.org/officeDocument/2006/relationships/worksheet" Target="/xl/worksheets/sheet17.xml" Id="R935f7c48bd944036" /><Relationship Type="http://schemas.openxmlformats.org/officeDocument/2006/relationships/worksheet" Target="/xl/worksheets/sheet18.xml" Id="R2698c18fa79443b0" /><Relationship Type="http://schemas.openxmlformats.org/officeDocument/2006/relationships/worksheet" Target="/xl/worksheets/sheet19.xml" Id="R832536f0928e4ce5" /><Relationship Type="http://schemas.openxmlformats.org/officeDocument/2006/relationships/worksheet" Target="/xl/worksheets/sheet20.xml" Id="R69ffc0d0cb4240c1" /><Relationship Type="http://schemas.openxmlformats.org/officeDocument/2006/relationships/worksheet" Target="/xl/worksheets/sheet21.xml" Id="Rb77f73e3c2584912" /><Relationship Type="http://schemas.openxmlformats.org/officeDocument/2006/relationships/worksheet" Target="/xl/worksheets/sheet22.xml" Id="Rc40aef6934fc4b16" /><Relationship Type="http://schemas.openxmlformats.org/officeDocument/2006/relationships/worksheet" Target="/xl/worksheets/sheet23.xml" Id="Re451b515b58f4840" /><Relationship Type="http://schemas.openxmlformats.org/officeDocument/2006/relationships/worksheet" Target="/xl/worksheets/sheet24.xml" Id="R0065b9feacd24978" /><Relationship Type="http://schemas.openxmlformats.org/officeDocument/2006/relationships/worksheet" Target="/xl/worksheets/sheet25.xml" Id="R1e257c325b324c43" /><Relationship Type="http://schemas.openxmlformats.org/officeDocument/2006/relationships/worksheet" Target="/xl/worksheets/sheet26.xml" Id="Rf0a0b4f4f903457f" /></Relationships>
</file>

<file path=xl/drawings/_rels/drawing1.xml.rels>&#65279;<?xml version="1.0" encoding="utf-8"?><Relationships xmlns="http://schemas.openxmlformats.org/package/2006/relationships"><Relationship Type="http://schemas.openxmlformats.org/officeDocument/2006/relationships/chart" Target="/xl/drawings/charts/chart1.xml" Id="R1cc8f3275de84efd"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cc8f3275de84efd"/>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9cc083fb88f4ed6" /></Relationships>
</file>

<file path=xl/worksheets/_rels/sheet2.xml.rels>&#65279;<?xml version="1.0" encoding="utf-8"?><Relationships xmlns="http://schemas.openxmlformats.org/package/2006/relationships"><Relationship Type="http://schemas.openxmlformats.org/officeDocument/2006/relationships/table" Target="/xl/tables/table2.xml" Id="R0ea9680a456f4265" /></Relationships>
</file>

<file path=xl/worksheets/_rels/sheet3.xml.rels>&#65279;<?xml version="1.0" encoding="utf-8"?><Relationships xmlns="http://schemas.openxmlformats.org/package/2006/relationships"><Relationship Type="http://schemas.openxmlformats.org/officeDocument/2006/relationships/drawing" Target="/xl/drawings/drawing1.xml" Id="R5a7c6504fb544c71" /></Relationships>
</file>

<file path=xl/worksheets/_rels/sheet4.xml.rels>&#65279;<?xml version="1.0" encoding="utf-8"?><Relationships xmlns="http://schemas.openxmlformats.org/package/2006/relationships"><Relationship Type="http://schemas.openxmlformats.org/officeDocument/2006/relationships/table" Target="/xl/tables/table3.xml" Id="R5a77801e8a274c10" /></Relationships>
</file>

<file path=xl/worksheets/_rels/sheet5.xml.rels>&#65279;<?xml version="1.0" encoding="utf-8"?><Relationships xmlns="http://schemas.openxmlformats.org/package/2006/relationships"><Relationship Type="http://schemas.openxmlformats.org/officeDocument/2006/relationships/table" Target="/xl/tables/table4.xml" Id="R94dfcacf559d49ea" /></Relationships>
</file>

<file path=xl/worksheets/_rels/sheet6.xml.rels>&#65279;<?xml version="1.0" encoding="utf-8"?><Relationships xmlns="http://schemas.openxmlformats.org/package/2006/relationships"><Relationship Type="http://schemas.openxmlformats.org/officeDocument/2006/relationships/table" Target="/xl/tables/table5.xml" Id="Rdeeec57164cb4953" /></Relationships>
</file>

<file path=xl/worksheets/_rels/sheet7.xml.rels>&#65279;<?xml version="1.0" encoding="utf-8"?><Relationships xmlns="http://schemas.openxmlformats.org/package/2006/relationships"><Relationship Type="http://schemas.openxmlformats.org/officeDocument/2006/relationships/table" Target="/xl/tables/table6.xml" Id="R2feee80baf454eaf" /></Relationships>
</file>

<file path=xl/worksheets/_rels/sheet9.xml.rels>&#65279;<?xml version="1.0" encoding="utf-8"?><Relationships xmlns="http://schemas.openxmlformats.org/package/2006/relationships"><Relationship Type="http://schemas.openxmlformats.org/officeDocument/2006/relationships/table" Target="/xl/tables/table7.xml" Id="R5dbf571c57164de3" /></Relationships>
</file>

<file path=xl/worksheets/_rels/sheet10.xml.rels>&#65279;<?xml version="1.0" encoding="utf-8"?><Relationships xmlns="http://schemas.openxmlformats.org/package/2006/relationships"><Relationship Type="http://schemas.openxmlformats.org/officeDocument/2006/relationships/table" Target="/xl/tables/table8.xml" Id="R63e33462eb4c410f" /></Relationships>
</file>

<file path=xl/worksheets/_rels/sheet11.xml.rels>&#65279;<?xml version="1.0" encoding="utf-8"?><Relationships xmlns="http://schemas.openxmlformats.org/package/2006/relationships"><Relationship Type="http://schemas.openxmlformats.org/officeDocument/2006/relationships/table" Target="/xl/tables/table9.xml" Id="R4574548c6d6a41c5" /></Relationships>
</file>

<file path=xl/worksheets/_rels/sheet13.xml.rels>&#65279;<?xml version="1.0" encoding="utf-8"?><Relationships xmlns="http://schemas.openxmlformats.org/package/2006/relationships"><Relationship Type="http://schemas.openxmlformats.org/officeDocument/2006/relationships/table" Target="/xl/tables/table10.xml" Id="Rf9b0950b664f4915" /></Relationships>
</file>

<file path=xl/worksheets/_rels/sheet14.xml.rels>&#65279;<?xml version="1.0" encoding="utf-8"?><Relationships xmlns="http://schemas.openxmlformats.org/package/2006/relationships"><Relationship Type="http://schemas.openxmlformats.org/officeDocument/2006/relationships/table" Target="/xl/tables/table11.xml" Id="Re0f14856b1e645f1" /></Relationships>
</file>

<file path=xl/worksheets/_rels/sheet15.xml.rels>&#65279;<?xml version="1.0" encoding="utf-8"?><Relationships xmlns="http://schemas.openxmlformats.org/package/2006/relationships"><Relationship Type="http://schemas.openxmlformats.org/officeDocument/2006/relationships/table" Target="/xl/tables/table12.xml" Id="Rdcd809c822c344cf" /></Relationships>
</file>

<file path=xl/worksheets/_rels/sheet16.xml.rels>&#65279;<?xml version="1.0" encoding="utf-8"?><Relationships xmlns="http://schemas.openxmlformats.org/package/2006/relationships"><Relationship Type="http://schemas.openxmlformats.org/officeDocument/2006/relationships/table" Target="/xl/tables/table13.xml" Id="R6f3373f6e9e64e5a"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49cc083fb88f4ed6"/>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0ea9680a456f4265"/>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326</x:v>
      </x:c>
      <x:c r="D6" s="133" t="inlineStr">
        <x:is>
          <x:t xml:space="preserve">G0A — Corporate platform architecture ready</x:t>
        </x:is>
      </x:c>
      <x:c r="E6" s="32" t="str">
        <x:f>'03 Launch Gates'!D20</x:f>
        <x:v>Completed</x:v>
      </x:c>
      <x:c r="G6" t="inlineStr">
        <x:is>
          <x:t xml:space="preserve">UI Tasks Complete</x:t>
        </x:is>
      </x:c>
      <x:c r="H6" t="n">
        <x:f>SUM(B36:B46)</x:f>
        <x:v>104</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0.888283378746594</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0.9127272727272727</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9</x:v>
      </x:c>
      <x:c r="C43" s="162" t="n">
        <x:f>COUNTIFS('01 Master Plan'!C$5:C$383,A43,'01 Master Plan'!H$5:H$383,"In Progress")</x:f>
        <x:v>0</x:v>
      </x:c>
      <x:c r="D43" s="162" t="n">
        <x:f>COUNTIFS('01 Master Plan'!C$5:C$383,A43,'01 Master Plan'!H$5:H$383,"Not Started")</x:f>
        <x:v>1</x:v>
      </x:c>
      <x:c r="E43" s="162" t="n">
        <x:f>COUNTIFS('01 Master Plan'!C$5:C$383,A43,'01 Master Plan'!H$5:H$383,"Blocked")</x:f>
        <x:v>0</x:v>
      </x:c>
      <x:c r="F43" s="162" t="n">
        <x:f>COUNTIFS('01 Master Plan'!C$5:C$383,A43,'01 Master Plan'!H$5:H$383,"Deferred")</x:f>
        <x:v>0</x:v>
      </x:c>
      <x:c r="G43" s="257" t="n">
        <x:f>IFERROR(B43/(B43+C43+D43+E43),0)</x:f>
        <x:v>0.9</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5a7c6504fb544c71"/>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5a77801e8a274c10"/>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94dfcacf559d49ea"/>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deeec57164cb4953"/>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2feee80baf454eaf"/>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5dbf571c57164de3"/>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63e33462eb4c410f"/>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4574548c6d6a41c5"/>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In Progress</x:v>
      </x:c>
      <x:c r="J11" s="133" t="str">
        <x:v>U6 / Phase 13G IN PROGRESS — 13G-01 through 13G-09 PASS/CLOSED/PUBLISHED. Ask Nexus now includes safe unavailable/limited/low-confidence fallback behavior that propagates uncertainty without recomputing confidence or fabricating certainty. Next executable canonical task: 13G-10 Lazy-load help/intelligence panel.</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f9b0950b664f4915"/>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e0f14856b1e645f1"/>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dcd809c822c344cf"/>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6f3373f6e9e64e5a"/>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