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d9aae1ebf4147aa" /></Relationships>
</file>

<file path=xl/workbook.xml><?xml version="1.0" encoding="utf-8"?>
<x:workbook xmlns:x="http://schemas.openxmlformats.org/spreadsheetml/2006/main">
  <x:sheets>
    <x:sheet xmlns:r="http://schemas.openxmlformats.org/officeDocument/2006/relationships" name="01 Master Plan" sheetId="1" r:id="Rb05f34516c7348b0"/>
    <x:sheet xmlns:r="http://schemas.openxmlformats.org/officeDocument/2006/relationships" name="03 Launch Gates" sheetId="2" r:id="Rae85aed261244068"/>
    <x:sheet xmlns:r="http://schemas.openxmlformats.org/officeDocument/2006/relationships" name="00 Dashboard" sheetId="3" r:id="Rbeaebb0b27204aa5"/>
    <x:sheet xmlns:r="http://schemas.openxmlformats.org/officeDocument/2006/relationships" name="04 Cursor Tasks" sheetId="4" r:id="R530c2f25d7274e2e"/>
    <x:sheet xmlns:r="http://schemas.openxmlformats.org/officeDocument/2006/relationships" name="05 UAT Matrix" sheetId="5" r:id="R0efad11effa3485d"/>
    <x:sheet xmlns:r="http://schemas.openxmlformats.org/officeDocument/2006/relationships" name="06 Security Matrix" sheetId="6" r:id="Ra2a70d2aae134ba7"/>
    <x:sheet xmlns:r="http://schemas.openxmlformats.org/officeDocument/2006/relationships" name="07 Risks" sheetId="7" r:id="R1ee0d42d36c34e85"/>
    <x:sheet xmlns:r="http://schemas.openxmlformats.org/officeDocument/2006/relationships" name="08 Architecture" sheetId="8" r:id="R8e022f0ad45a44c2"/>
    <x:sheet xmlns:r="http://schemas.openxmlformats.org/officeDocument/2006/relationships" name="09 Release Checklist" sheetId="9" r:id="R2d1aa75b39344c60"/>
    <x:sheet xmlns:r="http://schemas.openxmlformats.org/officeDocument/2006/relationships" name="10 Change Log" sheetId="10" r:id="R758f94f4b7444353"/>
    <x:sheet xmlns:r="http://schemas.openxmlformats.org/officeDocument/2006/relationships" name="11 Scope &amp; Roadmap" sheetId="11" r:id="R3c6d60edc5634773"/>
    <x:sheet xmlns:r="http://schemas.openxmlformats.org/officeDocument/2006/relationships" name="12 How to Use" sheetId="12" r:id="R9a4cfb3123eb4a46"/>
    <x:sheet xmlns:r="http://schemas.openxmlformats.org/officeDocument/2006/relationships" name="13 UI Program" sheetId="13" r:id="R2eae366ef00d4d20"/>
    <x:sheet xmlns:r="http://schemas.openxmlformats.org/officeDocument/2006/relationships" name="14 UI Scorecard" sheetId="14" r:id="R57d43be688734c4f"/>
    <x:sheet xmlns:r="http://schemas.openxmlformats.org/officeDocument/2006/relationships" name="15 Motion Guidance" sheetId="15" r:id="R37b9f8e314194d43"/>
    <x:sheet xmlns:r="http://schemas.openxmlformats.org/officeDocument/2006/relationships" name="16 Design Standards" sheetId="16" r:id="Rce3ab02801e84724"/>
    <x:sheet xmlns:r="http://schemas.openxmlformats.org/officeDocument/2006/relationships" name="17 Corporate Platform" sheetId="17" r:id="Rd708be19f36d4699"/>
    <x:sheet xmlns:r="http://schemas.openxmlformats.org/officeDocument/2006/relationships" name="18 Analytics Reuse Map" sheetId="18" r:id="R9f50e538b530436e"/>
    <x:sheet xmlns:r="http://schemas.openxmlformats.org/officeDocument/2006/relationships" name="19 Executive Insights Discovery" sheetId="19" r:id="Reedfb7ebff204117"/>
    <x:sheet xmlns:r="http://schemas.openxmlformats.org/officeDocument/2006/relationships" name="20 Procurement Insights Discovery" sheetId="20" r:id="R1023db6fe47e43b4"/>
    <x:sheet xmlns:r="http://schemas.openxmlformats.org/officeDocument/2006/relationships" name="21 Commercial Insights Discovery" sheetId="21" r:id="Rdd54829691d04c41"/>
    <x:sheet xmlns:r="http://schemas.openxmlformats.org/officeDocument/2006/relationships" name="22 Project Insights Discovery" sheetId="22" r:id="Rf2181e3ecc3c4a67"/>
    <x:sheet xmlns:r="http://schemas.openxmlformats.org/officeDocument/2006/relationships" name="23 Performance Discovery" sheetId="23" r:id="R05e104b952ee46a9"/>
    <x:sheet xmlns:r="http://schemas.openxmlformats.org/officeDocument/2006/relationships" name="24 Risk Compliance Discovery" sheetId="24" r:id="Rf7025147cbd04fc0"/>
    <x:sheet xmlns:r="http://schemas.openxmlformats.org/officeDocument/2006/relationships" name="25 Commercial Handoff" sheetId="25" r:id="R871a72b7d87847bf"/>
    <x:sheet xmlns:r="http://schemas.openxmlformats.org/officeDocument/2006/relationships" name="26 RFQ Governance" sheetId="26" r:id="R19c5a70779de4bd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f58f6f941a94ad9" /><Relationship Type="http://schemas.openxmlformats.org/officeDocument/2006/relationships/theme" Target="/xl/theme/theme1.xml" Id="R89806daf1b7541dc" /><Relationship Type="http://schemas.openxmlformats.org/officeDocument/2006/relationships/sharedStrings" Target="/xl/sharedStrings.xml" Id="Rd7259dc941494482" /><Relationship Type="http://schemas.openxmlformats.org/officeDocument/2006/relationships/worksheet" Target="/xl/worksheets/sheet1.xml" Id="Rb05f34516c7348b0" /><Relationship Type="http://schemas.openxmlformats.org/officeDocument/2006/relationships/worksheet" Target="/xl/worksheets/sheet2.xml" Id="Rae85aed261244068" /><Relationship Type="http://schemas.openxmlformats.org/officeDocument/2006/relationships/worksheet" Target="/xl/worksheets/sheet3.xml" Id="Rbeaebb0b27204aa5" /><Relationship Type="http://schemas.openxmlformats.org/officeDocument/2006/relationships/worksheet" Target="/xl/worksheets/sheet4.xml" Id="R530c2f25d7274e2e" /><Relationship Type="http://schemas.openxmlformats.org/officeDocument/2006/relationships/worksheet" Target="/xl/worksheets/sheet5.xml" Id="R0efad11effa3485d" /><Relationship Type="http://schemas.openxmlformats.org/officeDocument/2006/relationships/worksheet" Target="/xl/worksheets/sheet6.xml" Id="Ra2a70d2aae134ba7" /><Relationship Type="http://schemas.openxmlformats.org/officeDocument/2006/relationships/worksheet" Target="/xl/worksheets/sheet7.xml" Id="R1ee0d42d36c34e85" /><Relationship Type="http://schemas.openxmlformats.org/officeDocument/2006/relationships/worksheet" Target="/xl/worksheets/sheet8.xml" Id="R8e022f0ad45a44c2" /><Relationship Type="http://schemas.openxmlformats.org/officeDocument/2006/relationships/worksheet" Target="/xl/worksheets/sheet9.xml" Id="R2d1aa75b39344c60" /><Relationship Type="http://schemas.openxmlformats.org/officeDocument/2006/relationships/worksheet" Target="/xl/worksheets/sheet10.xml" Id="R758f94f4b7444353" /><Relationship Type="http://schemas.openxmlformats.org/officeDocument/2006/relationships/worksheet" Target="/xl/worksheets/sheet11.xml" Id="R3c6d60edc5634773" /><Relationship Type="http://schemas.openxmlformats.org/officeDocument/2006/relationships/worksheet" Target="/xl/worksheets/sheet12.xml" Id="R9a4cfb3123eb4a46" /><Relationship Type="http://schemas.openxmlformats.org/officeDocument/2006/relationships/worksheet" Target="/xl/worksheets/sheet13.xml" Id="R2eae366ef00d4d20" /><Relationship Type="http://schemas.openxmlformats.org/officeDocument/2006/relationships/worksheet" Target="/xl/worksheets/sheet14.xml" Id="R57d43be688734c4f" /><Relationship Type="http://schemas.openxmlformats.org/officeDocument/2006/relationships/worksheet" Target="/xl/worksheets/sheet15.xml" Id="R37b9f8e314194d43" /><Relationship Type="http://schemas.openxmlformats.org/officeDocument/2006/relationships/worksheet" Target="/xl/worksheets/sheet16.xml" Id="Rce3ab02801e84724" /><Relationship Type="http://schemas.openxmlformats.org/officeDocument/2006/relationships/worksheet" Target="/xl/worksheets/sheet17.xml" Id="Rd708be19f36d4699" /><Relationship Type="http://schemas.openxmlformats.org/officeDocument/2006/relationships/worksheet" Target="/xl/worksheets/sheet18.xml" Id="R9f50e538b530436e" /><Relationship Type="http://schemas.openxmlformats.org/officeDocument/2006/relationships/worksheet" Target="/xl/worksheets/sheet19.xml" Id="Reedfb7ebff204117" /><Relationship Type="http://schemas.openxmlformats.org/officeDocument/2006/relationships/worksheet" Target="/xl/worksheets/sheet20.xml" Id="R1023db6fe47e43b4" /><Relationship Type="http://schemas.openxmlformats.org/officeDocument/2006/relationships/worksheet" Target="/xl/worksheets/sheet21.xml" Id="Rdd54829691d04c41" /><Relationship Type="http://schemas.openxmlformats.org/officeDocument/2006/relationships/worksheet" Target="/xl/worksheets/sheet22.xml" Id="Rf2181e3ecc3c4a67" /><Relationship Type="http://schemas.openxmlformats.org/officeDocument/2006/relationships/worksheet" Target="/xl/worksheets/sheet23.xml" Id="R05e104b952ee46a9" /><Relationship Type="http://schemas.openxmlformats.org/officeDocument/2006/relationships/worksheet" Target="/xl/worksheets/sheet24.xml" Id="Rf7025147cbd04fc0" /><Relationship Type="http://schemas.openxmlformats.org/officeDocument/2006/relationships/worksheet" Target="/xl/worksheets/sheet25.xml" Id="R871a72b7d87847bf" /><Relationship Type="http://schemas.openxmlformats.org/officeDocument/2006/relationships/worksheet" Target="/xl/worksheets/sheet26.xml" Id="R19c5a70779de4bd9" /></Relationships>
</file>

<file path=xl/drawings/_rels/drawing1.xml.rels>&#65279;<?xml version="1.0" encoding="utf-8"?><Relationships xmlns="http://schemas.openxmlformats.org/package/2006/relationships"><Relationship Type="http://schemas.openxmlformats.org/officeDocument/2006/relationships/chart" Target="/xl/drawings/charts/chart1.xml" Id="Rdaf9b9a7fbfb456a"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af9b9a7fbfb456a"/>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86cf4e1be0446ed" /></Relationships>
</file>

<file path=xl/worksheets/_rels/sheet2.xml.rels>&#65279;<?xml version="1.0" encoding="utf-8"?><Relationships xmlns="http://schemas.openxmlformats.org/package/2006/relationships"><Relationship Type="http://schemas.openxmlformats.org/officeDocument/2006/relationships/table" Target="/xl/tables/table2.xml" Id="R18e8f41dfdf54185" /></Relationships>
</file>

<file path=xl/worksheets/_rels/sheet3.xml.rels>&#65279;<?xml version="1.0" encoding="utf-8"?><Relationships xmlns="http://schemas.openxmlformats.org/package/2006/relationships"><Relationship Type="http://schemas.openxmlformats.org/officeDocument/2006/relationships/drawing" Target="/xl/drawings/drawing1.xml" Id="R96c9c9d534d74a79" /></Relationships>
</file>

<file path=xl/worksheets/_rels/sheet4.xml.rels>&#65279;<?xml version="1.0" encoding="utf-8"?><Relationships xmlns="http://schemas.openxmlformats.org/package/2006/relationships"><Relationship Type="http://schemas.openxmlformats.org/officeDocument/2006/relationships/table" Target="/xl/tables/table3.xml" Id="R8697cf0f840741e1" /></Relationships>
</file>

<file path=xl/worksheets/_rels/sheet5.xml.rels>&#65279;<?xml version="1.0" encoding="utf-8"?><Relationships xmlns="http://schemas.openxmlformats.org/package/2006/relationships"><Relationship Type="http://schemas.openxmlformats.org/officeDocument/2006/relationships/table" Target="/xl/tables/table4.xml" Id="R081e8084498e4c6d" /></Relationships>
</file>

<file path=xl/worksheets/_rels/sheet6.xml.rels>&#65279;<?xml version="1.0" encoding="utf-8"?><Relationships xmlns="http://schemas.openxmlformats.org/package/2006/relationships"><Relationship Type="http://schemas.openxmlformats.org/officeDocument/2006/relationships/table" Target="/xl/tables/table5.xml" Id="Rc2f2c4b94acc4651" /></Relationships>
</file>

<file path=xl/worksheets/_rels/sheet7.xml.rels>&#65279;<?xml version="1.0" encoding="utf-8"?><Relationships xmlns="http://schemas.openxmlformats.org/package/2006/relationships"><Relationship Type="http://schemas.openxmlformats.org/officeDocument/2006/relationships/table" Target="/xl/tables/table6.xml" Id="Recc3acf20a064f4a" /></Relationships>
</file>

<file path=xl/worksheets/_rels/sheet9.xml.rels>&#65279;<?xml version="1.0" encoding="utf-8"?><Relationships xmlns="http://schemas.openxmlformats.org/package/2006/relationships"><Relationship Type="http://schemas.openxmlformats.org/officeDocument/2006/relationships/table" Target="/xl/tables/table7.xml" Id="R7c37055b99f343f9" /></Relationships>
</file>

<file path=xl/worksheets/_rels/sheet10.xml.rels>&#65279;<?xml version="1.0" encoding="utf-8"?><Relationships xmlns="http://schemas.openxmlformats.org/package/2006/relationships"><Relationship Type="http://schemas.openxmlformats.org/officeDocument/2006/relationships/table" Target="/xl/tables/table8.xml" Id="Rfda2439808444e8a" /></Relationships>
</file>

<file path=xl/worksheets/_rels/sheet11.xml.rels>&#65279;<?xml version="1.0" encoding="utf-8"?><Relationships xmlns="http://schemas.openxmlformats.org/package/2006/relationships"><Relationship Type="http://schemas.openxmlformats.org/officeDocument/2006/relationships/table" Target="/xl/tables/table9.xml" Id="R9c20e1b954ae4bf5" /></Relationships>
</file>

<file path=xl/worksheets/_rels/sheet13.xml.rels>&#65279;<?xml version="1.0" encoding="utf-8"?><Relationships xmlns="http://schemas.openxmlformats.org/package/2006/relationships"><Relationship Type="http://schemas.openxmlformats.org/officeDocument/2006/relationships/table" Target="/xl/tables/table10.xml" Id="R4924858a96a141ba" /></Relationships>
</file>

<file path=xl/worksheets/_rels/sheet14.xml.rels>&#65279;<?xml version="1.0" encoding="utf-8"?><Relationships xmlns="http://schemas.openxmlformats.org/package/2006/relationships"><Relationship Type="http://schemas.openxmlformats.org/officeDocument/2006/relationships/table" Target="/xl/tables/table11.xml" Id="R0bc2a10205b745a0" /></Relationships>
</file>

<file path=xl/worksheets/_rels/sheet15.xml.rels>&#65279;<?xml version="1.0" encoding="utf-8"?><Relationships xmlns="http://schemas.openxmlformats.org/package/2006/relationships"><Relationship Type="http://schemas.openxmlformats.org/officeDocument/2006/relationships/table" Target="/xl/tables/table12.xml" Id="Re14ec1fe83444d45" /></Relationships>
</file>

<file path=xl/worksheets/_rels/sheet16.xml.rels>&#65279;<?xml version="1.0" encoding="utf-8"?><Relationships xmlns="http://schemas.openxmlformats.org/package/2006/relationships"><Relationship Type="http://schemas.openxmlformats.org/officeDocument/2006/relationships/table" Target="/xl/tables/table13.xml" Id="R3f2fe4339e5a4de0"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f>IF(H201="Completed","✓",IF(H201="Blocked","!",""))</x:f>
      </x:c>
      <x:c r="B201" s="133" t="inlineStr">
        <x:is>
          <x:t xml:space="preserve">19-02</x:t>
        </x:is>
      </x:c>
      <x:c r="C201" s="133" t="inlineStr">
        <x:is>
          <x:t xml:space="preserve">19 Marketing Alignment</x:t>
        </x:is>
      </x:c>
      <x:c r="D201" s="133" t="inlineStr">
        <x:is>
          <x:t xml:space="preserve">Marketing</x:t>
        </x:is>
      </x:c>
      <x:c r="E201" s="133" t="inlineStr">
        <x:is>
          <x:t xml:space="preserve">Align website architecture message</x:t>
        </x:is>
      </x:c>
      <x:c r="F201" s="133" t="inlineStr">
        <x:is>
          <x:t xml:space="preserve">Company Workspace and Procurement Center story matches actual product.</x:t>
        </x:is>
      </x:c>
      <x:c r="G201" s="133" t="inlineStr">
        <x:is>
          <x:t xml:space="preserve">P1</x:t>
        </x:is>
      </x:c>
      <x:c r="H201" s="133" t="inlineStr">
        <x:is>
          <x:t xml:space="preserve">Not Started</x:t>
        </x:is>
      </x:c>
      <x:c r="I201" s="133" t="str"/>
      <x:c r="J201" s="133" t="str"/>
      <x:c r="K201" s="133" t="str"/>
      <x:c r="L201" s="133" t="str"/>
      <x:c r="M201" s="133" t="str"/>
      <x:c r="N201" s="249" t="n"/>
      <x:c r="O201" s="249" t="n"/>
      <x:c r="P201" s="32" t="str"/>
    </x:row>
    <x:row r="202">
      <x:c r="A202" s="42" t="str">
        <x:f>IF(H202="Completed","✓",IF(H202="Blocked","!",""))</x:f>
      </x:c>
      <x:c r="B202" s="133" t="inlineStr">
        <x:is>
          <x:t xml:space="preserve">19-03</x:t>
        </x:is>
      </x:c>
      <x:c r="C202" s="133" t="inlineStr">
        <x:is>
          <x:t xml:space="preserve">19 Marketing Alignment</x:t>
        </x:is>
      </x:c>
      <x:c r="D202" s="133" t="inlineStr">
        <x:is>
          <x:t xml:space="preserve">Marketing</x:t>
        </x:is>
      </x:c>
      <x:c r="E202" s="133" t="inlineStr">
        <x:is>
          <x:t xml:space="preserve">Separate Available Now vs Planned</x:t>
        </x:is>
      </x:c>
      <x:c r="F202" s="133" t="inlineStr">
        <x:is>
          <x:t xml:space="preserve">Future Contract/PO/advanced AI is not presented as production-ready.</x:t>
        </x:is>
      </x:c>
      <x:c r="G202" s="133" t="inlineStr">
        <x:is>
          <x:t xml:space="preserve">P0</x:t>
        </x:is>
      </x:c>
      <x:c r="H202" s="133" t="inlineStr">
        <x:is>
          <x:t xml:space="preserve">Not Started</x:t>
        </x:is>
      </x:c>
      <x:c r="I202" s="133" t="str"/>
      <x:c r="J202" s="133" t="str"/>
      <x:c r="K202" s="133" t="str"/>
      <x:c r="L202" s="133" t="inlineStr">
        <x:is>
          <x:t xml:space="preserve">G12</x:t>
        </x:is>
      </x:c>
      <x:c r="M202" s="133" t="str"/>
      <x:c r="N202" s="249" t="n"/>
      <x:c r="O202" s="249" t="n"/>
      <x:c r="P202" s="32" t="str"/>
    </x:row>
    <x:row r="203">
      <x:c r="A203" s="42" t="str">
        <x:f>IF(H203="Completed","✓",IF(H203="Blocked","!",""))</x:f>
      </x:c>
      <x:c r="B203" s="133" t="inlineStr">
        <x:is>
          <x:t xml:space="preserve">19-04</x:t>
        </x:is>
      </x:c>
      <x:c r="C203" s="133" t="inlineStr">
        <x:is>
          <x:t xml:space="preserve">19 Marketing Alignment</x:t>
        </x:is>
      </x:c>
      <x:c r="D203" s="133" t="inlineStr">
        <x:is>
          <x:t xml:space="preserve">Marketing</x:t>
        </x:is>
      </x:c>
      <x:c r="E203" s="133" t="inlineStr">
        <x:is>
          <x:t xml:space="preserve">Finalize launch positioning copy</x:t>
        </x:is>
      </x:c>
      <x:c r="F203" s="133" t="str">
        <x:v>Evidence-backed procurement intelligence narrative is consistent with current launch capability.</x:v>
      </x:c>
      <x:c r="G203" s="133" t="inlineStr">
        <x:is>
          <x:t xml:space="preserve">P1</x:t>
        </x:is>
      </x:c>
      <x:c r="H203" s="133" t="inlineStr">
        <x:is>
          <x:t xml:space="preserve">Not Started</x:t>
        </x:is>
      </x:c>
      <x:c r="I203" s="133" t="str"/>
      <x:c r="J203" s="133" t="str"/>
      <x:c r="K203" s="133" t="str"/>
      <x:c r="L203" s="133" t="str"/>
      <x:c r="M203" s="133" t="str"/>
      <x:c r="N203" s="249" t="n"/>
      <x:c r="O203" s="249" t="n"/>
      <x:c r="P203" s="32" t="str"/>
    </x:row>
    <x:row r="204">
      <x:c r="A204" s="42" t="str">
        <x:f>IF(H204="Completed","✓",IF(H204="Blocked","!",""))</x:f>
      </x:c>
      <x:c r="B204" s="133" t="inlineStr">
        <x:is>
          <x:t xml:space="preserve">19-05</x:t>
        </x:is>
      </x:c>
      <x:c r="C204" s="133" t="inlineStr">
        <x:is>
          <x:t xml:space="preserve">19 Marketing Alignment</x:t>
        </x:is>
      </x:c>
      <x:c r="D204" s="133" t="inlineStr">
        <x:is>
          <x:t xml:space="preserve">Marketing</x:t>
        </x:is>
      </x:c>
      <x:c r="E204" s="133" t="inlineStr">
        <x:is>
          <x:t xml:space="preserve">Capture representative screenshots</x:t>
        </x:is>
      </x:c>
      <x:c r="F204" s="133" t="inlineStr">
        <x:is>
          <x:t xml:space="preserve">Screenshots show real launch-ready states and terminology.</x:t>
        </x:is>
      </x:c>
      <x:c r="G204" s="133" t="inlineStr">
        <x:is>
          <x:t xml:space="preserve">P1</x:t>
        </x:is>
      </x:c>
      <x:c r="H204" s="133" t="inlineStr">
        <x:is>
          <x:t xml:space="preserve">Not Started</x:t>
        </x:is>
      </x:c>
      <x:c r="I204" s="133" t="str"/>
      <x:c r="J204" s="133" t="str"/>
      <x:c r="K204" s="133" t="str"/>
      <x:c r="L204" s="133" t="str"/>
      <x:c r="M204" s="133" t="str"/>
      <x:c r="N204" s="249" t="n"/>
      <x:c r="O204" s="249" t="n"/>
      <x:c r="P204" s="32" t="str"/>
    </x:row>
    <x:row r="205">
      <x:c r="A205" s="42" t="str">
        <x:f>IF(H205="Completed","✓",IF(H205="Blocked","!",""))</x:f>
      </x:c>
      <x:c r="B205" s="133" t="inlineStr">
        <x:is>
          <x:t xml:space="preserve">19-06</x:t>
        </x:is>
      </x:c>
      <x:c r="C205" s="133" t="inlineStr">
        <x:is>
          <x:t xml:space="preserve">19 Marketing Alignment</x:t>
        </x:is>
      </x:c>
      <x:c r="D205" s="133" t="inlineStr">
        <x:is>
          <x:t xml:space="preserve">Marketing</x:t>
        </x:is>
      </x:c>
      <x:c r="E205" s="133" t="inlineStr">
        <x:is>
          <x:t xml:space="preserve">Create sales workflow story</x:t>
        </x:is>
      </x:c>
      <x:c r="F205" s="133" t="inlineStr">
        <x:is>
          <x:t xml:space="preserve">Issuer/respondent/RFI/evaluation story explained from one architecture.</x:t>
        </x:is>
      </x:c>
      <x:c r="G205" s="133" t="inlineStr">
        <x:is>
          <x:t xml:space="preserve">P1</x:t>
        </x:is>
      </x:c>
      <x:c r="H205" s="133" t="inlineStr">
        <x:is>
          <x:t xml:space="preserve">Not Started</x:t>
        </x:is>
      </x:c>
      <x:c r="I205" s="133" t="str"/>
      <x:c r="J205" s="133" t="str"/>
      <x:c r="K205" s="133" t="str"/>
      <x:c r="L205" s="133" t="str"/>
      <x:c r="M205" s="133" t="str"/>
      <x:c r="N205" s="249" t="n"/>
      <x:c r="O205" s="249" t="n"/>
      <x:c r="P205" s="32" t="str"/>
    </x:row>
    <x:row r="206">
      <x:c r="A206" s="42" t="str">
        <x:f>IF(H206="Completed","✓",IF(H206="Blocked","!",""))</x:f>
      </x:c>
      <x:c r="B206" s="133" t="inlineStr">
        <x:is>
          <x:t xml:space="preserve">19-07</x:t>
        </x:is>
      </x:c>
      <x:c r="C206" s="133" t="inlineStr">
        <x:is>
          <x:t xml:space="preserve">19 Marketing Alignment</x:t>
        </x:is>
      </x:c>
      <x:c r="D206" s="133" t="inlineStr">
        <x:is>
          <x:t xml:space="preserve">Marketing</x:t>
        </x:is>
      </x:c>
      <x:c r="E206" s="133" t="inlineStr">
        <x:is>
          <x:t xml:space="preserve">Create investor platform story</x:t>
        </x:is>
      </x:c>
      <x:c r="F206" s="133" t="inlineStr">
        <x:is>
          <x:t xml:space="preserve">Vision distinguishes current foundation from roadmap expansion.</x:t>
        </x:is>
      </x:c>
      <x:c r="G206" s="133" t="inlineStr">
        <x:is>
          <x:t xml:space="preserve">P2</x:t>
        </x:is>
      </x:c>
      <x:c r="H206" s="133" t="inlineStr">
        <x:is>
          <x:t xml:space="preserve">Not Started</x:t>
        </x:is>
      </x:c>
      <x:c r="I206" s="133" t="str"/>
      <x:c r="J206" s="133" t="str"/>
      <x:c r="K206" s="133" t="str"/>
      <x:c r="L206" s="133" t="str"/>
      <x:c r="M206" s="133" t="str"/>
      <x:c r="N206" s="249" t="n"/>
      <x:c r="O206" s="249" t="n"/>
      <x:c r="P206" s="32" t="str"/>
    </x:row>
    <x:row r="207">
      <x:c r="A207" s="42" t="str">
        <x:f>IF(H207="Completed","✓",IF(H207="Blocked","!",""))</x:f>
      </x:c>
      <x:c r="B207" s="133" t="inlineStr">
        <x:is>
          <x:t xml:space="preserve">20-01</x:t>
        </x:is>
      </x:c>
      <x:c r="C207" s="133" t="inlineStr">
        <x:is>
          <x:t xml:space="preserve">20 Launch Documentation</x:t>
        </x:is>
      </x:c>
      <x:c r="D207" s="133" t="inlineStr">
        <x:is>
          <x:t xml:space="preserve">Documentation</x:t>
        </x:is>
      </x:c>
      <x:c r="E207" s="133" t="inlineStr">
        <x:is>
          <x:t xml:space="preserve">Getting Started</x:t>
        </x:is>
      </x:c>
      <x:c r="F207" s="133" t="inlineStr">
        <x:is>
          <x:t xml:space="preserve">New user can understand workspace and first actions.</x:t>
        </x:is>
      </x:c>
      <x:c r="G207" s="133" t="inlineStr">
        <x:is>
          <x:t xml:space="preserve">P0</x:t>
        </x:is>
      </x:c>
      <x:c r="H207" s="133" t="inlineStr">
        <x:is>
          <x:t xml:space="preserve">Not Started</x:t>
        </x:is>
      </x:c>
      <x:c r="I207" s="133" t="str"/>
      <x:c r="J207" s="133" t="str"/>
      <x:c r="K207" s="133" t="str"/>
      <x:c r="L207" s="133" t="inlineStr">
        <x:is>
          <x:t xml:space="preserve">G11</x:t>
        </x:is>
      </x:c>
      <x:c r="M207" s="133" t="str"/>
      <x:c r="N207" s="249" t="n"/>
      <x:c r="O207" s="249" t="n"/>
      <x:c r="P207" s="32" t="str"/>
    </x:row>
    <x:row r="208">
      <x:c r="A208" s="42" t="str">
        <x:f>IF(H208="Completed","✓",IF(H208="Blocked","!",""))</x:f>
      </x:c>
      <x:c r="B208" s="133" t="inlineStr">
        <x:is>
          <x:t xml:space="preserve">20-02</x:t>
        </x:is>
      </x:c>
      <x:c r="C208" s="133" t="inlineStr">
        <x:is>
          <x:t xml:space="preserve">20 Launch Documentation</x:t>
        </x:is>
      </x:c>
      <x:c r="D208" s="133" t="inlineStr">
        <x:is>
          <x:t xml:space="preserve">Documentation</x:t>
        </x:is>
      </x:c>
      <x:c r="E208" s="133" t="inlineStr">
        <x:is>
          <x:t xml:space="preserve">Create Company</x:t>
        </x:is>
      </x:c>
      <x:c r="F208" s="133" t="inlineStr">
        <x:is>
          <x:t xml:space="preserve">Company creation/onboarding documented.</x:t>
        </x:is>
      </x:c>
      <x:c r="G208" s="133" t="inlineStr">
        <x:is>
          <x:t xml:space="preserve">P0</x:t>
        </x:is>
      </x:c>
      <x:c r="H208" s="133" t="inlineStr">
        <x:is>
          <x:t xml:space="preserve">Not Started</x:t>
        </x:is>
      </x:c>
      <x:c r="I208" s="133" t="str"/>
      <x:c r="J208" s="133" t="str"/>
      <x:c r="K208" s="133" t="str"/>
      <x:c r="L208" s="133" t="inlineStr">
        <x:is>
          <x:t xml:space="preserve">G11</x:t>
        </x:is>
      </x:c>
      <x:c r="M208" s="133" t="str"/>
      <x:c r="N208" s="249" t="n"/>
      <x:c r="O208" s="249" t="n"/>
      <x:c r="P208" s="32" t="str"/>
    </x:row>
    <x:row r="209">
      <x:c r="A209" s="42" t="str">
        <x:f>IF(H209="Completed","✓",IF(H209="Blocked","!",""))</x:f>
      </x:c>
      <x:c r="B209" s="133" t="inlineStr">
        <x:is>
          <x:t xml:space="preserve">20-03</x:t>
        </x:is>
      </x:c>
      <x:c r="C209" s="133" t="inlineStr">
        <x:is>
          <x:t xml:space="preserve">20 Launch Documentation</x:t>
        </x:is>
      </x:c>
      <x:c r="D209" s="133" t="inlineStr">
        <x:is>
          <x:t xml:space="preserve">Documentation</x:t>
        </x:is>
      </x:c>
      <x:c r="E209" s="133" t="inlineStr">
        <x:is>
          <x:t xml:space="preserve">Create RFQ</x:t>
        </x:is>
      </x:c>
      <x:c r="F209" s="133" t="inlineStr">
        <x:is>
          <x:t xml:space="preserve">Issuer RFQ creation/configuration documented.</x:t>
        </x:is>
      </x:c>
      <x:c r="G209" s="133" t="inlineStr">
        <x:is>
          <x:t xml:space="preserve">P0</x:t>
        </x:is>
      </x:c>
      <x:c r="H209" s="133" t="inlineStr">
        <x:is>
          <x:t xml:space="preserve">Not Started</x:t>
        </x:is>
      </x:c>
      <x:c r="I209" s="133" t="str"/>
      <x:c r="J209" s="133" t="str"/>
      <x:c r="K209" s="133" t="str"/>
      <x:c r="L209" s="133" t="inlineStr">
        <x:is>
          <x:t xml:space="preserve">G11</x:t>
        </x:is>
      </x:c>
      <x:c r="M209" s="133" t="str"/>
      <x:c r="N209" s="249" t="n"/>
      <x:c r="O209" s="249" t="n"/>
      <x:c r="P209" s="32" t="str"/>
    </x:row>
    <x:row r="210">
      <x:c r="A210" s="42" t="str">
        <x:f>IF(H210="Completed","✓",IF(H210="Blocked","!",""))</x:f>
      </x:c>
      <x:c r="B210" s="133" t="inlineStr">
        <x:is>
          <x:t xml:space="preserve">20-04</x:t>
        </x:is>
      </x:c>
      <x:c r="C210" s="133" t="inlineStr">
        <x:is>
          <x:t xml:space="preserve">20 Launch Documentation</x:t>
        </x:is>
      </x:c>
      <x:c r="D210" s="133" t="inlineStr">
        <x:is>
          <x:t xml:space="preserve">Documentation</x:t>
        </x:is>
      </x:c>
      <x:c r="E210" s="133" t="inlineStr">
        <x:is>
          <x:t xml:space="preserve">Invite Companies</x:t>
        </x:is>
      </x:c>
      <x:c r="F210" s="133" t="inlineStr">
        <x:is>
          <x:t xml:space="preserve">Invitation lifecycle and troubleshooting documented.</x:t>
        </x:is>
      </x:c>
      <x:c r="G210" s="133" t="inlineStr">
        <x:is>
          <x:t xml:space="preserve">P0</x:t>
        </x:is>
      </x:c>
      <x:c r="H210" s="133" t="inlineStr">
        <x:is>
          <x:t xml:space="preserve">Not Started</x:t>
        </x:is>
      </x:c>
      <x:c r="I210" s="133" t="str"/>
      <x:c r="J210" s="133" t="str"/>
      <x:c r="K210" s="133" t="str"/>
      <x:c r="L210" s="133" t="inlineStr">
        <x:is>
          <x:t xml:space="preserve">G11</x:t>
        </x:is>
      </x:c>
      <x:c r="M210" s="133" t="str"/>
      <x:c r="N210" s="249" t="n"/>
      <x:c r="O210" s="249" t="n"/>
      <x:c r="P210" s="32" t="str"/>
    </x:row>
    <x:row r="211">
      <x:c r="A211" s="42" t="str">
        <x:f>IF(H211="Completed","✓",IF(H211="Blocked","!",""))</x:f>
      </x:c>
      <x:c r="B211" s="133" t="inlineStr">
        <x:is>
          <x:t xml:space="preserve">20-05</x:t>
        </x:is>
      </x:c>
      <x:c r="C211" s="133" t="inlineStr">
        <x:is>
          <x:t xml:space="preserve">20 Launch Documentation</x:t>
        </x:is>
      </x:c>
      <x:c r="D211" s="133" t="inlineStr">
        <x:is>
          <x:t xml:space="preserve">Documentation</x:t>
        </x:is>
      </x:c>
      <x:c r="E211" s="133" t="inlineStr">
        <x:is>
          <x:t xml:space="preserve">Respond to RFQ</x:t>
        </x:is>
      </x:c>
      <x:c r="F211" s="133" t="inlineStr">
        <x:is>
          <x:t xml:space="preserve">Respondent access/review flow documented.</x:t>
        </x:is>
      </x:c>
      <x:c r="G211" s="133" t="inlineStr">
        <x:is>
          <x:t xml:space="preserve">P0</x:t>
        </x:is>
      </x:c>
      <x:c r="H211" s="133" t="inlineStr">
        <x:is>
          <x:t xml:space="preserve">Not Started</x:t>
        </x:is>
      </x:c>
      <x:c r="I211" s="133" t="str"/>
      <x:c r="J211" s="133" t="str"/>
      <x:c r="K211" s="133" t="str"/>
      <x:c r="L211" s="133" t="inlineStr">
        <x:is>
          <x:t xml:space="preserve">G11</x:t>
        </x:is>
      </x:c>
      <x:c r="M211" s="133" t="str"/>
      <x:c r="N211" s="249" t="n"/>
      <x:c r="O211" s="249" t="n"/>
      <x:c r="P211" s="32" t="str"/>
    </x:row>
    <x:row r="212">
      <x:c r="A212" s="42" t="str">
        <x:f>IF(H212="Completed","✓",IF(H212="Blocked","!",""))</x:f>
      </x:c>
      <x:c r="B212" s="133" t="inlineStr">
        <x:is>
          <x:t xml:space="preserve">20-06</x:t>
        </x:is>
      </x:c>
      <x:c r="C212" s="133" t="inlineStr">
        <x:is>
          <x:t xml:space="preserve">20 Launch Documentation</x:t>
        </x:is>
      </x:c>
      <x:c r="D212" s="133" t="inlineStr">
        <x:is>
          <x:t xml:space="preserve">Documentation</x:t>
        </x:is>
      </x:c>
      <x:c r="E212" s="133" t="inlineStr">
        <x:is>
          <x:t xml:space="preserve">Submit RFI</x:t>
        </x:is>
      </x:c>
      <x:c r="F212" s="133" t="inlineStr">
        <x:is>
          <x:t xml:space="preserve">RFI/clarification rules and deadline documented.</x:t>
        </x:is>
      </x:c>
      <x:c r="G212" s="133" t="inlineStr">
        <x:is>
          <x:t xml:space="preserve">P0</x:t>
        </x:is>
      </x:c>
      <x:c r="H212" s="133" t="inlineStr">
        <x:is>
          <x:t xml:space="preserve">Not Started</x:t>
        </x:is>
      </x:c>
      <x:c r="I212" s="133" t="str"/>
      <x:c r="J212" s="133" t="str"/>
      <x:c r="K212" s="133" t="str"/>
      <x:c r="L212" s="133" t="inlineStr">
        <x:is>
          <x:t xml:space="preserve">G11</x:t>
        </x:is>
      </x:c>
      <x:c r="M212" s="133" t="str"/>
      <x:c r="N212" s="249" t="n"/>
      <x:c r="O212" s="249" t="n"/>
      <x:c r="P212" s="32" t="str"/>
    </x:row>
    <x:row r="213">
      <x:c r="A213" s="42" t="str">
        <x:f>IF(H213="Completed","✓",IF(H213="Blocked","!",""))</x:f>
      </x:c>
      <x:c r="B213" s="133" t="inlineStr">
        <x:is>
          <x:t xml:space="preserve">20-07</x:t>
        </x:is>
      </x:c>
      <x:c r="C213" s="133" t="inlineStr">
        <x:is>
          <x:t xml:space="preserve">20 Launch Documentation</x:t>
        </x:is>
      </x:c>
      <x:c r="D213" s="133" t="inlineStr">
        <x:is>
          <x:t xml:space="preserve">Documentation</x:t>
        </x:is>
      </x:c>
      <x:c r="E213" s="133" t="inlineStr">
        <x:is>
          <x:t xml:space="preserve">Submit Quote</x:t>
        </x:is>
      </x:c>
      <x:c r="F213" s="133" t="inlineStr">
        <x:is>
          <x:t xml:space="preserve">Quote/proposal preparation and submission documented.</x:t>
        </x:is>
      </x:c>
      <x:c r="G213" s="133" t="inlineStr">
        <x:is>
          <x:t xml:space="preserve">P0</x:t>
        </x:is>
      </x:c>
      <x:c r="H213" s="133" t="inlineStr">
        <x:is>
          <x:t xml:space="preserve">Not Started</x:t>
        </x:is>
      </x:c>
      <x:c r="I213" s="133" t="str"/>
      <x:c r="J213" s="133" t="str"/>
      <x:c r="K213" s="133" t="str"/>
      <x:c r="L213" s="133" t="inlineStr">
        <x:is>
          <x:t xml:space="preserve">G11</x:t>
        </x:is>
      </x:c>
      <x:c r="M213" s="133" t="str"/>
      <x:c r="N213" s="249" t="n"/>
      <x:c r="O213" s="249" t="n"/>
      <x:c r="P213" s="32" t="str"/>
    </x:row>
    <x:row r="214">
      <x:c r="A214" s="42" t="str">
        <x:f>IF(H214="Completed","✓",IF(H214="Blocked","!",""))</x:f>
      </x:c>
      <x:c r="B214" s="133" t="inlineStr">
        <x:is>
          <x:t xml:space="preserve">20-08</x:t>
        </x:is>
      </x:c>
      <x:c r="C214" s="133" t="inlineStr">
        <x:is>
          <x:t xml:space="preserve">20 Launch Documentation</x:t>
        </x:is>
      </x:c>
      <x:c r="D214" s="133" t="inlineStr">
        <x:is>
          <x:t xml:space="preserve">Documentation</x:t>
        </x:is>
      </x:c>
      <x:c r="E214" s="133" t="inlineStr">
        <x:is>
          <x:t xml:space="preserve">Evaluate Responses</x:t>
        </x:is>
      </x:c>
      <x:c r="F214" s="133" t="inlineStr">
        <x:is>
          <x:t xml:space="preserve">Issuer evaluation visibility/rules documented.</x:t>
        </x:is>
      </x:c>
      <x:c r="G214" s="133" t="inlineStr">
        <x:is>
          <x:t xml:space="preserve">P0</x:t>
        </x:is>
      </x:c>
      <x:c r="H214" s="133" t="inlineStr">
        <x:is>
          <x:t xml:space="preserve">Not Started</x:t>
        </x:is>
      </x:c>
      <x:c r="I214" s="133" t="str"/>
      <x:c r="J214" s="133" t="str"/>
      <x:c r="K214" s="133" t="str"/>
      <x:c r="L214" s="133" t="inlineStr">
        <x:is>
          <x:t xml:space="preserve">G11</x:t>
        </x:is>
      </x:c>
      <x:c r="M214" s="133" t="str"/>
      <x:c r="N214" s="249" t="n"/>
      <x:c r="O214" s="249" t="n"/>
      <x:c r="P214" s="32" t="str"/>
    </x:row>
    <x:row r="215">
      <x:c r="A215" s="42" t="str">
        <x:f>IF(H215="Completed","✓",IF(H215="Blocked","!",""))</x:f>
      </x:c>
      <x:c r="B215" s="133" t="inlineStr">
        <x:is>
          <x:t xml:space="preserve">20-09</x:t>
        </x:is>
      </x:c>
      <x:c r="C215" s="133" t="inlineStr">
        <x:is>
          <x:t xml:space="preserve">20 Launch Documentation</x:t>
        </x:is>
      </x:c>
      <x:c r="D215" s="133" t="inlineStr">
        <x:is>
          <x:t xml:space="preserve">Documentation</x:t>
        </x:is>
      </x:c>
      <x:c r="E215" s="133" t="inlineStr">
        <x:is>
          <x:t xml:space="preserve">Award</x:t>
        </x:is>
      </x:c>
      <x:c r="F215" s="133" t="inlineStr">
        <x:is>
          <x:t xml:space="preserve">Award outcome and next step documented.</x:t>
        </x:is>
      </x:c>
      <x:c r="G215" s="133" t="inlineStr">
        <x:is>
          <x:t xml:space="preserve">P0</x:t>
        </x:is>
      </x:c>
      <x:c r="H215" s="133" t="inlineStr">
        <x:is>
          <x:t xml:space="preserve">Not Started</x:t>
        </x:is>
      </x:c>
      <x:c r="I215" s="133" t="str"/>
      <x:c r="J215" s="133" t="str"/>
      <x:c r="K215" s="133" t="str"/>
      <x:c r="L215" s="133" t="inlineStr">
        <x:is>
          <x:t xml:space="preserve">G11</x:t>
        </x:is>
      </x:c>
      <x:c r="M215" s="133" t="str"/>
      <x:c r="N215" s="249" t="n"/>
      <x:c r="O215" s="249" t="n"/>
      <x:c r="P215" s="32" t="str"/>
    </x:row>
    <x:row r="216">
      <x:c r="A216" s="42" t="str">
        <x:f>IF(H216="Completed","✓",IF(H216="Blocked","!",""))</x:f>
      </x:c>
      <x:c r="B216" s="133" t="inlineStr">
        <x:is>
          <x:t xml:space="preserve">20-10</x:t>
        </x:is>
      </x:c>
      <x:c r="C216" s="133" t="inlineStr">
        <x:is>
          <x:t xml:space="preserve">20 Launch Documentation</x:t>
        </x:is>
      </x:c>
      <x:c r="D216" s="133" t="inlineStr">
        <x:is>
          <x:t xml:space="preserve">Documentation</x:t>
        </x:is>
      </x:c>
      <x:c r="E216" s="133" t="inlineStr">
        <x:is>
          <x:t xml:space="preserve">Roles &amp; Permissions</x:t>
        </x:is>
      </x:c>
      <x:c r="F216" s="133" t="inlineStr">
        <x:is>
          <x:t xml:space="preserve">Company membership and RFQ relationship model explained.</x:t>
        </x:is>
      </x:c>
      <x:c r="G216" s="133" t="inlineStr">
        <x:is>
          <x:t xml:space="preserve">P0</x:t>
        </x:is>
      </x:c>
      <x:c r="H216" s="133" t="inlineStr">
        <x:is>
          <x:t xml:space="preserve">Not Started</x:t>
        </x:is>
      </x:c>
      <x:c r="I216" s="133" t="str"/>
      <x:c r="J216" s="133" t="str"/>
      <x:c r="K216" s="133" t="str"/>
      <x:c r="L216" s="133" t="inlineStr">
        <x:is>
          <x:t xml:space="preserve">G11</x:t>
        </x:is>
      </x:c>
      <x:c r="M216" s="133" t="str"/>
      <x:c r="N216" s="249" t="n"/>
      <x:c r="O216" s="249" t="n"/>
      <x:c r="P216" s="32" t="str"/>
    </x:row>
    <x:row r="217">
      <x:c r="A217" s="42" t="str">
        <x:f>IF(H217="Completed","✓",IF(H217="Blocked","!",""))</x:f>
      </x:c>
      <x:c r="B217" s="133" t="inlineStr">
        <x:is>
          <x:t xml:space="preserve">20-11</x:t>
        </x:is>
      </x:c>
      <x:c r="C217" s="133" t="inlineStr">
        <x:is>
          <x:t xml:space="preserve">20 Launch Documentation</x:t>
        </x:is>
      </x:c>
      <x:c r="D217" s="133" t="inlineStr">
        <x:is>
          <x:t xml:space="preserve">Documentation</x:t>
        </x:is>
      </x:c>
      <x:c r="E217" s="133" t="inlineStr">
        <x:is>
          <x:t xml:space="preserve">FAQ &amp; Support</x:t>
        </x:is>
      </x:c>
      <x:c r="F217" s="133" t="inlineStr">
        <x:is>
          <x:t xml:space="preserve">Common issues and support path documented.</x:t>
        </x:is>
      </x:c>
      <x:c r="G217" s="133" t="inlineStr">
        <x:is>
          <x:t xml:space="preserve">P0</x:t>
        </x:is>
      </x:c>
      <x:c r="H217" s="133" t="inlineStr">
        <x:is>
          <x:t xml:space="preserve">Not Started</x:t>
        </x:is>
      </x:c>
      <x:c r="I217" s="133" t="str"/>
      <x:c r="J217" s="133" t="str"/>
      <x:c r="K217" s="133" t="str"/>
      <x:c r="L217" s="133" t="inlineStr">
        <x:is>
          <x:t xml:space="preserve">G11</x:t>
        </x:is>
      </x:c>
      <x:c r="M217" s="133" t="str"/>
      <x:c r="N217" s="249" t="n"/>
      <x:c r="O217" s="249" t="n"/>
      <x:c r="P217" s="32" t="str"/>
    </x:row>
    <x:row r="218">
      <x:c r="A218" s="42" t="str">
        <x:f>IF(H218="Completed","✓",IF(H218="Blocked","!",""))</x:f>
      </x:c>
      <x:c r="B218" s="133" t="inlineStr">
        <x:is>
          <x:t xml:space="preserve">20-12</x:t>
        </x:is>
      </x:c>
      <x:c r="C218" s="133" t="inlineStr">
        <x:is>
          <x:t xml:space="preserve">20 Launch Documentation</x:t>
        </x:is>
      </x:c>
      <x:c r="D218" s="133" t="inlineStr">
        <x:is>
          <x:t xml:space="preserve">Documentation</x:t>
        </x:is>
      </x:c>
      <x:c r="E218" s="133" t="inlineStr">
        <x:is>
          <x:t xml:space="preserve">Privacy/Security Overview</x:t>
        </x:is>
      </x:c>
      <x:c r="F218" s="133" t="inlineStr">
        <x:is>
          <x:t xml:space="preserve">High-level confidentiality and access model documented.</x:t>
        </x:is>
      </x:c>
      <x:c r="G218" s="133" t="inlineStr">
        <x:is>
          <x:t xml:space="preserve">P0</x:t>
        </x:is>
      </x:c>
      <x:c r="H218" s="133" t="inlineStr">
        <x:is>
          <x:t xml:space="preserve">Not Started</x:t>
        </x:is>
      </x:c>
      <x:c r="I218" s="133" t="str"/>
      <x:c r="J218" s="133" t="str"/>
      <x:c r="K218" s="133" t="str"/>
      <x:c r="L218" s="133" t="inlineStr">
        <x:is>
          <x:t xml:space="preserve">G11</x:t>
        </x:is>
      </x:c>
      <x:c r="M218" s="133" t="str"/>
      <x:c r="N218" s="249" t="n"/>
      <x:c r="O218" s="249" t="n"/>
      <x:c r="P218" s="32" t="str"/>
    </x:row>
    <x:row r="219">
      <x:c r="A219" s="42" t="str">
        <x:f>IF(H219="Completed","✓",IF(H219="Blocked","!",""))</x:f>
      </x:c>
      <x:c r="B219" s="133" t="inlineStr">
        <x:is>
          <x:t xml:space="preserve">21-01</x:t>
        </x:is>
      </x:c>
      <x:c r="C219" s="133" t="inlineStr">
        <x:is>
          <x:t xml:space="preserve">21 Final Launch Gate</x:t>
        </x:is>
      </x:c>
      <x:c r="D219" s="133" t="inlineStr">
        <x:is>
          <x:t xml:space="preserve">Launch</x:t>
        </x:is>
      </x:c>
      <x:c r="E219" s="133" t="inlineStr">
        <x:is>
          <x:t xml:space="preserve">Review G0–G13</x:t>
        </x:is>
      </x:c>
      <x:c r="F219" s="133" t="inlineStr">
        <x:is>
          <x:t xml:space="preserve">Every gate has evidence, owner and sign-off status.</x:t>
        </x:is>
      </x:c>
      <x:c r="G219" s="133" t="inlineStr">
        <x:is>
          <x:t xml:space="preserve">P0</x:t>
        </x:is>
      </x:c>
      <x:c r="H219" s="133" t="inlineStr">
        <x:is>
          <x:t xml:space="preserve">Not Started</x:t>
        </x:is>
      </x:c>
      <x:c r="I219" s="133" t="str"/>
      <x:c r="J219" s="133" t="str"/>
      <x:c r="K219" s="133" t="str"/>
      <x:c r="L219" s="133" t="inlineStr">
        <x:is>
          <x:t xml:space="preserve">G13</x:t>
        </x:is>
      </x:c>
      <x:c r="M219" s="133" t="str"/>
      <x:c r="N219" s="249" t="n"/>
      <x:c r="O219" s="249" t="n"/>
      <x:c r="P219" s="32" t="str"/>
    </x:row>
    <x:row r="220">
      <x:c r="A220" s="42" t="str">
        <x:f>IF(H220="Completed","✓",IF(H220="Blocked","!",""))</x:f>
      </x:c>
      <x:c r="B220" s="133" t="inlineStr">
        <x:is>
          <x:t xml:space="preserve">21-02</x:t>
        </x:is>
      </x:c>
      <x:c r="C220" s="133" t="inlineStr">
        <x:is>
          <x:t xml:space="preserve">21 Final Launch Gate</x:t>
        </x:is>
      </x:c>
      <x:c r="D220" s="133" t="inlineStr">
        <x:is>
          <x:t xml:space="preserve">Launch</x:t>
        </x:is>
      </x:c>
      <x:c r="E220" s="133" t="inlineStr">
        <x:is>
          <x:t xml:space="preserve">Production UAT</x:t>
        </x:is>
      </x:c>
      <x:c r="F220" s="133" t="inlineStr">
        <x:is>
          <x:t xml:space="preserve">Critical journeys validated in production-like environment.</x:t>
        </x:is>
      </x:c>
      <x:c r="G220" s="133" t="inlineStr">
        <x:is>
          <x:t xml:space="preserve">P0</x:t>
        </x:is>
      </x:c>
      <x:c r="H220" s="133" t="inlineStr">
        <x:is>
          <x:t xml:space="preserve">Not Started</x:t>
        </x:is>
      </x:c>
      <x:c r="I220" s="133" t="str"/>
      <x:c r="J220" s="133" t="str"/>
      <x:c r="K220" s="133" t="str"/>
      <x:c r="L220" s="133" t="inlineStr">
        <x:is>
          <x:t xml:space="preserve">G13</x:t>
        </x:is>
      </x:c>
      <x:c r="M220" s="133" t="str"/>
      <x:c r="N220" s="249" t="n"/>
      <x:c r="O220" s="249" t="n"/>
      <x:c r="P220" s="32" t="str"/>
    </x:row>
    <x:row r="221">
      <x:c r="A221" s="42" t="str">
        <x:f>IF(H221="Completed","✓",IF(H221="Blocked","!",""))</x:f>
      </x:c>
      <x:c r="B221" s="133" t="inlineStr">
        <x:is>
          <x:t xml:space="preserve">21-03</x:t>
        </x:is>
      </x:c>
      <x:c r="C221" s="133" t="inlineStr">
        <x:is>
          <x:t xml:space="preserve">21 Final Launch Gate</x:t>
        </x:is>
      </x:c>
      <x:c r="D221" s="133" t="inlineStr">
        <x:is>
          <x:t xml:space="preserve">Launch</x:t>
        </x:is>
      </x:c>
      <x:c r="E221" s="133" t="inlineStr">
        <x:is>
          <x:t xml:space="preserve">Release candidate build</x:t>
        </x:is>
      </x:c>
      <x:c r="F221" s="133" t="inlineStr">
        <x:is>
          <x:t xml:space="preserve">Tagged/reviewable release candidate passes build/tests.</x:t>
        </x:is>
      </x:c>
      <x:c r="G221" s="133" t="inlineStr">
        <x:is>
          <x:t xml:space="preserve">P0</x:t>
        </x:is>
      </x:c>
      <x:c r="H221" s="133" t="inlineStr">
        <x:is>
          <x:t xml:space="preserve">Not Started</x:t>
        </x:is>
      </x:c>
      <x:c r="I221" s="133" t="str"/>
      <x:c r="J221" s="133" t="str"/>
      <x:c r="K221" s="133" t="str"/>
      <x:c r="L221" s="133" t="inlineStr">
        <x:is>
          <x:t xml:space="preserve">G13</x:t>
        </x:is>
      </x:c>
      <x:c r="M221" s="133" t="str"/>
      <x:c r="N221" s="249" t="n"/>
      <x:c r="O221" s="249" t="n"/>
      <x:c r="P221" s="32" t="str"/>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f>IF(H225="Completed","✓",IF(H225="Blocked","!",""))</x:f>
      </x:c>
      <x:c r="B225" s="133" t="inlineStr">
        <x:is>
          <x:t xml:space="preserve">13A-01</x:t>
        </x:is>
      </x:c>
      <x:c r="C225" s="133" t="inlineStr">
        <x:is>
          <x:t xml:space="preserve">13A Enterprise Experience Audit</x:t>
        </x:is>
      </x:c>
      <x:c r="D225" s="133" t="inlineStr">
        <x:is>
          <x:t xml:space="preserve">Audit</x:t>
        </x:is>
      </x:c>
      <x:c r="E225" s="133" t="inlineStr">
        <x:is>
          <x:t xml:space="preserve">Run Cursor UI Task 01 — Enterprise Dark UI Audit</x:t>
        </x:is>
      </x:c>
      <x:c r="F225" s="133" t="inlineStr">
        <x:is>
          <x:t xml:space="preserve">No-code audit maps shell, theme, logo use, hard-coded styling, components, motion, accessibility and page scores.</x:t>
        </x:is>
      </x:c>
      <x:c r="G225" s="133" t="inlineStr">
        <x:is>
          <x:t xml:space="preserve">P0</x:t>
        </x:is>
      </x:c>
      <x:c r="H225" s="133" t="inlineStr">
        <x:is>
          <x:t xml:space="preserve">Not Started</x:t>
        </x:is>
      </x:c>
      <x:c r="I225" s="133" t="str"/>
      <x:c r="J225" s="133" t="inlineStr">
        <x:is>
          <x:t xml:space="preserve">Cursor UI 01</x:t>
        </x:is>
      </x:c>
      <x:c r="K225" s="133" t="inlineStr">
        <x:is>
          <x:t xml:space="preserve">G1</x:t>
        </x:is>
      </x:c>
      <x:c r="L225" s="133" t="str"/>
      <x:c r="M225" s="133" t="str"/>
      <x:c r="N225" s="249" t="n"/>
      <x:c r="O225" s="249" t="n"/>
      <x:c r="P225" s="135" t="inlineStr">
        <x:is>
          <x:t xml:space="preserve">Audit first; no page-by-page redesign yet.</x:t>
        </x:is>
      </x:c>
    </x:row>
    <x:row r="226">
      <x:c r="A226" s="133" t="str">
        <x:f>IF(H226="Completed","✓",IF(H226="Blocked","!",""))</x:f>
      </x:c>
      <x:c r="B226" s="133" t="inlineStr">
        <x:is>
          <x:t xml:space="preserve">13A-02</x:t>
        </x:is>
      </x:c>
      <x:c r="C226" s="133" t="inlineStr">
        <x:is>
          <x:t xml:space="preserve">13A Enterprise Experience Audit</x:t>
        </x:is>
      </x:c>
      <x:c r="D226" s="133" t="inlineStr">
        <x:is>
          <x:t xml:space="preserve">Brand</x:t>
        </x:is>
      </x:c>
      <x:c r="E226" s="133" t="inlineStr">
        <x:is>
          <x:t xml:space="preserve">Confirm canonical NexusPavilion logo asset</x:t>
        </x:is>
      </x:c>
      <x:c r="F226" s="133" t="inlineStr">
        <x:is>
          <x:t xml:space="preserve">Existing production logo/brand asset is identified and reused; no new logo is created.</x:t>
        </x:is>
      </x:c>
      <x:c r="G226" s="133" t="inlineStr">
        <x:is>
          <x:t xml:space="preserve">P0</x:t>
        </x:is>
      </x:c>
      <x:c r="H226" s="133" t="inlineStr">
        <x:is>
          <x:t xml:space="preserve">Not Started</x:t>
        </x:is>
      </x:c>
      <x:c r="I226" s="133" t="str"/>
      <x:c r="J226" s="133" t="str"/>
      <x:c r="K226" s="133" t="inlineStr">
        <x:is>
          <x:t xml:space="preserve">Cursor UI 01</x:t>
        </x:is>
      </x:c>
      <x:c r="L226" s="133" t="str"/>
      <x:c r="M226" s="133" t="str"/>
      <x:c r="N226" s="249" t="n"/>
      <x:c r="O226" s="249" t="n"/>
      <x:c r="P226" s="135" t="str"/>
    </x:row>
    <x:row r="227">
      <x:c r="A227" s="133" t="str">
        <x:f>IF(H227="Completed","✓",IF(H227="Blocked","!",""))</x:f>
      </x:c>
      <x:c r="B227" s="133" t="inlineStr">
        <x:is>
          <x:t xml:space="preserve">13A-03</x:t>
        </x:is>
      </x:c>
      <x:c r="C227" s="133" t="inlineStr">
        <x:is>
          <x:t xml:space="preserve">13A Enterprise Experience Audit</x:t>
        </x:is>
      </x:c>
      <x:c r="D227" s="133" t="inlineStr">
        <x:is>
          <x:t xml:space="preserve">Inventory</x:t>
        </x:is>
      </x:c>
      <x:c r="E227" s="133" t="inlineStr">
        <x:is>
          <x:t xml:space="preserve">Inventory global shell/layout components</x:t>
        </x:is>
      </x:c>
      <x:c r="F227" s="133" t="inlineStr">
        <x:is>
          <x:t xml:space="preserve">Authenticated shell, public shell, sidebar, top bar, breadcrumbs, footer and content containers are mapped.</x:t>
        </x:is>
      </x:c>
      <x:c r="G227" s="133" t="inlineStr">
        <x:is>
          <x:t xml:space="preserve">P0</x:t>
        </x:is>
      </x:c>
      <x:c r="H227" s="133" t="inlineStr">
        <x:is>
          <x:t xml:space="preserve">Not Started</x:t>
        </x:is>
      </x:c>
      <x:c r="I227" s="133" t="str"/>
      <x:c r="J227" s="133" t="str"/>
      <x:c r="K227" s="133" t="inlineStr">
        <x:is>
          <x:t xml:space="preserve">Cursor UI 01</x:t>
        </x:is>
      </x:c>
      <x:c r="L227" s="133" t="str"/>
      <x:c r="M227" s="133" t="str"/>
      <x:c r="N227" s="249" t="n"/>
      <x:c r="O227" s="249" t="n"/>
      <x:c r="P227" s="135" t="str"/>
    </x:row>
    <x:row r="228">
      <x:c r="A228" s="133" t="str">
        <x:f>IF(H228="Completed","✓",IF(H228="Blocked","!",""))</x:f>
      </x:c>
      <x:c r="B228" s="133" t="inlineStr">
        <x:is>
          <x:t xml:space="preserve">13A-04</x:t>
        </x:is>
      </x:c>
      <x:c r="C228" s="133" t="inlineStr">
        <x:is>
          <x:t xml:space="preserve">13A Enterprise Experience Audit</x:t>
        </x:is>
      </x:c>
      <x:c r="D228" s="133" t="inlineStr">
        <x:is>
          <x:t xml:space="preserve">Tokens</x:t>
        </x:is>
      </x:c>
      <x:c r="E228" s="133" t="inlineStr">
        <x:is>
          <x:t xml:space="preserve">Inventory theme/design tokens and hard-coded colors</x:t>
        </x:is>
      </x:c>
      <x:c r="F228" s="133" t="inlineStr">
        <x:is>
          <x:t xml:space="preserve">Current color, typography, spacing, radius, border, shadow and status styles are classified for reuse/consolidation.</x:t>
        </x:is>
      </x:c>
      <x:c r="G228" s="133" t="inlineStr">
        <x:is>
          <x:t xml:space="preserve">P0</x:t>
        </x:is>
      </x:c>
      <x:c r="H228" s="133" t="inlineStr">
        <x:is>
          <x:t xml:space="preserve">Not Started</x:t>
        </x:is>
      </x:c>
      <x:c r="I228" s="133" t="str"/>
      <x:c r="J228" s="133" t="str"/>
      <x:c r="K228" s="133" t="inlineStr">
        <x:is>
          <x:t xml:space="preserve">Cursor UI 01</x:t>
        </x:is>
      </x:c>
      <x:c r="L228" s="133" t="str"/>
      <x:c r="M228" s="133" t="str"/>
      <x:c r="N228" s="249" t="n"/>
      <x:c r="O228" s="249" t="n"/>
      <x:c r="P228" s="135" t="str"/>
    </x:row>
    <x:row r="229">
      <x:c r="A229" s="133" t="str">
        <x:f>IF(H229="Completed","✓",IF(H229="Blocked","!",""))</x:f>
      </x:c>
      <x:c r="B229" s="133" t="inlineStr">
        <x:is>
          <x:t xml:space="preserve">13A-05</x:t>
        </x:is>
      </x:c>
      <x:c r="C229" s="133" t="inlineStr">
        <x:is>
          <x:t xml:space="preserve">13A Enterprise Experience Audit</x:t>
        </x:is>
      </x:c>
      <x:c r="D229" s="133" t="inlineStr">
        <x:is>
          <x:t xml:space="preserve">Components</x:t>
        </x:is>
      </x:c>
      <x:c r="E229" s="133" t="inlineStr">
        <x:is>
          <x:t xml:space="preserve">Inventory shared UI primitives</x:t>
        </x:is>
      </x:c>
      <x:c r="F229" s="133" t="inlineStr">
        <x:is>
          <x:t xml:space="preserve">Buttons, inputs, selects, date pickers, cards, tables, dialogs, drawers, tooltips, badges and feedback states are mapped.</x:t>
        </x:is>
      </x:c>
      <x:c r="G229" s="133" t="inlineStr">
        <x:is>
          <x:t xml:space="preserve">P0</x:t>
        </x:is>
      </x:c>
      <x:c r="H229" s="133" t="inlineStr">
        <x:is>
          <x:t xml:space="preserve">Not Started</x:t>
        </x:is>
      </x:c>
      <x:c r="I229" s="133" t="str"/>
      <x:c r="J229" s="133" t="str"/>
      <x:c r="K229" s="133" t="inlineStr">
        <x:is>
          <x:t xml:space="preserve">Cursor UI 01</x:t>
        </x:is>
      </x:c>
      <x:c r="L229" s="133" t="str"/>
      <x:c r="M229" s="133" t="str"/>
      <x:c r="N229" s="249" t="n"/>
      <x:c r="O229" s="249" t="n"/>
      <x:c r="P229" s="135" t="str"/>
    </x:row>
    <x:row r="230">
      <x:c r="A230" s="133" t="str">
        <x:f>IF(H230="Completed","✓",IF(H230="Blocked","!",""))</x:f>
      </x:c>
      <x:c r="B230" s="133" t="inlineStr">
        <x:is>
          <x:t xml:space="preserve">13A-06</x:t>
        </x:is>
      </x:c>
      <x:c r="C230" s="133" t="inlineStr">
        <x:is>
          <x:t xml:space="preserve">13A Enterprise Experience Audit</x:t>
        </x:is>
      </x:c>
      <x:c r="D230" s="133" t="inlineStr">
        <x:is>
          <x:t xml:space="preserve">Motion</x:t>
        </x:is>
      </x:c>
      <x:c r="E230" s="133" t="inlineStr">
        <x:is>
          <x:t xml:space="preserve">Inventory existing animations and FAQ-style success choreography</x:t>
        </x:is>
      </x:c>
      <x:c r="F230" s="133" t="inlineStr">
        <x:is>
          <x:t xml:space="preserve">Existing reusable motion patterns are identified before creating new motion components.</x:t>
        </x:is>
      </x:c>
      <x:c r="G230" s="133" t="inlineStr">
        <x:is>
          <x:t xml:space="preserve">P0</x:t>
        </x:is>
      </x:c>
      <x:c r="H230" s="133" t="inlineStr">
        <x:is>
          <x:t xml:space="preserve">Not Started</x:t>
        </x:is>
      </x:c>
      <x:c r="I230" s="133" t="str"/>
      <x:c r="J230" s="133" t="str"/>
      <x:c r="K230" s="133" t="inlineStr">
        <x:is>
          <x:t xml:space="preserve">Cursor UI 01</x:t>
        </x:is>
      </x:c>
      <x:c r="L230" s="133" t="str"/>
      <x:c r="M230" s="133" t="str"/>
      <x:c r="N230" s="249" t="n"/>
      <x:c r="O230" s="249" t="n"/>
      <x:c r="P230" s="135" t="str"/>
    </x:row>
    <x:row r="231">
      <x:c r="A231" s="133" t="str">
        <x:f>IF(H231="Completed","✓",IF(H231="Blocked","!",""))</x:f>
      </x:c>
      <x:c r="B231" s="133" t="inlineStr">
        <x:is>
          <x:t xml:space="preserve">13A-07</x:t>
        </x:is>
      </x:c>
      <x:c r="C231" s="133" t="inlineStr">
        <x:is>
          <x:t xml:space="preserve">13A Enterprise Experience Audit</x:t>
        </x:is>
      </x:c>
      <x:c r="D231" s="133" t="inlineStr">
        <x:is>
          <x:t xml:space="preserve">Guidance</x:t>
        </x:is>
      </x:c>
      <x:c r="E231" s="133" t="inlineStr">
        <x:is>
          <x:t xml:space="preserve">Inventory help/tutorial/onboarding patterns</x:t>
        </x:is>
      </x:c>
      <x:c r="F231" s="133" t="inlineStr">
        <x:is>
          <x:t xml:space="preserve">Existing hints, walkthroughs, tooltips, onboarding and contextual help are mapped to avoid duplicate systems.</x:t>
        </x:is>
      </x:c>
      <x:c r="G231" s="133" t="inlineStr">
        <x:is>
          <x:t xml:space="preserve">P0</x:t>
        </x:is>
      </x:c>
      <x:c r="H231" s="133" t="inlineStr">
        <x:is>
          <x:t xml:space="preserve">Not Started</x:t>
        </x:is>
      </x:c>
      <x:c r="I231" s="133" t="str"/>
      <x:c r="J231" s="133" t="str"/>
      <x:c r="K231" s="133" t="inlineStr">
        <x:is>
          <x:t xml:space="preserve">Cursor UI 01</x:t>
        </x:is>
      </x:c>
      <x:c r="L231" s="133" t="str"/>
      <x:c r="M231" s="133" t="str"/>
      <x:c r="N231" s="249" t="n"/>
      <x:c r="O231" s="249" t="n"/>
      <x:c r="P231" s="135" t="str"/>
    </x:row>
    <x:row r="232">
      <x:c r="A232" s="133" t="str">
        <x:f>IF(H232="Completed","✓",IF(H232="Blocked","!",""))</x:f>
      </x:c>
      <x:c r="B232" s="133" t="inlineStr">
        <x:is>
          <x:t xml:space="preserve">13A-08</x:t>
        </x:is>
      </x:c>
      <x:c r="C232" s="133" t="inlineStr">
        <x:is>
          <x:t xml:space="preserve">13A Enterprise Experience Audit</x:t>
        </x:is>
      </x:c>
      <x:c r="D232" s="133" t="inlineStr">
        <x:is>
          <x:t xml:space="preserve">Accessibility</x:t>
        </x:is>
      </x:c>
      <x:c r="E232" s="133" t="inlineStr">
        <x:is>
          <x:t xml:space="preserve">Audit reduced-motion, focus, contrast and keyboard behavior</x:t>
        </x:is>
      </x:c>
      <x:c r="F232" s="133" t="inlineStr">
        <x:is>
          <x:t xml:space="preserve">Launch-critical design-system gaps are documented before motion work begins.</x:t>
        </x:is>
      </x:c>
      <x:c r="G232" s="133" t="inlineStr">
        <x:is>
          <x:t xml:space="preserve">P0</x:t>
        </x:is>
      </x:c>
      <x:c r="H232" s="133" t="inlineStr">
        <x:is>
          <x:t xml:space="preserve">Not Started</x:t>
        </x:is>
      </x:c>
      <x:c r="I232" s="133" t="str"/>
      <x:c r="J232" s="133" t="str"/>
      <x:c r="K232" s="133" t="inlineStr">
        <x:is>
          <x:t xml:space="preserve">Cursor UI 01</x:t>
        </x:is>
      </x:c>
      <x:c r="L232" s="133" t="str"/>
      <x:c r="M232" s="133" t="str"/>
      <x:c r="N232" s="249" t="n"/>
      <x:c r="O232" s="249" t="n"/>
      <x:c r="P232" s="135" t="str"/>
    </x:row>
    <x:row r="233">
      <x:c r="A233" s="133" t="str">
        <x:f>IF(H233="Completed","✓",IF(H233="Blocked","!",""))</x:f>
      </x:c>
      <x:c r="B233" s="133" t="inlineStr">
        <x:is>
          <x:t xml:space="preserve">13A-09</x:t>
        </x:is>
      </x:c>
      <x:c r="C233" s="133" t="inlineStr">
        <x:is>
          <x:t xml:space="preserve">13A Enterprise Experience Audit</x:t>
        </x:is>
      </x:c>
      <x:c r="D233" s="133" t="inlineStr">
        <x:is>
          <x:t xml:space="preserve">Scoring</x:t>
        </x:is>
      </x:c>
      <x:c r="E233" s="133" t="inlineStr">
        <x:is>
          <x:t xml:space="preserve">Baseline UI score every core page</x:t>
        </x:is>
      </x:c>
      <x:c r="F233" s="133" t="inlineStr">
        <x:is>
          <x:t xml:space="preserve">Every core page has baseline scores using the 10-dimension 9.5/10 scorecard.</x:t>
        </x:is>
      </x:c>
      <x:c r="G233" s="133" t="inlineStr">
        <x:is>
          <x:t xml:space="preserve">P0</x:t>
        </x:is>
      </x:c>
      <x:c r="H233" s="133" t="inlineStr">
        <x:is>
          <x:t xml:space="preserve">Not Started</x:t>
        </x:is>
      </x:c>
      <x:c r="I233" s="133" t="str"/>
      <x:c r="J233" s="133" t="str"/>
      <x:c r="K233" s="133" t="inlineStr">
        <x:is>
          <x:t xml:space="preserve">Cursor UI 01</x:t>
        </x:is>
      </x:c>
      <x:c r="L233" s="133" t="str"/>
      <x:c r="M233" s="133" t="str"/>
      <x:c r="N233" s="249" t="n"/>
      <x:c r="O233" s="249" t="n"/>
      <x:c r="P233" s="135" t="str"/>
    </x:row>
    <x:row r="234">
      <x:c r="A234" s="133" t="str">
        <x:f>IF(H234="Completed","✓",IF(H234="Blocked","!",""))</x:f>
      </x:c>
      <x:c r="B234" s="133" t="inlineStr">
        <x:is>
          <x:t xml:space="preserve">13A-10</x:t>
        </x:is>
      </x:c>
      <x:c r="C234" s="133" t="inlineStr">
        <x:is>
          <x:t xml:space="preserve">13A Enterprise Experience Audit</x:t>
        </x:is>
      </x:c>
      <x:c r="D234" s="133" t="inlineStr">
        <x:is>
          <x:t xml:space="preserve">Plan</x:t>
        </x:is>
      </x:c>
      <x:c r="E234" s="133" t="inlineStr">
        <x:is>
          <x:t xml:space="preserve">Approve shared-first UI implementation sequence</x:t>
        </x:is>
      </x:c>
      <x:c r="F234" s="133" t="inlineStr">
        <x:is>
          <x:t xml:space="preserve">Foundation → shared components → shell → motion → guidance → page upgrades is approved before implementation.</x:t>
        </x:is>
      </x:c>
      <x:c r="G234" s="133" t="inlineStr">
        <x:is>
          <x:t xml:space="preserve">P0</x:t>
        </x:is>
      </x:c>
      <x:c r="H234" s="133" t="inlineStr">
        <x:is>
          <x:t xml:space="preserve">Not Started</x:t>
        </x:is>
      </x:c>
      <x:c r="I234" s="133" t="str"/>
      <x:c r="J234" s="133" t="str"/>
      <x:c r="K234" s="133" t="inlineStr">
        <x:is>
          <x:t xml:space="preserve">Cursor UI 01</x:t>
        </x:is>
      </x:c>
      <x:c r="L234" s="133" t="str"/>
      <x:c r="M234" s="133" t="str"/>
      <x:c r="N234" s="249" t="n"/>
      <x:c r="O234" s="249" t="n"/>
      <x:c r="P234" s="135" t="str"/>
    </x:row>
    <x:row r="235">
      <x:c r="A235" s="133" t="str">
        <x:f>IF(H235="Completed","✓",IF(H235="Blocked","!",""))</x:f>
      </x:c>
      <x:c r="B235" s="133" t="inlineStr">
        <x:is>
          <x:t xml:space="preserve">13B-01</x:t>
        </x:is>
      </x:c>
      <x:c r="C235" s="133" t="inlineStr">
        <x:is>
          <x:t xml:space="preserve">13B Dark Design System Foundation</x:t>
        </x:is>
      </x:c>
      <x:c r="D235" s="133" t="inlineStr">
        <x:is>
          <x:t xml:space="preserve">Theme</x:t>
        </x:is>
      </x:c>
      <x:c r="E235" s="133" t="inlineStr">
        <x:is>
          <x:t xml:space="preserve">Define dark-first semantic color tokens</x:t>
        </x:is>
      </x:c>
      <x:c r="F235" s="133" t="inlineStr">
        <x:is>
          <x:t xml:space="preserve">Background, surfaces, text emphasis, borders, overlays, status and intelligence tokens are centralized and reusable.</x:t>
        </x:is>
      </x:c>
      <x:c r="G235" s="133" t="inlineStr">
        <x:is>
          <x:t xml:space="preserve">P0</x:t>
        </x:is>
      </x:c>
      <x:c r="H235" s="133" t="inlineStr">
        <x:is>
          <x:t xml:space="preserve">Not Started</x:t>
        </x:is>
      </x:c>
      <x:c r="I235" s="133" t="str"/>
      <x:c r="J235" s="133" t="inlineStr">
        <x:is>
          <x:t xml:space="preserve">Cursor UI 02</x:t>
        </x:is>
      </x:c>
      <x:c r="K235" s="133" t="inlineStr">
        <x:is>
          <x:t xml:space="preserve">13A-10</x:t>
        </x:is>
      </x:c>
      <x:c r="L235" s="133" t="str"/>
      <x:c r="M235" s="133" t="str"/>
      <x:c r="N235" s="249" t="n"/>
      <x:c r="O235" s="249" t="n"/>
      <x:c r="P235" s="135" t="str"/>
    </x:row>
    <x:row r="236">
      <x:c r="A236" s="133" t="str">
        <x:f>IF(H236="Completed","✓",IF(H236="Blocked","!",""))</x:f>
      </x:c>
      <x:c r="B236" s="133" t="inlineStr">
        <x:is>
          <x:t xml:space="preserve">13B-02</x:t>
        </x:is>
      </x:c>
      <x:c r="C236" s="133" t="inlineStr">
        <x:is>
          <x:t xml:space="preserve">13B Dark Design System Foundation</x:t>
        </x:is>
      </x:c>
      <x:c r="D236" s="133" t="inlineStr">
        <x:is>
          <x:t xml:space="preserve">Theme</x:t>
        </x:is>
      </x:c>
      <x:c r="E236" s="133" t="inlineStr">
        <x:is>
          <x:t xml:space="preserve">Define light-mode compatibility strategy</x:t>
        </x:is>
      </x:c>
      <x:c r="F236" s="133" t="inlineStr">
        <x:is>
          <x:t xml:space="preserve">Dark-first implementation does not hard-code assumptions that block future light/system appearance.</x:t>
        </x:is>
      </x:c>
      <x:c r="G236" s="133" t="inlineStr">
        <x:is>
          <x:t xml:space="preserve">P1</x:t>
        </x:is>
      </x:c>
      <x:c r="H236" s="133" t="inlineStr">
        <x:is>
          <x:t xml:space="preserve">Not Started</x:t>
        </x:is>
      </x:c>
      <x:c r="I236" s="133" t="str"/>
      <x:c r="J236" s="133" t="str"/>
      <x:c r="K236" s="133" t="inlineStr">
        <x:is>
          <x:t xml:space="preserve">13B-01</x:t>
        </x:is>
      </x:c>
      <x:c r="L236" s="133" t="str"/>
      <x:c r="M236" s="133" t="str"/>
      <x:c r="N236" s="249" t="n"/>
      <x:c r="O236" s="249" t="n"/>
      <x:c r="P236" s="135" t="str"/>
    </x:row>
    <x:row r="237">
      <x:c r="A237" s="133" t="str">
        <x:f>IF(H237="Completed","✓",IF(H237="Blocked","!",""))</x:f>
      </x:c>
      <x:c r="B237" s="133" t="inlineStr">
        <x:is>
          <x:t xml:space="preserve">13B-03</x:t>
        </x:is>
      </x:c>
      <x:c r="C237" s="133" t="inlineStr">
        <x:is>
          <x:t xml:space="preserve">13B Dark Design System Foundation</x:t>
        </x:is>
      </x:c>
      <x:c r="D237" s="133" t="inlineStr">
        <x:is>
          <x:t xml:space="preserve">Typography</x:t>
        </x:is>
      </x:c>
      <x:c r="E237" s="133" t="inlineStr">
        <x:is>
          <x:t xml:space="preserve">Standardize typography scale</x:t>
        </x:is>
      </x:c>
      <x:c r="F237" s="133" t="inlineStr">
        <x:is>
          <x:t xml:space="preserve">Page titles, section titles, body, labels, tables, metadata and numeric emphasis use one hierarchy.</x:t>
        </x:is>
      </x:c>
      <x:c r="G237" s="133" t="inlineStr">
        <x:is>
          <x:t xml:space="preserve">P0</x:t>
        </x:is>
      </x:c>
      <x:c r="H237" s="133" t="inlineStr">
        <x:is>
          <x:t xml:space="preserve">Not Started</x:t>
        </x:is>
      </x:c>
      <x:c r="I237" s="133" t="str"/>
      <x:c r="J237" s="133" t="str"/>
      <x:c r="K237" s="133" t="inlineStr">
        <x:is>
          <x:t xml:space="preserve">13A-04</x:t>
        </x:is>
      </x:c>
      <x:c r="L237" s="133" t="str"/>
      <x:c r="M237" s="133" t="str"/>
      <x:c r="N237" s="249" t="n"/>
      <x:c r="O237" s="249" t="n"/>
      <x:c r="P237" s="135" t="str"/>
    </x:row>
    <x:row r="238">
      <x:c r="A238" s="133" t="str">
        <x:f>IF(H238="Completed","✓",IF(H238="Blocked","!",""))</x:f>
      </x:c>
      <x:c r="B238" s="133" t="inlineStr">
        <x:is>
          <x:t xml:space="preserve">13B-04</x:t>
        </x:is>
      </x:c>
      <x:c r="C238" s="133" t="inlineStr">
        <x:is>
          <x:t xml:space="preserve">13B Dark Design System Foundation</x:t>
        </x:is>
      </x:c>
      <x:c r="D238" s="133" t="inlineStr">
        <x:is>
          <x:t xml:space="preserve">Spacing</x:t>
        </x:is>
      </x:c>
      <x:c r="E238" s="133" t="inlineStr">
        <x:is>
          <x:t xml:space="preserve">Standardize spacing/grid tokens</x:t>
        </x:is>
      </x:c>
      <x:c r="F238" s="133" t="inlineStr">
        <x:is>
          <x:t xml:space="preserve">Consistent page/container/card/control spacing replaces page-specific magic values.</x:t>
        </x:is>
      </x:c>
      <x:c r="G238" s="133" t="inlineStr">
        <x:is>
          <x:t xml:space="preserve">P0</x:t>
        </x:is>
      </x:c>
      <x:c r="H238" s="133" t="inlineStr">
        <x:is>
          <x:t xml:space="preserve">Not Started</x:t>
        </x:is>
      </x:c>
      <x:c r="I238" s="133" t="str"/>
      <x:c r="J238" s="133" t="str"/>
      <x:c r="K238" s="133" t="inlineStr">
        <x:is>
          <x:t xml:space="preserve">13A-04</x:t>
        </x:is>
      </x:c>
      <x:c r="L238" s="133" t="str"/>
      <x:c r="M238" s="133" t="str"/>
      <x:c r="N238" s="249" t="n"/>
      <x:c r="O238" s="249" t="n"/>
      <x:c r="P238" s="135" t="str"/>
    </x:row>
    <x:row r="239">
      <x:c r="A239" s="133" t="str">
        <x:f>IF(H239="Completed","✓",IF(H239="Blocked","!",""))</x:f>
      </x:c>
      <x:c r="B239" s="133" t="inlineStr">
        <x:is>
          <x:t xml:space="preserve">13B-05</x:t>
        </x:is>
      </x:c>
      <x:c r="C239" s="133" t="inlineStr">
        <x:is>
          <x:t xml:space="preserve">13B Dark Design System Foundation</x:t>
        </x:is>
      </x:c>
      <x:c r="D239" s="133" t="inlineStr">
        <x:is>
          <x:t xml:space="preserve">Surfaces</x:t>
        </x:is>
      </x:c>
      <x:c r="E239" s="133" t="inlineStr">
        <x:is>
          <x:t xml:space="preserve">Standardize surface, border, radius and elevation tokens</x:t>
        </x:is>
      </x:c>
      <x:c r="F239" s="133" t="inlineStr">
        <x:is>
          <x:t xml:space="preserve">Panels/cards/modals use restrained enterprise depth rather than inconsistent shadows/glass effects.</x:t>
        </x:is>
      </x:c>
      <x:c r="G239" s="133" t="inlineStr">
        <x:is>
          <x:t xml:space="preserve">P0</x:t>
        </x:is>
      </x:c>
      <x:c r="H239" s="133" t="inlineStr">
        <x:is>
          <x:t xml:space="preserve">Not Started</x:t>
        </x:is>
      </x:c>
      <x:c r="I239" s="133" t="str"/>
      <x:c r="J239" s="133" t="str"/>
      <x:c r="K239" s="133" t="inlineStr">
        <x:is>
          <x:t xml:space="preserve">13B-01</x:t>
        </x:is>
      </x:c>
      <x:c r="L239" s="133" t="str"/>
      <x:c r="M239" s="133" t="str"/>
      <x:c r="N239" s="249" t="n"/>
      <x:c r="O239" s="249" t="n"/>
      <x:c r="P239" s="135" t="str"/>
    </x:row>
    <x:row r="240">
      <x:c r="A240" s="133" t="str">
        <x:f>IF(H240="Completed","✓",IF(H240="Blocked","!",""))</x:f>
      </x:c>
      <x:c r="B240" s="133" t="inlineStr">
        <x:is>
          <x:t xml:space="preserve">13B-06</x:t>
        </x:is>
      </x:c>
      <x:c r="C240" s="133" t="inlineStr">
        <x:is>
          <x:t xml:space="preserve">13B Dark Design System Foundation</x:t>
        </x:is>
      </x:c>
      <x:c r="D240" s="133" t="inlineStr">
        <x:is>
          <x:t xml:space="preserve">Status</x:t>
        </x:is>
      </x:c>
      <x:c r="E240" s="133" t="inlineStr">
        <x:is>
          <x:t xml:space="preserve">Standardize semantic status palette</x:t>
        </x:is>
      </x:c>
      <x:c r="F240" s="133" t="inlineStr">
        <x:is>
          <x:t xml:space="preserve">Success, warning, risk, info and neutral states are visually consistent and accessible.</x:t>
        </x:is>
      </x:c>
      <x:c r="G240" s="133" t="inlineStr">
        <x:is>
          <x:t xml:space="preserve">P0</x:t>
        </x:is>
      </x:c>
      <x:c r="H240" s="133" t="inlineStr">
        <x:is>
          <x:t xml:space="preserve">Not Started</x:t>
        </x:is>
      </x:c>
      <x:c r="I240" s="133" t="str"/>
      <x:c r="J240" s="133" t="str"/>
      <x:c r="K240" s="133" t="inlineStr">
        <x:is>
          <x:t xml:space="preserve">13B-01</x:t>
        </x:is>
      </x:c>
      <x:c r="L240" s="133" t="str"/>
      <x:c r="M240" s="133" t="str"/>
      <x:c r="N240" s="249" t="n"/>
      <x:c r="O240" s="249" t="n"/>
      <x:c r="P240" s="135" t="str"/>
    </x:row>
    <x:row r="241">
      <x:c r="A241" s="133" t="str">
        <x:f>IF(H241="Completed","✓",IF(H241="Blocked","!",""))</x:f>
      </x:c>
      <x:c r="B241" s="133" t="inlineStr">
        <x:is>
          <x:t xml:space="preserve">13B-07</x:t>
        </x:is>
      </x:c>
      <x:c r="C241" s="133" t="inlineStr">
        <x:is>
          <x:t xml:space="preserve">13B Dark Design System Foundation</x:t>
        </x:is>
      </x:c>
      <x:c r="D241" s="133" t="inlineStr">
        <x:is>
          <x:t xml:space="preserve">Intelligence</x:t>
        </x:is>
      </x:c>
      <x:c r="E241" s="133" t="inlineStr">
        <x:is>
          <x:t xml:space="preserve">Define Nexus Intelligence visual language</x:t>
        </x:is>
      </x:c>
      <x:c r="F241" s="133" t="inlineStr">
        <x:is>
          <x:t xml:space="preserve">One restrained visual treatment/icon/accent identifies intelligence without emoji/neon/AI-badge clutter.</x:t>
        </x:is>
      </x:c>
      <x:c r="G241" s="133" t="inlineStr">
        <x:is>
          <x:t xml:space="preserve">P1</x:t>
        </x:is>
      </x:c>
      <x:c r="H241" s="133" t="inlineStr">
        <x:is>
          <x:t xml:space="preserve">Not Started</x:t>
        </x:is>
      </x:c>
      <x:c r="I241" s="133" t="str"/>
      <x:c r="J241" s="133" t="str"/>
      <x:c r="K241" s="133" t="inlineStr">
        <x:is>
          <x:t xml:space="preserve">13B-01</x:t>
        </x:is>
      </x:c>
      <x:c r="L241" s="133" t="str"/>
      <x:c r="M241" s="133" t="str"/>
      <x:c r="N241" s="249" t="n"/>
      <x:c r="O241" s="249" t="n"/>
      <x:c r="P241" s="135" t="str"/>
    </x:row>
    <x:row r="242">
      <x:c r="A242" s="133" t="str">
        <x:f>IF(H242="Completed","✓",IF(H242="Blocked","!",""))</x:f>
      </x:c>
      <x:c r="B242" s="133" t="inlineStr">
        <x:is>
          <x:t xml:space="preserve">13B-08</x:t>
        </x:is>
      </x:c>
      <x:c r="C242" s="133" t="inlineStr">
        <x:is>
          <x:t xml:space="preserve">13B Dark Design System Foundation</x:t>
        </x:is>
      </x:c>
      <x:c r="D242" s="133" t="inlineStr">
        <x:is>
          <x:t xml:space="preserve">Focus</x:t>
        </x:is>
      </x:c>
      <x:c r="E242" s="133" t="inlineStr">
        <x:is>
          <x:t xml:space="preserve">Standardize focus/hover/selected/disabled states</x:t>
        </x:is>
      </x:c>
      <x:c r="F242" s="133" t="inlineStr">
        <x:is>
          <x:t xml:space="preserve">Keyboard and pointer states are predictable across all shared controls.</x:t>
        </x:is>
      </x:c>
      <x:c r="G242" s="133" t="inlineStr">
        <x:is>
          <x:t xml:space="preserve">P0</x:t>
        </x:is>
      </x:c>
      <x:c r="H242" s="133" t="inlineStr">
        <x:is>
          <x:t xml:space="preserve">Not Started</x:t>
        </x:is>
      </x:c>
      <x:c r="I242" s="133" t="str"/>
      <x:c r="J242" s="133" t="str"/>
      <x:c r="K242" s="133" t="inlineStr">
        <x:is>
          <x:t xml:space="preserve">13B-01</x:t>
        </x:is>
      </x:c>
      <x:c r="L242" s="133" t="str"/>
      <x:c r="M242" s="133" t="str"/>
      <x:c r="N242" s="249" t="n"/>
      <x:c r="O242" s="249" t="n"/>
      <x:c r="P242" s="135" t="str"/>
    </x:row>
    <x:row r="243">
      <x:c r="A243" s="133" t="str">
        <x:f>IF(H243="Completed","✓",IF(H243="Blocked","!",""))</x:f>
      </x:c>
      <x:c r="B243" s="133" t="inlineStr">
        <x:is>
          <x:t xml:space="preserve">13B-09</x:t>
        </x:is>
      </x:c>
      <x:c r="C243" s="133" t="inlineStr">
        <x:is>
          <x:t xml:space="preserve">13B Dark Design System Foundation</x:t>
        </x:is>
      </x:c>
      <x:c r="D243" s="133" t="inlineStr">
        <x:is>
          <x:t xml:space="preserve">Motion</x:t>
        </x:is>
      </x:c>
      <x:c r="E243" s="133" t="inlineStr">
        <x:is>
          <x:t xml:space="preserve">Define motion tokens</x:t>
        </x:is>
      </x:c>
      <x:c r="F243" s="133" t="inlineStr">
        <x:is>
          <x:t xml:space="preserve">Fast 140ms, standard 220ms, context 300ms and milestone ~650ms tokens are centrally defined.</x:t>
        </x:is>
      </x:c>
      <x:c r="G243" s="133" t="inlineStr">
        <x:is>
          <x:t xml:space="preserve">P0</x:t>
        </x:is>
      </x:c>
      <x:c r="H243" s="133" t="inlineStr">
        <x:is>
          <x:t xml:space="preserve">Not Started</x:t>
        </x:is>
      </x:c>
      <x:c r="I243" s="133" t="str"/>
      <x:c r="J243" s="133" t="str"/>
      <x:c r="K243" s="133" t="inlineStr">
        <x:is>
          <x:t xml:space="preserve">13A-06</x:t>
        </x:is>
      </x:c>
      <x:c r="L243" s="133" t="str"/>
      <x:c r="M243" s="133" t="str"/>
      <x:c r="N243" s="249" t="n"/>
      <x:c r="O243" s="249" t="n"/>
      <x:c r="P243" s="135" t="str"/>
    </x:row>
    <x:row r="244">
      <x:c r="A244" s="133" t="str">
        <x:f>IF(H244="Completed","✓",IF(H244="Blocked","!",""))</x:f>
      </x:c>
      <x:c r="B244" s="133" t="inlineStr">
        <x:is>
          <x:t xml:space="preserve">13B-10</x:t>
        </x:is>
      </x:c>
      <x:c r="C244" s="133" t="inlineStr">
        <x:is>
          <x:t xml:space="preserve">13B Dark Design System Foundation</x:t>
        </x:is>
      </x:c>
      <x:c r="D244" s="133" t="inlineStr">
        <x:is>
          <x:t xml:space="preserve">Motion</x:t>
        </x:is>
      </x:c>
      <x:c r="E244" s="133" t="inlineStr">
        <x:is>
          <x:t xml:space="preserve">Define easing and reduced-motion behavior</x:t>
        </x:is>
      </x:c>
      <x:c r="F244" s="133" t="inlineStr">
        <x:is>
          <x:t xml:space="preserve">Motion uses restrained easing; prefers-reduced-motion disables unnecessary translation/pulse effects.</x:t>
        </x:is>
      </x:c>
      <x:c r="G244" s="133" t="inlineStr">
        <x:is>
          <x:t xml:space="preserve">P0</x:t>
        </x:is>
      </x:c>
      <x:c r="H244" s="133" t="inlineStr">
        <x:is>
          <x:t xml:space="preserve">Not Started</x:t>
        </x:is>
      </x:c>
      <x:c r="I244" s="133" t="str"/>
      <x:c r="J244" s="133" t="str"/>
      <x:c r="K244" s="133" t="inlineStr">
        <x:is>
          <x:t xml:space="preserve">13B-09</x:t>
        </x:is>
      </x:c>
      <x:c r="L244" s="133" t="str"/>
      <x:c r="M244" s="133" t="str"/>
      <x:c r="N244" s="249" t="n"/>
      <x:c r="O244" s="249" t="n"/>
      <x:c r="P244" s="135" t="str"/>
    </x:row>
    <x:row r="245">
      <x:c r="A245" s="133" t="str">
        <x:f>IF(H245="Completed","✓",IF(H245="Blocked","!",""))</x:f>
      </x:c>
      <x:c r="B245" s="133" t="inlineStr">
        <x:is>
          <x:t xml:space="preserve">13B-11</x:t>
        </x:is>
      </x:c>
      <x:c r="C245" s="133" t="inlineStr">
        <x:is>
          <x:t xml:space="preserve">13B Dark Design System Foundation</x:t>
        </x:is>
      </x:c>
      <x:c r="D245" s="133" t="inlineStr">
        <x:is>
          <x:t xml:space="preserve">Brand</x:t>
        </x:is>
      </x:c>
      <x:c r="E245" s="133" t="inlineStr">
        <x:is>
          <x:t xml:space="preserve">Standardize logo treatment on dark surfaces</x:t>
        </x:is>
      </x:c>
      <x:c r="F245" s="133" t="inlineStr">
        <x:is>
          <x:t xml:space="preserve">Canonical logo placement, padding, minimum size and dark-background treatment are documented and reused.</x:t>
        </x:is>
      </x:c>
      <x:c r="G245" s="133" t="inlineStr">
        <x:is>
          <x:t xml:space="preserve">P0</x:t>
        </x:is>
      </x:c>
      <x:c r="H245" s="133" t="inlineStr">
        <x:is>
          <x:t xml:space="preserve">Not Started</x:t>
        </x:is>
      </x:c>
      <x:c r="I245" s="133" t="str"/>
      <x:c r="J245" s="133" t="str"/>
      <x:c r="K245" s="133" t="inlineStr">
        <x:is>
          <x:t xml:space="preserve">13A-02</x:t>
        </x:is>
      </x:c>
      <x:c r="L245" s="133" t="str"/>
      <x:c r="M245" s="133" t="str"/>
      <x:c r="N245" s="249" t="n"/>
      <x:c r="O245" s="249" t="n"/>
      <x:c r="P245" s="135" t="str"/>
    </x:row>
    <x:row r="246">
      <x:c r="A246" s="133" t="str">
        <x:f>IF(H246="Completed","✓",IF(H246="Blocked","!",""))</x:f>
      </x:c>
      <x:c r="B246" s="133" t="inlineStr">
        <x:is>
          <x:t xml:space="preserve">13B-12</x:t>
        </x:is>
      </x:c>
      <x:c r="C246" s="133" t="inlineStr">
        <x:is>
          <x:t xml:space="preserve">13B Dark Design System Foundation</x:t>
        </x:is>
      </x:c>
      <x:c r="D246" s="133" t="inlineStr">
        <x:is>
          <x:t xml:space="preserve">Review</x:t>
        </x:is>
      </x:c>
      <x:c r="E246" s="133" t="inlineStr">
        <x:is>
          <x:t xml:space="preserve">Design-system foundation review</x:t>
        </x:is>
      </x:c>
      <x:c r="F246" s="133" t="inlineStr">
        <x:is>
          <x:t xml:space="preserve">No core page styling work starts until shared tokens are accepted and visual regressions are understood.</x:t>
        </x:is>
      </x:c>
      <x:c r="G246" s="133" t="inlineStr">
        <x:is>
          <x:t xml:space="preserve">P0</x:t>
        </x:is>
      </x:c>
      <x:c r="H246" s="133" t="inlineStr">
        <x:is>
          <x:t xml:space="preserve">Not Started</x:t>
        </x:is>
      </x:c>
      <x:c r="I246" s="133" t="str"/>
      <x:c r="J246" s="133" t="str"/>
      <x:c r="K246" s="133" t="inlineStr">
        <x:is>
          <x:t xml:space="preserve">13B-01</x:t>
        </x:is>
      </x:c>
      <x:c r="L246" s="133" t="str"/>
      <x:c r="M246" s="133" t="str"/>
      <x:c r="N246" s="249" t="n"/>
      <x:c r="O246" s="249" t="n"/>
      <x:c r="P246" s="135" t="str"/>
    </x:row>
    <x:row r="247">
      <x:c r="A247" s="133" t="str">
        <x:f>IF(H247="Completed","✓",IF(H247="Blocked","!",""))</x:f>
      </x:c>
      <x:c r="B247" s="133" t="inlineStr">
        <x:is>
          <x:t xml:space="preserve">13C-01</x:t>
        </x:is>
      </x:c>
      <x:c r="C247" s="133" t="inlineStr">
        <x:is>
          <x:t xml:space="preserve">13C Shared Enterprise Components</x:t>
        </x:is>
      </x:c>
      <x:c r="D247" s="133" t="inlineStr">
        <x:is>
          <x:t xml:space="preserve">Components</x:t>
        </x:is>
      </x:c>
      <x:c r="E247" s="133" t="inlineStr">
        <x:is>
          <x:t xml:space="preserve">Standardize button system</x:t>
        </x:is>
      </x:c>
      <x:c r="F247" s="133" t="inlineStr">
        <x:is>
          <x:t xml:space="preserve">Primary/secondary/tertiary/destructive/icon/loading/disabled buttons share one behavior.</x:t>
        </x:is>
      </x:c>
      <x:c r="G247" s="133" t="inlineStr">
        <x:is>
          <x:t xml:space="preserve">P0</x:t>
        </x:is>
      </x:c>
      <x:c r="H247" s="133" t="inlineStr">
        <x:is>
          <x:t xml:space="preserve">Not Started</x:t>
        </x:is>
      </x:c>
      <x:c r="I247" s="133" t="str"/>
      <x:c r="J247" s="133" t="inlineStr">
        <x:is>
          <x:t xml:space="preserve">Cursor UI 03</x:t>
        </x:is>
      </x:c>
      <x:c r="K247" s="133" t="inlineStr">
        <x:is>
          <x:t xml:space="preserve">13B-12</x:t>
        </x:is>
      </x:c>
      <x:c r="L247" s="133" t="str"/>
      <x:c r="M247" s="133" t="str"/>
      <x:c r="N247" s="249" t="n"/>
      <x:c r="O247" s="249" t="n"/>
      <x:c r="P247" s="135" t="str"/>
    </x:row>
    <x:row r="248">
      <x:c r="A248" s="133" t="str">
        <x:f>IF(H248="Completed","✓",IF(H248="Blocked","!",""))</x:f>
      </x:c>
      <x:c r="B248" s="133" t="inlineStr">
        <x:is>
          <x:t xml:space="preserve">13C-02</x:t>
        </x:is>
      </x:c>
      <x:c r="C248" s="133" t="inlineStr">
        <x:is>
          <x:t xml:space="preserve">13C Shared Enterprise Components</x:t>
        </x:is>
      </x:c>
      <x:c r="D248" s="133" t="inlineStr">
        <x:is>
          <x:t xml:space="preserve">Components</x:t>
        </x:is>
      </x:c>
      <x:c r="E248" s="133" t="inlineStr">
        <x:is>
          <x:t xml:space="preserve">Standardize form controls</x:t>
        </x:is>
      </x:c>
      <x:c r="F248" s="133" t="inlineStr">
        <x:is>
          <x:t xml:space="preserve">Inputs, textareas, selects, checkboxes, radio and validation states share one dark-first system.</x:t>
        </x:is>
      </x:c>
      <x:c r="G248" s="133" t="inlineStr">
        <x:is>
          <x:t xml:space="preserve">P0</x:t>
        </x:is>
      </x:c>
      <x:c r="H248" s="133" t="inlineStr">
        <x:is>
          <x:t xml:space="preserve">Not Started</x:t>
        </x:is>
      </x:c>
      <x:c r="I248" s="133" t="str"/>
      <x:c r="J248" s="133" t="str"/>
      <x:c r="K248" s="133" t="inlineStr">
        <x:is>
          <x:t xml:space="preserve">13B-12</x:t>
        </x:is>
      </x:c>
      <x:c r="L248" s="133" t="str"/>
      <x:c r="M248" s="133" t="str"/>
      <x:c r="N248" s="249" t="n"/>
      <x:c r="O248" s="249" t="n"/>
      <x:c r="P248" s="135" t="str"/>
    </x:row>
    <x:row r="249">
      <x:c r="A249" s="133" t="str">
        <x:f>IF(H249="Completed","✓",IF(H249="Blocked","!",""))</x:f>
      </x:c>
      <x:c r="B249" s="133" t="inlineStr">
        <x:is>
          <x:t xml:space="preserve">13C-03</x:t>
        </x:is>
      </x:c>
      <x:c r="C249" s="133" t="inlineStr">
        <x:is>
          <x:t xml:space="preserve">13C Shared Enterprise Components</x:t>
        </x:is>
      </x:c>
      <x:c r="D249" s="133" t="inlineStr">
        <x:is>
          <x:t xml:space="preserve">Components</x:t>
        </x:is>
      </x:c>
      <x:c r="E249" s="133" t="inlineStr">
        <x:is>
          <x:t xml:space="preserve">Standardize date/deadline controls</x:t>
        </x:is>
      </x:c>
      <x:c r="F249" s="133" t="inlineStr">
        <x:is>
          <x:t xml:space="preserve">RFQ/RFI/submission dates use consistent control, timezone display and validation treatment.</x:t>
        </x:is>
      </x:c>
      <x:c r="G249" s="133" t="inlineStr">
        <x:is>
          <x:t xml:space="preserve">P0</x:t>
        </x:is>
      </x:c>
      <x:c r="H249" s="133" t="inlineStr">
        <x:is>
          <x:t xml:space="preserve">Not Started</x:t>
        </x:is>
      </x:c>
      <x:c r="I249" s="133" t="str"/>
      <x:c r="J249" s="133" t="str"/>
      <x:c r="K249" s="133" t="inlineStr">
        <x:is>
          <x:t xml:space="preserve">13B-12</x:t>
        </x:is>
      </x:c>
      <x:c r="L249" s="133" t="str"/>
      <x:c r="M249" s="133" t="str"/>
      <x:c r="N249" s="249" t="n"/>
      <x:c r="O249" s="249" t="n"/>
      <x:c r="P249" s="135" t="str"/>
    </x:row>
    <x:row r="250">
      <x:c r="A250" s="133" t="str">
        <x:f>IF(H250="Completed","✓",IF(H250="Blocked","!",""))</x:f>
      </x:c>
      <x:c r="B250" s="133" t="inlineStr">
        <x:is>
          <x:t xml:space="preserve">13C-04</x:t>
        </x:is>
      </x:c>
      <x:c r="C250" s="133" t="inlineStr">
        <x:is>
          <x:t xml:space="preserve">13C Shared Enterprise Components</x:t>
        </x:is>
      </x:c>
      <x:c r="D250" s="133" t="inlineStr">
        <x:is>
          <x:t xml:space="preserve">Components</x:t>
        </x:is>
      </x:c>
      <x:c r="E250" s="133" t="inlineStr">
        <x:is>
          <x:t xml:space="preserve">Standardize badges/status chips</x:t>
        </x:is>
      </x:c>
      <x:c r="F250" s="133" t="inlineStr">
        <x:is>
          <x:t xml:space="preserve">RFQ, RFI, quote, award, risk and workflow statuses use one semantic badge system.</x:t>
        </x:is>
      </x:c>
      <x:c r="G250" s="133" t="inlineStr">
        <x:is>
          <x:t xml:space="preserve">P0</x:t>
        </x:is>
      </x:c>
      <x:c r="H250" s="133" t="inlineStr">
        <x:is>
          <x:t xml:space="preserve">Not Started</x:t>
        </x:is>
      </x:c>
      <x:c r="I250" s="133" t="str"/>
      <x:c r="J250" s="133" t="str"/>
      <x:c r="K250" s="133" t="inlineStr">
        <x:is>
          <x:t xml:space="preserve">13B-12</x:t>
        </x:is>
      </x:c>
      <x:c r="L250" s="133" t="str"/>
      <x:c r="M250" s="133" t="str"/>
      <x:c r="N250" s="249" t="n"/>
      <x:c r="O250" s="249" t="n"/>
      <x:c r="P250" s="135" t="str"/>
    </x:row>
    <x:row r="251">
      <x:c r="A251" s="133" t="str">
        <x:f>IF(H251="Completed","✓",IF(H251="Blocked","!",""))</x:f>
      </x:c>
      <x:c r="B251" s="133" t="inlineStr">
        <x:is>
          <x:t xml:space="preserve">13C-05</x:t>
        </x:is>
      </x:c>
      <x:c r="C251" s="133" t="inlineStr">
        <x:is>
          <x:t xml:space="preserve">13C Shared Enterprise Components</x:t>
        </x:is>
      </x:c>
      <x:c r="D251" s="133" t="inlineStr">
        <x:is>
          <x:t xml:space="preserve">Components</x:t>
        </x:is>
      </x:c>
      <x:c r="E251" s="133" t="inlineStr">
        <x:is>
          <x:t xml:space="preserve">Standardize card roles</x:t>
        </x:is>
      </x:c>
      <x:c r="F251" s="133" t="inlineStr">
        <x:is>
          <x:t xml:space="preserve">Only Status/Metric/Action/Intelligence/Summary cards remain; redundant card variants are consolidated.</x:t>
        </x:is>
      </x:c>
      <x:c r="G251" s="133" t="inlineStr">
        <x:is>
          <x:t xml:space="preserve">P0</x:t>
        </x:is>
      </x:c>
      <x:c r="H251" s="133" t="inlineStr">
        <x:is>
          <x:t xml:space="preserve">Not Started</x:t>
        </x:is>
      </x:c>
      <x:c r="I251" s="133" t="str"/>
      <x:c r="J251" s="133" t="str"/>
      <x:c r="K251" s="133" t="inlineStr">
        <x:is>
          <x:t xml:space="preserve">13B-12</x:t>
        </x:is>
      </x:c>
      <x:c r="L251" s="133" t="str"/>
      <x:c r="M251" s="133" t="str"/>
      <x:c r="N251" s="249" t="n"/>
      <x:c r="O251" s="249" t="n"/>
      <x:c r="P251" s="135" t="str"/>
    </x:row>
    <x:row r="252">
      <x:c r="A252" s="133" t="str">
        <x:f>IF(H252="Completed","✓",IF(H252="Blocked","!",""))</x:f>
      </x:c>
      <x:c r="B252" s="133" t="inlineStr">
        <x:is>
          <x:t xml:space="preserve">13C-06</x:t>
        </x:is>
      </x:c>
      <x:c r="C252" s="133" t="inlineStr">
        <x:is>
          <x:t xml:space="preserve">13C Shared Enterprise Components</x:t>
        </x:is>
      </x:c>
      <x:c r="D252" s="133" t="inlineStr">
        <x:is>
          <x:t xml:space="preserve">Components</x:t>
        </x:is>
      </x:c>
      <x:c r="E252" s="133" t="inlineStr">
        <x:is>
          <x:t xml:space="preserve">Standardize enterprise tables</x:t>
        </x:is>
      </x:c>
      <x:c r="F252" s="133" t="inlineStr">
        <x:is>
          <x:t xml:space="preserve">Sticky headers, alignment, density, overflow, sorting/filter visual states and responsive behavior are consistent.</x:t>
        </x:is>
      </x:c>
      <x:c r="G252" s="133" t="inlineStr">
        <x:is>
          <x:t xml:space="preserve">P0</x:t>
        </x:is>
      </x:c>
      <x:c r="H252" s="133" t="inlineStr">
        <x:is>
          <x:t xml:space="preserve">Not Started</x:t>
        </x:is>
      </x:c>
      <x:c r="I252" s="133" t="str"/>
      <x:c r="J252" s="133" t="str"/>
      <x:c r="K252" s="133" t="inlineStr">
        <x:is>
          <x:t xml:space="preserve">13B-12</x:t>
        </x:is>
      </x:c>
      <x:c r="L252" s="133" t="str"/>
      <x:c r="M252" s="133" t="str"/>
      <x:c r="N252" s="249" t="n"/>
      <x:c r="O252" s="249" t="n"/>
      <x:c r="P252" s="135" t="str"/>
    </x:row>
    <x:row r="253">
      <x:c r="A253" s="133" t="str">
        <x:f>IF(H253="Completed","✓",IF(H253="Blocked","!",""))</x:f>
      </x:c>
      <x:c r="B253" s="133" t="inlineStr">
        <x:is>
          <x:t xml:space="preserve">13C-07</x:t>
        </x:is>
      </x:c>
      <x:c r="C253" s="133" t="inlineStr">
        <x:is>
          <x:t xml:space="preserve">13C Shared Enterprise Components</x:t>
        </x:is>
      </x:c>
      <x:c r="D253" s="133" t="inlineStr">
        <x:is>
          <x:t xml:space="preserve">Components</x:t>
        </x:is>
      </x:c>
      <x:c r="E253" s="133" t="inlineStr">
        <x:is>
          <x:t xml:space="preserve">Standardize dialogs and confirmation modals</x:t>
        </x:is>
      </x:c>
      <x:c r="F253" s="133" t="inlineStr">
        <x:is>
          <x:t xml:space="preserve">Consequential actions use consistent confirmation hierarchy and keyboard behavior.</x:t>
        </x:is>
      </x:c>
      <x:c r="G253" s="133" t="inlineStr">
        <x:is>
          <x:t xml:space="preserve">P0</x:t>
        </x:is>
      </x:c>
      <x:c r="H253" s="133" t="inlineStr">
        <x:is>
          <x:t xml:space="preserve">Not Started</x:t>
        </x:is>
      </x:c>
      <x:c r="I253" s="133" t="str"/>
      <x:c r="J253" s="133" t="str"/>
      <x:c r="K253" s="133" t="inlineStr">
        <x:is>
          <x:t xml:space="preserve">13B-12</x:t>
        </x:is>
      </x:c>
      <x:c r="L253" s="133" t="str"/>
      <x:c r="M253" s="133" t="str"/>
      <x:c r="N253" s="249" t="n"/>
      <x:c r="O253" s="249" t="n"/>
      <x:c r="P253" s="135" t="str"/>
    </x:row>
    <x:row r="254">
      <x:c r="A254" s="133" t="str">
        <x:f>IF(H254="Completed","✓",IF(H254="Blocked","!",""))</x:f>
      </x:c>
      <x:c r="B254" s="133" t="inlineStr">
        <x:is>
          <x:t xml:space="preserve">13C-08</x:t>
        </x:is>
      </x:c>
      <x:c r="C254" s="133" t="inlineStr">
        <x:is>
          <x:t xml:space="preserve">13C Shared Enterprise Components</x:t>
        </x:is>
      </x:c>
      <x:c r="D254" s="133" t="inlineStr">
        <x:is>
          <x:t xml:space="preserve">Components</x:t>
        </x:is>
      </x:c>
      <x:c r="E254" s="133" t="inlineStr">
        <x:is>
          <x:t xml:space="preserve">Standardize drawers/side panels</x:t>
        </x:is>
      </x:c>
      <x:c r="F254" s="133" t="inlineStr">
        <x:is>
          <x:t xml:space="preserve">Contextual help, filters, details and intelligence use reusable drawer primitives.</x:t>
        </x:is>
      </x:c>
      <x:c r="G254" s="133" t="inlineStr">
        <x:is>
          <x:t xml:space="preserve">P0</x:t>
        </x:is>
      </x:c>
      <x:c r="H254" s="133" t="inlineStr">
        <x:is>
          <x:t xml:space="preserve">Not Started</x:t>
        </x:is>
      </x:c>
      <x:c r="I254" s="133" t="str"/>
      <x:c r="J254" s="133" t="str"/>
      <x:c r="K254" s="133" t="inlineStr">
        <x:is>
          <x:t xml:space="preserve">13B-12</x:t>
        </x:is>
      </x:c>
      <x:c r="L254" s="133" t="str"/>
      <x:c r="M254" s="133" t="str"/>
      <x:c r="N254" s="249" t="n"/>
      <x:c r="O254" s="249" t="n"/>
      <x:c r="P254" s="135" t="str"/>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d86cf4e1be0446ed"/>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inlineStr">
        <x:is>
          <x:t xml:space="preserve">Not Started</x:t>
        </x:is>
      </x:c>
      <x:c r="E9" s="133" t="str"/>
      <x:c r="F9" s="133" t="str"/>
      <x:c r="G9" s="249" t="n"/>
      <x:c r="H9" s="32" t="str"/>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inlineStr">
        <x:is>
          <x:t xml:space="preserve">Not Started</x:t>
        </x:is>
      </x:c>
      <x:c r="E12" s="133" t="str"/>
      <x:c r="F12" s="133" t="str"/>
      <x:c r="G12" s="249" t="n"/>
      <x:c r="H12" s="32" t="str"/>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inlineStr">
        <x:is>
          <x:t xml:space="preserve">Not Started</x:t>
        </x:is>
      </x:c>
      <x:c r="E13" s="133" t="str"/>
      <x:c r="F13" s="133" t="str"/>
      <x:c r="G13" s="249" t="n"/>
      <x:c r="H13" s="32" t="str"/>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inlineStr">
        <x:is>
          <x:t xml:space="preserve">Not Started</x:t>
        </x:is>
      </x:c>
      <x:c r="E16" s="133" t="str"/>
      <x:c r="F16" s="133" t="str"/>
      <x:c r="G16" s="249" t="n"/>
      <x:c r="H16" s="32" t="str"/>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In Progress</x:v>
      </x:c>
      <x:c r="E17" s="133" t="str">
        <x:v>Project Owner / Engineering</x:v>
      </x:c>
      <x:c r="F17" s="133" t="str">
        <x:v>Phase 19 / Task 19-01 completed on 2026-09-29 and source remediation published at eadd557ecee4a21c95708c71841f1ce69110e0e0. Public claims now map to implemented capability; unsupported public AI/LLM, numeric pricing, legacy fused-brand and universal-account implications were removed; Early Access positioning and product-scoped authentication naming were validated. Final build/lint/runtime/visual/consistency checks passed.</x:v>
      </x:c>
      <x:c r="G17" s="249" t="n">
        <x:v>46294</x:v>
      </x:c>
      <x:c r="H17" s="32" t="str">
        <x:v>G12 remains OPEN / IN PROGRESS. 19-03 must still separate Available Now vs Planned, and remaining Phase 19 marketing-alignment tasks must complete before the Marketing Claims gate can close.</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matrix is complete: UAT-01 through UAT-38 PASS and 18-28 is closed. G13 is not complete because Release Candidate build/tests, remaining launch gates/checklist evidence, known-risk/deferral acceptance, monitoring/watch plan and explicit Production Go/No-Go approval remain outstanding.</x:v>
      </x:c>
      <x:c r="G18" s="294" t="n">
        <x:v>46294</x:v>
      </x:c>
      <x:c r="H18" s="34" t="str">
        <x:v>UAT blocker resolved. Keep G13 BLOCKED until the remaining independent release criteria are satisfied and explicit Production Go/No-Go approval is recorded.</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inlineStr">
        <x:is>
          <x:t xml:space="preserve">Not Started</x:t>
        </x:is>
      </x:c>
      <x:c r="G19" s="252" t="n"/>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18e8f41dfdf54185"/>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226</x:v>
      </x:c>
      <x:c r="D6" s="133" t="inlineStr">
        <x:is>
          <x:t xml:space="preserve">G0A — Corporate platform architecture ready</x:t>
        </x:is>
      </x:c>
      <x:c r="E6" s="32" t="str">
        <x:f>'03 Launch Gates'!D20</x:f>
        <x:v>Completed</x:v>
      </x:c>
      <x:c r="G6" t="inlineStr">
        <x:is>
          <x:t xml:space="preserve">UI Tasks Complete</x:t>
        </x:is>
      </x:c>
      <x:c r="H6" t="n">
        <x:f>SUM(B36:B46)</x:f>
        <x:v>25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0</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0</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0</x:v>
      </x:c>
    </x:row>
    <x:row r="10">
      <x:c r="A10" s="50" t="inlineStr">
        <x:is>
          <x:t xml:space="preserve">Overall Progress</x:t>
        </x:is>
      </x:c>
      <x:c r="B10" s="254" t="n">
        <x:f>IFERROR((COUNTIF('01 Master Plan'!H5:H383,"Completed")+COUNTIF('01 Master Plan'!H5:H383,"Complete"))/(COUNTA('01 Master Plan'!B5:B383)-COUNTIF('01 Master Plan'!H5:H383,"Deferred")),0)</x:f>
        <x:v>0.6158038147138964</x:v>
      </x:c>
      <x:c r="D10" s="133" t="inlineStr">
        <x:is>
          <x:t xml:space="preserve">G4 — RFI lifecycle launch-ready</x:t>
        </x:is>
      </x:c>
      <x:c r="E10" s="32" t="str">
        <x:f>'03 Launch Gates'!D9</x:f>
        <x:v>Not Started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0.6254545454545455</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9</x:v>
      </x:c>
      <x:c r="D13" s="133" t="inlineStr">
        <x:is>
          <x:t xml:space="preserve">G7 — Intelligence permissions verified</x:t>
        </x:is>
      </x:c>
      <x:c r="E13" s="32" t="str">
        <x:f>'03 Launch Gates'!D12</x:f>
        <x:v>Not Started</x:v>
      </x:c>
    </x:row>
    <x:row r="14">
      <x:c r="A14" s="51" t="inlineStr">
        <x:is>
          <x:t xml:space="preserve">Launch Gates Total</x:t>
        </x:is>
      </x:c>
      <x:c r="B14" s="58" t="n">
        <x:f>COUNTA('03 Launch Gates'!A5:A20)</x:f>
        <x:v>16</x:v>
      </x:c>
      <x:c r="D14" s="133" t="inlineStr">
        <x:is>
          <x:t xml:space="preserve">G8 — Email journey pass</x:t>
        </x:is>
      </x:c>
      <x:c r="E14" s="32" t="str">
        <x:f>'03 Launch Gates'!D13</x:f>
        <x:v>Not Started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Not Started</x:v>
      </x:c>
    </x:row>
    <x:row r="18" s="124" customFormat="1" ht="28" customHeight="1">
      <x:c r="A18" s="21" t="n"/>
      <x:c r="B18" s="21" t="n"/>
      <x:c r="C18" s="21" t="n"/>
      <x:c r="D18" s="122" t="inlineStr">
        <x:is>
          <x:t xml:space="preserve">G11 — Documentation ready</x:t>
        </x:is>
      </x:c>
      <x:c r="E18" s="123" t="str">
        <x:f>'03 Launch Gates'!D16</x:f>
        <x:v>Not Started</x:v>
      </x:c>
      <x:c r="F18" s="21" t="n"/>
      <x:c r="G18" s="21" t="n"/>
    </x:row>
    <x:row r="19">
      <x:c r="A19" s="133" t="n"/>
      <x:c r="B19" s="133" t="n"/>
      <x:c r="C19" s="133" t="n"/>
      <x:c r="D19" s="133" t="inlineStr">
        <x:is>
          <x:t xml:space="preserve">G12 — Marketing claims verified</x:t>
        </x:is>
      </x:c>
      <x:c r="E19" s="133" t="str">
        <x:f>'03 Launch Gates'!D17</x:f>
        <x:v>In Progress</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0</x:v>
      </x:c>
      <x:c r="C36" s="133" t="n">
        <x:f>COUNTIFS('01 Master Plan'!C$5:C$383,A36,'01 Master Plan'!H$5:H$383,"In Progress")</x:f>
        <x:v>0</x:v>
      </x:c>
      <x:c r="D36" s="133" t="n">
        <x:f>COUNTIFS('01 Master Plan'!C$5:C$383,A36,'01 Master Plan'!H$5:H$383,"Not Started")</x:f>
        <x:v>10</x:v>
      </x:c>
      <x:c r="E36" s="133" t="n">
        <x:f>COUNTIFS('01 Master Plan'!C$5:C$383,A36,'01 Master Plan'!H$5:H$383,"Blocked")</x:f>
        <x:v>0</x:v>
      </x:c>
      <x:c r="F36" s="133" t="n">
        <x:f>COUNTIFS('01 Master Plan'!C$5:C$383,A36,'01 Master Plan'!H$5:H$383,"Deferred")</x:f>
        <x:v>0</x:v>
      </x:c>
      <x:c r="G36" s="255" t="n">
        <x:f>IFERROR(B36/(B36+C36+D36+E36),0)</x:f>
        <x:v>0</x:v>
      </x:c>
    </x:row>
    <x:row r="37">
      <x:c r="A37" s="133" t="inlineStr">
        <x:is>
          <x:t xml:space="preserve">13B Dark Design System Foundation</x:t>
        </x:is>
      </x:c>
      <x:c r="B37" s="133" t="n">
        <x:f>COUNTIFS('01 Master Plan'!C$5:C$383,A37,'01 Master Plan'!H$5:H$383,"Completed")+COUNTIFS('01 Master Plan'!C$5:C$383,A37,'01 Master Plan'!H$5:H$383,"Complete")</x:f>
        <x:v>0</x:v>
      </x:c>
      <x:c r="C37" s="133" t="n">
        <x:f>COUNTIFS('01 Master Plan'!C$5:C$383,A37,'01 Master Plan'!H$5:H$383,"In Progress")</x:f>
        <x:v>0</x:v>
      </x:c>
      <x:c r="D37" s="133" t="n">
        <x:f>COUNTIFS('01 Master Plan'!C$5:C$383,A37,'01 Master Plan'!H$5:H$383,"Not Started")</x:f>
        <x:v>12</x:v>
      </x:c>
      <x:c r="E37" s="133" t="n">
        <x:f>COUNTIFS('01 Master Plan'!C$5:C$383,A37,'01 Master Plan'!H$5:H$383,"Blocked")</x:f>
        <x:v>0</x:v>
      </x:c>
      <x:c r="F37" s="133" t="n">
        <x:f>COUNTIFS('01 Master Plan'!C$5:C$383,A37,'01 Master Plan'!H$5:H$383,"Deferred")</x:f>
        <x:v>0</x:v>
      </x:c>
      <x:c r="G37" s="255" t="n">
        <x:f>IFERROR(B37/(B37+C37+D37+E37),0)</x:f>
        <x:v>0</x:v>
      </x:c>
    </x:row>
    <x:row r="38">
      <x:c r="A38" s="133" t="inlineStr">
        <x:is>
          <x:t xml:space="preserve">13C Shared Enterprise Components</x:t>
        </x:is>
      </x:c>
      <x:c r="B38" s="133" t="n">
        <x:f>COUNTIFS('01 Master Plan'!C$5:C$383,A38,'01 Master Plan'!H$5:H$383,"Completed")+COUNTIFS('01 Master Plan'!C$5:C$383,A38,'01 Master Plan'!H$5:H$383,"Complete")</x:f>
        <x:v>0</x:v>
      </x:c>
      <x:c r="C38" s="133" t="n">
        <x:f>COUNTIFS('01 Master Plan'!C$5:C$383,A38,'01 Master Plan'!H$5:H$383,"In Progress")</x:f>
        <x:v>0</x:v>
      </x:c>
      <x:c r="D38" s="133" t="n">
        <x:f>COUNTIFS('01 Master Plan'!C$5:C$383,A38,'01 Master Plan'!H$5:H$383,"Not Started")</x:f>
        <x:v>17</x:v>
      </x:c>
      <x:c r="E38" s="133" t="n">
        <x:f>COUNTIFS('01 Master Plan'!C$5:C$383,A38,'01 Master Plan'!H$5:H$383,"Blocked")</x:f>
        <x:v>0</x:v>
      </x:c>
      <x:c r="F38" s="133" t="n">
        <x:f>COUNTIFS('01 Master Plan'!C$5:C$383,A38,'01 Master Plan'!H$5:H$383,"Deferred")</x:f>
        <x:v>0</x:v>
      </x:c>
      <x:c r="G38" s="255" t="n">
        <x:f>IFERROR(B38/(B38+C38+D38+E38),0)</x:f>
        <x:v>0</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1</x:v>
      </x:c>
      <x:c r="C52" s="28" t="n">
        <x:f>COUNTIFS('01 Master Plan'!C$5:C$383,A52,'01 Master Plan'!H$5:H$383,"In Progress")</x:f>
        <x:v>0</x:v>
      </x:c>
      <x:c r="D52" s="28" t="n">
        <x:f>COUNTIFS('01 Master Plan'!C$5:C$383,A52,'01 Master Plan'!H$5:H$383,"Not Started")</x:f>
        <x:v>6</x:v>
      </x:c>
      <x:c r="E52" s="28" t="n">
        <x:f>COUNTIFS('01 Master Plan'!C$5:C$383,A52,'01 Master Plan'!H$5:H$383,"Blocked")</x:f>
        <x:v>0</x:v>
      </x:c>
      <x:c r="F52" s="28" t="n">
        <x:f>COUNTIFS('01 Master Plan'!C$5:C$383,A52,'01 Master Plan'!H$5:H$383,"Deferred")</x:f>
        <x:v>0</x:v>
      </x:c>
      <x:c r="G52" s="258" t="n">
        <x:f>IFERROR(B52/(B52+C52+D52+E52),0)</x:f>
        <x:v>0.14285714285714285</x:v>
      </x:c>
    </x:row>
    <x:row r="53">
      <x:c r="A53" s="28" t="inlineStr">
        <x:is>
          <x:t xml:space="preserve">20 Launch Documentation</x:t>
        </x:is>
      </x:c>
      <x:c r="B53" s="28" t="n">
        <x:f>COUNTIFS('01 Master Plan'!C$5:C$383,A53,'01 Master Plan'!H$5:H$383,"Completed")+COUNTIFS('01 Master Plan'!C$5:C$383,A53,'01 Master Plan'!H$5:H$383,"Complete")</x:f>
        <x:v>0</x:v>
      </x:c>
      <x:c r="C53" s="28" t="n">
        <x:f>COUNTIFS('01 Master Plan'!C$5:C$383,A53,'01 Master Plan'!H$5:H$383,"In Progress")</x:f>
        <x:v>0</x:v>
      </x:c>
      <x:c r="D53" s="28" t="n">
        <x:f>COUNTIFS('01 Master Plan'!C$5:C$383,A53,'01 Master Plan'!H$5:H$383,"Not Started")</x:f>
        <x:v>12</x:v>
      </x:c>
      <x:c r="E53" s="28" t="n">
        <x:f>COUNTIFS('01 Master Plan'!C$5:C$383,A53,'01 Master Plan'!H$5:H$383,"Blocked")</x:f>
        <x:v>0</x:v>
      </x:c>
      <x:c r="F53" s="28" t="n">
        <x:f>COUNTIFS('01 Master Plan'!C$5:C$383,A53,'01 Master Plan'!H$5:H$383,"Deferred")</x:f>
        <x:v>0</x:v>
      </x:c>
      <x:c r="G53" s="258" t="n">
        <x:f>IFERROR(B53/(B53+C53+D53+E53),0)</x:f>
        <x:v>0</x:v>
      </x:c>
    </x:row>
    <x:row r="54">
      <x:c r="A54" s="28" t="inlineStr">
        <x:is>
          <x:t xml:space="preserve">21 Final Launch Gate</x:t>
        </x:is>
      </x:c>
      <x:c r="B54" s="28" t="n">
        <x:f>COUNTIFS('01 Master Plan'!C$5:C$383,A54,'01 Master Plan'!H$5:H$383,"Completed")+COUNTIFS('01 Master Plan'!C$5:C$383,A54,'01 Master Plan'!H$5:H$383,"Complete")</x:f>
        <x:v>0</x:v>
      </x:c>
      <x:c r="C54" s="28" t="n">
        <x:f>COUNTIFS('01 Master Plan'!C$5:C$383,A54,'01 Master Plan'!H$5:H$383,"In Progress")</x:f>
        <x:v>0</x:v>
      </x:c>
      <x:c r="D54" s="28" t="n">
        <x:f>COUNTIFS('01 Master Plan'!C$5:C$383,A54,'01 Master Plan'!H$5:H$383,"Not Started")</x:f>
        <x:v>6</x:v>
      </x:c>
      <x:c r="E54" s="28" t="n">
        <x:f>COUNTIFS('01 Master Plan'!C$5:C$383,A54,'01 Master Plan'!H$5:H$383,"Blocked")</x:f>
        <x:v>0</x:v>
      </x:c>
      <x:c r="F54" s="28" t="n">
        <x:f>COUNTIFS('01 Master Plan'!C$5:C$383,A54,'01 Master Plan'!H$5:H$383,"Deferred")</x:f>
        <x:v>0</x:v>
      </x:c>
      <x:c r="G54" s="258" t="n">
        <x:f>IFERROR(B54/(B54+C54+D54+E54),0)</x:f>
        <x:v>0</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96c9c9d534d74a79"/>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8697cf0f840741e1"/>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081e8084498e4c6d"/>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c2f2c4b94acc4651"/>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ecc3acf20a064f4a"/>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inlineStr">
        <x:is>
          <x:t xml:space="preserve">Not Started</x:t>
        </x:is>
      </x:c>
      <x:c r="E5" s="133" t="str"/>
      <x:c r="F5" s="133" t="str"/>
      <x:c r="G5" s="133" t="inlineStr">
        <x:is>
          <x:t xml:space="preserve">G0/G1/G2</x:t>
        </x:is>
      </x:c>
      <x:c r="H5" s="249" t="n"/>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inlineStr">
        <x:is>
          <x:t xml:space="preserve">Not Started</x:t>
        </x:is>
      </x:c>
      <x:c r="E8" s="133" t="str"/>
      <x:c r="F8" s="133" t="str"/>
      <x:c r="G8" s="133" t="inlineStr">
        <x:is>
          <x:t xml:space="preserve">G4</x:t>
        </x:is>
      </x:c>
      <x:c r="H8" s="249" t="n"/>
      <x:c r="I8" s="32" t="str"/>
    </x:row>
    <x:row r="9">
      <x:c r="A9" s="133" t="inlineStr">
        <x:is>
          <x:t xml:space="preserve">Activity</x:t>
        </x:is>
      </x:c>
      <x:c r="B9" s="133" t="inlineStr">
        <x:is>
          <x:t xml:space="preserve">Activity Center lifecycle events pass</x:t>
        </x:is>
      </x:c>
      <x:c r="C9" s="133" t="inlineStr">
        <x:is>
          <x:t xml:space="preserve">P0</x:t>
        </x:is>
      </x:c>
      <x:c r="D9" s="133" t="inlineStr">
        <x:is>
          <x:t xml:space="preserve">Not Started</x:t>
        </x:is>
      </x:c>
      <x:c r="E9" s="133" t="str"/>
      <x:c r="F9" s="133" t="str"/>
      <x:c r="G9" s="133" t="inlineStr">
        <x:is>
          <x:t xml:space="preserve">G3</x:t>
        </x:is>
      </x:c>
      <x:c r="H9" s="249" t="n"/>
      <x:c r="I9" s="32" t="str"/>
    </x:row>
    <x:row r="10">
      <x:c r="A10" s="133" t="inlineStr">
        <x:is>
          <x:t xml:space="preserve">Security</x:t>
        </x:is>
      </x:c>
      <x:c r="B10" s="133" t="inlineStr">
        <x:is>
          <x:t xml:space="preserve">Security regression matrix passes</x:t>
        </x:is>
      </x:c>
      <x:c r="C10" s="133" t="inlineStr">
        <x:is>
          <x:t xml:space="preserve">P0</x:t>
        </x:is>
      </x:c>
      <x:c r="D10" s="133" t="inlineStr">
        <x:is>
          <x:t xml:space="preserve">Not Started</x:t>
        </x:is>
      </x:c>
      <x:c r="E10" s="133" t="str"/>
      <x:c r="F10" s="133" t="str"/>
      <x:c r="G10" s="133" t="inlineStr">
        <x:is>
          <x:t xml:space="preserve">G6</x:t>
        </x:is>
      </x:c>
      <x:c r="H10" s="249" t="n"/>
      <x:c r="I10" s="32" t="str"/>
    </x:row>
    <x:row r="11">
      <x:c r="A11" s="133" t="inlineStr">
        <x:is>
          <x:t xml:space="preserve">Intelligence</x:t>
        </x:is>
      </x:c>
      <x:c r="B11" s="133" t="inlineStr">
        <x:is>
          <x:t xml:space="preserve">Issuer/respondent intelligence isolation verified</x:t>
        </x:is>
      </x:c>
      <x:c r="C11" s="133" t="inlineStr">
        <x:is>
          <x:t xml:space="preserve">P0</x:t>
        </x:is>
      </x:c>
      <x:c r="D11" s="133" t="inlineStr">
        <x:is>
          <x:t xml:space="preserve">Not Started</x:t>
        </x:is>
      </x:c>
      <x:c r="E11" s="133" t="str"/>
      <x:c r="F11" s="133" t="str"/>
      <x:c r="G11" s="133" t="inlineStr">
        <x:is>
          <x:t xml:space="preserve">G7</x:t>
        </x:is>
      </x:c>
      <x:c r="H11" s="249" t="n"/>
      <x:c r="I11" s="32" t="str"/>
    </x:row>
    <x:row r="12">
      <x:c r="A12" s="133" t="inlineStr">
        <x:is>
          <x:t xml:space="preserve">Email</x:t>
        </x:is>
      </x:c>
      <x:c r="B12" s="133" t="inlineStr">
        <x:is>
          <x:t xml:space="preserve">Invitation/resend/continuation pass</x:t>
        </x:is>
      </x:c>
      <x:c r="C12" s="133" t="inlineStr">
        <x:is>
          <x:t xml:space="preserve">P0</x:t>
        </x:is>
      </x:c>
      <x:c r="D12" s="133" t="inlineStr">
        <x:is>
          <x:t xml:space="preserve">Not Started</x:t>
        </x:is>
      </x:c>
      <x:c r="E12" s="133" t="str"/>
      <x:c r="F12" s="133" t="str"/>
      <x:c r="G12" s="133" t="inlineStr">
        <x:is>
          <x:t xml:space="preserve">G8</x:t>
        </x:is>
      </x:c>
      <x:c r="H12" s="249" t="n"/>
      <x:c r="I12" s="32" t="str"/>
    </x:row>
    <x:row r="13">
      <x:c r="A13" s="133" t="inlineStr">
        <x:is>
          <x:t xml:space="preserve">Email</x:t>
        </x:is>
      </x:c>
      <x:c r="B13" s="133" t="inlineStr">
        <x:is>
          <x:t xml:space="preserve">RFI/addendum/award communications verified</x:t>
        </x:is>
      </x:c>
      <x:c r="C13" s="133" t="inlineStr">
        <x:is>
          <x:t xml:space="preserve">P0</x:t>
        </x:is>
      </x:c>
      <x:c r="D13" s="133" t="inlineStr">
        <x:is>
          <x:t xml:space="preserve">Not Started</x:t>
        </x:is>
      </x:c>
      <x:c r="E13" s="133" t="str"/>
      <x:c r="F13" s="133" t="str"/>
      <x:c r="G13" s="133" t="inlineStr">
        <x:is>
          <x:t xml:space="preserve">G8</x:t>
        </x:is>
      </x:c>
      <x:c r="H13" s="249" t="n"/>
      <x:c r="I13" s="32" t="str"/>
    </x:row>
    <x:row r="14">
      <x:c r="A14" s="133" t="inlineStr">
        <x:is>
          <x:t xml:space="preserve">Operations</x:t>
        </x:is>
      </x:c>
      <x:c r="B14" s="133" t="inlineStr">
        <x:is>
          <x:t xml:space="preserve">Production env vars verified</x:t>
        </x:is>
      </x:c>
      <x:c r="C14" s="133" t="inlineStr">
        <x:is>
          <x:t xml:space="preserve">P0</x:t>
        </x:is>
      </x:c>
      <x:c r="D14" s="133" t="inlineStr">
        <x:is>
          <x:t xml:space="preserve">Not Started</x:t>
        </x:is>
      </x:c>
      <x:c r="E14" s="133" t="str"/>
      <x:c r="F14" s="133" t="str"/>
      <x:c r="G14" s="133" t="inlineStr">
        <x:is>
          <x:t xml:space="preserve">G9</x:t>
        </x:is>
      </x:c>
      <x:c r="H14" s="249" t="n"/>
      <x:c r="I14" s="32" t="str"/>
    </x:row>
    <x:row r="15">
      <x:c r="A15" s="133" t="inlineStr">
        <x:is>
          <x:t xml:space="preserve">Operations</x:t>
        </x:is>
      </x:c>
      <x:c r="B15" s="133" t="inlineStr">
        <x:is>
          <x:t xml:space="preserve">Error tracking/logging verified</x:t>
        </x:is>
      </x:c>
      <x:c r="C15" s="133" t="inlineStr">
        <x:is>
          <x:t xml:space="preserve">P0</x:t>
        </x:is>
      </x:c>
      <x:c r="D15" s="133" t="inlineStr">
        <x:is>
          <x:t xml:space="preserve">Not Started</x:t>
        </x:is>
      </x:c>
      <x:c r="E15" s="133" t="str"/>
      <x:c r="F15" s="133" t="str"/>
      <x:c r="G15" s="133" t="inlineStr">
        <x:is>
          <x:t xml:space="preserve">G9</x:t>
        </x:is>
      </x:c>
      <x:c r="H15" s="249" t="n"/>
      <x:c r="I15" s="32" t="str"/>
    </x:row>
    <x:row r="16">
      <x:c r="A16" s="133" t="inlineStr">
        <x:is>
          <x:t xml:space="preserve">Operations</x:t>
        </x:is>
      </x:c>
      <x:c r="B16" s="133" t="inlineStr">
        <x:is>
          <x:t xml:space="preserve">Rollback and recovery procedures documented</x:t>
        </x:is>
      </x:c>
      <x:c r="C16" s="133" t="inlineStr">
        <x:is>
          <x:t xml:space="preserve">P0</x:t>
        </x:is>
      </x:c>
      <x:c r="D16" s="133" t="inlineStr">
        <x:is>
          <x:t xml:space="preserve">Not Started</x:t>
        </x:is>
      </x:c>
      <x:c r="E16" s="133" t="str"/>
      <x:c r="F16" s="133" t="str"/>
      <x:c r="G16" s="133" t="inlineStr">
        <x:is>
          <x:t xml:space="preserve">G9</x:t>
        </x:is>
      </x:c>
      <x:c r="H16" s="249" t="n"/>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inlineStr">
        <x:is>
          <x:t xml:space="preserve">Not Started</x:t>
        </x:is>
      </x:c>
      <x:c r="E17" s="133" t="str"/>
      <x:c r="F17" s="133" t="str"/>
      <x:c r="G17" s="133" t="inlineStr">
        <x:is>
          <x:t xml:space="preserve">G10</x:t>
        </x:is>
      </x:c>
      <x:c r="H17" s="249" t="n"/>
      <x:c r="I17" s="32" t="str"/>
    </x:row>
    <x:row r="18">
      <x:c r="A18" s="133" t="inlineStr">
        <x:is>
          <x:t xml:space="preserve">Security</x:t>
        </x:is>
      </x:c>
      <x:c r="B18" s="133" t="inlineStr">
        <x:is>
          <x:t xml:space="preserve">RSC/server payload leakage audit complete</x:t>
        </x:is>
      </x:c>
      <x:c r="C18" s="133" t="inlineStr">
        <x:is>
          <x:t xml:space="preserve">P0</x:t>
        </x:is>
      </x:c>
      <x:c r="D18" s="133" t="inlineStr">
        <x:is>
          <x:t xml:space="preserve">Not Started</x:t>
        </x:is>
      </x:c>
      <x:c r="E18" s="133" t="str"/>
      <x:c r="F18" s="133" t="str"/>
      <x:c r="G18" s="133" t="inlineStr">
        <x:is>
          <x:t xml:space="preserve">G10</x:t>
        </x:is>
      </x:c>
      <x:c r="H18" s="249" t="n"/>
      <x:c r="I18" s="32" t="str"/>
    </x:row>
    <x:row r="19">
      <x:c r="A19" s="133" t="inlineStr">
        <x:is>
          <x:t xml:space="preserve">Accessibility</x:t>
        </x:is>
      </x:c>
      <x:c r="B19" s="133" t="inlineStr">
        <x:is>
          <x:t xml:space="preserve">Keyboard/focus/forms/mobile sanity pass</x:t>
        </x:is>
      </x:c>
      <x:c r="C19" s="133" t="inlineStr">
        <x:is>
          <x:t xml:space="preserve">P0</x:t>
        </x:is>
      </x:c>
      <x:c r="D19" s="133" t="inlineStr">
        <x:is>
          <x:t xml:space="preserve">Not Started</x:t>
        </x:is>
      </x:c>
      <x:c r="E19" s="133" t="str"/>
      <x:c r="F19" s="133" t="str"/>
      <x:c r="G19" s="133" t="inlineStr">
        <x:is>
          <x:t xml:space="preserve">G10</x:t>
        </x:is>
      </x:c>
      <x:c r="H19" s="249" t="n"/>
      <x:c r="I19" s="32" t="str"/>
    </x:row>
    <x:row r="20">
      <x:c r="A20" s="133" t="inlineStr">
        <x:is>
          <x:t xml:space="preserve">Documentation</x:t>
        </x:is>
      </x:c>
      <x:c r="B20" s="133" t="inlineStr">
        <x:is>
          <x:t xml:space="preserve">Launch help/docs/support path ready</x:t>
        </x:is>
      </x:c>
      <x:c r="C20" s="133" t="inlineStr">
        <x:is>
          <x:t xml:space="preserve">P0</x:t>
        </x:is>
      </x:c>
      <x:c r="D20" s="133" t="inlineStr">
        <x:is>
          <x:t xml:space="preserve">Not Started</x:t>
        </x:is>
      </x:c>
      <x:c r="E20" s="133" t="str"/>
      <x:c r="F20" s="133" t="str"/>
      <x:c r="G20" s="133" t="inlineStr">
        <x:is>
          <x:t xml:space="preserve">G11</x:t>
        </x:is>
      </x:c>
      <x:c r="H20" s="249" t="n"/>
      <x:c r="I20" s="32" t="str"/>
    </x:row>
    <x:row r="21">
      <x:c r="A21" s="133" t="inlineStr">
        <x:is>
          <x:t xml:space="preserve">Marketing</x:t>
        </x:is>
      </x:c>
      <x:c r="B21" s="133" t="inlineStr">
        <x:is>
          <x:t xml:space="preserve">Available Now vs Planned reviewed</x:t>
        </x:is>
      </x:c>
      <x:c r="C21" s="133" t="inlineStr">
        <x:is>
          <x:t xml:space="preserve">P0</x:t>
        </x:is>
      </x:c>
      <x:c r="D21" s="133" t="inlineStr">
        <x:is>
          <x:t xml:space="preserve">Not Started</x:t>
        </x:is>
      </x:c>
      <x:c r="E21" s="133" t="str"/>
      <x:c r="F21" s="133" t="str"/>
      <x:c r="G21" s="133" t="inlineStr">
        <x:is>
          <x:t xml:space="preserve">G12</x:t>
        </x:is>
      </x:c>
      <x:c r="H21" s="249" t="n"/>
      <x:c r="I21" s="32" t="str"/>
    </x:row>
    <x:row r="22">
      <x:c r="A22" s="133" t="inlineStr">
        <x:is>
          <x:t xml:space="preserve">Marketing</x:t>
        </x:is>
      </x:c>
      <x:c r="B22" s="133" t="inlineStr">
        <x:is>
          <x:t xml:space="preserve">Screenshots/copy match actual product</x:t>
        </x:is>
      </x:c>
      <x:c r="C22" s="133" t="inlineStr">
        <x:is>
          <x:t xml:space="preserve">P1</x:t>
        </x:is>
      </x:c>
      <x:c r="D22" s="133" t="inlineStr">
        <x:is>
          <x:t xml:space="preserve">Not Started</x:t>
        </x:is>
      </x:c>
      <x:c r="E22" s="133" t="str"/>
      <x:c r="F22" s="133" t="str"/>
      <x:c r="G22" s="133" t="inlineStr">
        <x:is>
          <x:t xml:space="preserve">G12</x:t>
        </x:is>
      </x:c>
      <x:c r="H22" s="249" t="n"/>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Historical documented limitations remain preserved in their source evidence.</x:v>
      </x:c>
      <x:c r="G23" s="133" t="str">
        <x:v>G13</x:v>
      </x:c>
      <x:c r="H23" s="294" t="n">
        <x:v>46294</x:v>
      </x:c>
      <x:c r="I23" s="32" t="str">
        <x:v>UAT portion of G13 is complete. RC build/tests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inlineStr">
        <x:is>
          <x:t xml:space="preserve">Not Started</x:t>
        </x:is>
      </x:c>
      <x:c r="E24" s="133" t="str"/>
      <x:c r="F24" s="133" t="str"/>
      <x:c r="G24" s="133" t="inlineStr">
        <x:is>
          <x:t xml:space="preserve">G13</x:t>
        </x:is>
      </x:c>
      <x:c r="H24" s="249" t="n"/>
      <x:c r="I24" s="32" t="str"/>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inlineStr">
        <x:is>
          <x:t xml:space="preserve">Not Started</x:t>
        </x:is>
      </x:c>
      <x:c r="G37" t="inlineStr">
        <x:is>
          <x:t xml:space="preserve">G0A</x:t>
        </x:is>
      </x:c>
      <x:c r="H37" s="252" t="n"/>
    </x:row>
    <x:row r="38">
      <x:c r="A38" t="inlineStr">
        <x:is>
          <x:t xml:space="preserve">Corporate Platform</x:t>
        </x:is>
      </x:c>
      <x:c r="B38" t="inlineStr">
        <x:is>
          <x:t xml:space="preserve">Root homepage represents NexusPavilion Inc. and product portfolio correctly</x:t>
        </x:is>
      </x:c>
      <x:c r="C38" t="inlineStr">
        <x:is>
          <x:t xml:space="preserve">P0</x:t>
        </x:is>
      </x:c>
      <x:c r="D38" t="inlineStr">
        <x:is>
          <x:t xml:space="preserve">Not Started</x:t>
        </x:is>
      </x:c>
      <x:c r="G38" t="inlineStr">
        <x:is>
          <x:t xml:space="preserve">G0A/G12</x:t>
        </x:is>
      </x:c>
      <x:c r="H38" s="252" t="n"/>
    </x:row>
    <x:row r="39">
      <x:c r="A39" t="inlineStr">
        <x:is>
          <x:t xml:space="preserve">Routing</x:t>
        </x:is>
      </x:c>
      <x:c r="B39" t="inlineStr">
        <x:is>
          <x:t xml:space="preserve">RFQ invitation/auth/deep-link regressions pass after root-page change</x:t>
        </x:is>
      </x:c>
      <x:c r="C39" t="inlineStr">
        <x:is>
          <x:t xml:space="preserve">P0</x:t>
        </x:is>
      </x:c>
      <x:c r="D39" t="inlineStr">
        <x:is>
          <x:t xml:space="preserve">Not Started</x:t>
        </x:is>
      </x:c>
      <x:c r="G39" t="inlineStr">
        <x:is>
          <x:t xml:space="preserve">G0A/G6</x:t>
        </x:is>
      </x:c>
      <x:c r="H39" s="252" t="n"/>
    </x:row>
    <x:row r="40">
      <x:c r="A40" t="inlineStr">
        <x:is>
          <x:t xml:space="preserve">Brand</x:t>
        </x:is>
      </x:c>
      <x:c r="B40" t="inlineStr">
        <x:is>
          <x:t xml:space="preserve">Intelligent Procurement product attribution is consistent across public/app surfaces</x:t>
        </x:is>
      </x:c>
      <x:c r="C40" t="inlineStr">
        <x:is>
          <x:t xml:space="preserve">P0</x:t>
        </x:is>
      </x:c>
      <x:c r="D40" t="inlineStr">
        <x:is>
          <x:t xml:space="preserve">Not Started</x:t>
        </x:is>
      </x:c>
      <x:c r="G40" t="inlineStr">
        <x:is>
          <x:t xml:space="preserve">G0A/G12</x:t>
        </x:is>
      </x:c>
      <x:c r="H40" s="252" t="n"/>
    </x:row>
    <x:row r="41">
      <x:c r="A41" t="inlineStr">
        <x:is>
          <x:t xml:space="preserve">Legal</x:t>
        </x:is>
      </x:c>
      <x:c r="B41" t="inlineStr">
        <x:is>
          <x:t xml:space="preserve">Corporate footer/legal links and NexusPavilion Inc. attribution reviewed</x:t>
        </x:is>
      </x:c>
      <x:c r="C41" t="inlineStr">
        <x:is>
          <x:t xml:space="preserve">P0</x:t>
        </x:is>
      </x:c>
      <x:c r="D41" t="inlineStr">
        <x:is>
          <x:t xml:space="preserve">Not Started</x:t>
        </x:is>
      </x:c>
      <x:c r="G41" t="inlineStr">
        <x:is>
          <x:t xml:space="preserve">G0A/G12</x:t>
        </x:is>
      </x:c>
      <x:c r="H41" s="252" t="n"/>
    </x:row>
    <x:row r="42">
      <x:c r="A42" t="inlineStr">
        <x:is>
          <x:t xml:space="preserve">Marketing</x:t>
        </x:is>
      </x:c>
      <x:c r="B42" t="inlineStr">
        <x:is>
          <x:t xml:space="preserve">No unreleased product/project is presented as launch-ready</x:t>
        </x:is>
      </x:c>
      <x:c r="C42" t="inlineStr">
        <x:is>
          <x:t xml:space="preserve">P0</x:t>
        </x:is>
      </x:c>
      <x:c r="D42" t="inlineStr">
        <x:is>
          <x:t xml:space="preserve">Not Started</x:t>
        </x:is>
      </x:c>
      <x:c r="G42" t="inlineStr">
        <x:is>
          <x:t xml:space="preserve">G12</x:t>
        </x:is>
      </x:c>
      <x:c r="H42" s="252" t="n"/>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7c37055b99f343f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fda2439808444e8a"/>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9c20e1b954ae4bf5"/>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inlineStr">
        <x:is>
          <x:t xml:space="preserve">Not Started</x:t>
        </x:is>
      </x:c>
      <x:c r="J5" s="133" t="str"/>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inlineStr">
        <x:is>
          <x:t xml:space="preserve">Not Started</x:t>
        </x:is>
      </x:c>
      <x:c r="J6" s="133" t="str"/>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4924858a96a141ba"/>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str">
        <x:f>IF(COUNT(C5:L5)&lt;10,"",C5*0.10+D5*0.15+E5*0.15+F5*0.10+G5*0.10+H5*0.10+I5*0.10+J5*0.10+K5*0.05+L5*0.05)</x:f>
      </x:c>
      <x:c r="N5" s="269" t="n">
        <x:v>9.5</x:v>
      </x:c>
      <x:c r="O5" s="28" t="str">
        <x:f>IF(M5="","Not Scored",IF(AND(B5="Yes",M5&lt;9),"BLOCK",IF(M5&gt;=9.5,"Ready",IF(M5&gt;=9,"Needs Polish","Below Target"))))</x:f>
        <x:v>Not Scored</x:v>
      </x:c>
      <x:c r="P5" s="28" t="str"/>
      <x:c r="Q5" s="28" t="str"/>
      <x:c r="S5" t="inlineStr">
        <x:is>
          <x:t xml:space="preserve">Pages Scored</x:t>
        </x:is>
      </x:c>
      <x:c r="T5" t="n">
        <x:f>COUNT(M5:M27)</x:f>
        <x:v>0</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str">
        <x:f>IF(COUNT(C6:L6)&lt;10,"",C6*0.10+D6*0.15+E6*0.15+F6*0.10+G6*0.10+H6*0.10+I6*0.10+J6*0.10+K6*0.05+L6*0.05)</x:f>
      </x:c>
      <x:c r="N6" s="269" t="n">
        <x:v>9.5</x:v>
      </x:c>
      <x:c r="O6" s="28" t="str">
        <x:f>IF(M6="","Not Scored",IF(AND(B6="Yes",M6&lt;9),"BLOCK",IF(M6&gt;=9.5,"Ready",IF(M6&gt;=9,"Needs Polish","Below Target"))))</x:f>
        <x:v>Not Scored</x:v>
      </x:c>
      <x:c r="P6" s="28" t="str"/>
      <x:c r="Q6" s="28" t="str"/>
      <x:c r="S6" t="inlineStr">
        <x:is>
          <x:t xml:space="preserve">Average Score</x:t>
        </x:is>
      </x:c>
      <x:c r="T6" s="253" t="n">
        <x:f>IFERROR(AVERAGE(M5:M27),0)</x:f>
        <x:v>0</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str">
        <x:f>IF(COUNT(C7:L7)&lt;10,"",C7*0.10+D7*0.15+E7*0.15+F7*0.10+G7*0.10+H7*0.10+I7*0.10+J7*0.10+K7*0.05+L7*0.05)</x:f>
      </x:c>
      <x:c r="N7" s="269" t="n">
        <x:v>9.5</x:v>
      </x:c>
      <x:c r="O7" s="28" t="str">
        <x:f>IF(M7="","Not Scored",IF(AND(B7="Yes",M7&lt;9),"BLOCK",IF(M7&gt;=9.5,"Ready",IF(M7&gt;=9,"Needs Polish","Below Target"))))</x:f>
        <x:v>Not Scored</x:v>
      </x:c>
      <x:c r="P7" s="28" t="str"/>
      <x:c r="Q7" s="28" t="str"/>
      <x:c r="S7" t="inlineStr">
        <x:is>
          <x:t xml:space="preserve">Critical Below 9.0</x:t>
        </x:is>
      </x:c>
      <x:c r="T7" s="253" t="n">
        <x:f>COUNTIFS(B5:B27,"Yes",M5:M27,"&lt;9",M5:M27,"&gt;0")</x:f>
        <x:v>0</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str">
        <x:f>IF(COUNT(C8:L8)&lt;10,"",C8*0.10+D8*0.15+E8*0.15+F8*0.10+G8*0.10+H8*0.10+I8*0.10+J8*0.10+K8*0.05+L8*0.05)</x:f>
      </x:c>
      <x:c r="N8" s="269" t="n">
        <x:v>9.5</x:v>
      </x:c>
      <x:c r="O8" s="28" t="str">
        <x:f>IF(M8="","Not Scored",IF(AND(B8="Yes",M8&lt;9),"BLOCK",IF(M8&gt;=9.5,"Ready",IF(M8&gt;=9,"Needs Polish","Below Target"))))</x:f>
        <x:v>Not Scored</x:v>
      </x:c>
      <x:c r="P8" s="28" t="str"/>
      <x:c r="Q8" s="28" t="str"/>
      <x:c r="S8" t="inlineStr">
        <x:is>
          <x:t xml:space="preserve">Pages Ready ≥9.5</x:t>
        </x:is>
      </x:c>
      <x:c r="T8" s="253" t="n">
        <x:f>COUNTIF(O5:O27,"Ready")</x:f>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str">
        <x:f>IF(COUNT(C9:L9)&lt;10,"",C9*0.10+D9*0.15+E9*0.15+F9*0.10+G9*0.10+H9*0.10+I9*0.10+J9*0.10+K9*0.05+L9*0.05)</x:f>
      </x:c>
      <x:c r="N9" s="269" t="n">
        <x:v>9.5</x:v>
      </x:c>
      <x:c r="O9" s="28" t="str">
        <x:f>IF(M9="","Not Scored",IF(AND(B9="Yes",M9&lt;9),"BLOCK",IF(M9&gt;=9.5,"Ready",IF(M9&gt;=9,"Needs Polish","Below Target"))))</x:f>
        <x:v>Not Scored</x:v>
      </x:c>
      <x:c r="P9" s="28" t="str"/>
      <x:c r="Q9" s="28" t="str"/>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str">
        <x:f>IF(COUNT(C10:L10)&lt;10,"",C10*0.10+D10*0.15+E10*0.15+F10*0.10+G10*0.10+H10*0.10+I10*0.10+J10*0.10+K10*0.05+L10*0.05)</x:f>
      </x:c>
      <x:c r="N10" s="269" t="n">
        <x:v>9.5</x:v>
      </x:c>
      <x:c r="O10" s="28" t="str">
        <x:f>IF(M10="","Not Scored",IF(AND(B10="Yes",M10&lt;9),"BLOCK",IF(M10&gt;=9.5,"Ready",IF(M10&gt;=9,"Needs Polish","Below Target"))))</x:f>
        <x:v>Not Scored</x:v>
      </x:c>
      <x:c r="P10" s="28" t="str"/>
      <x:c r="Q10" s="28" t="str"/>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t="str">
        <x:f>IF(COUNT(C11:L11)&lt;10,"",C11*0.10+D11*0.15+E11*0.15+F11*0.10+G11*0.10+H11*0.10+I11*0.10+J11*0.10+K11*0.05+L11*0.05)</x:f>
      </x:c>
      <x:c r="N11" s="269" t="n">
        <x:v>9.5</x:v>
      </x:c>
      <x:c r="O11" s="28" t="str">
        <x:f>IF(M11="","Not Scored",IF(AND(B11="Yes",M11&lt;9),"BLOCK",IF(M11&gt;=9.5,"Ready",IF(M11&gt;=9,"Needs Polish","Below Target"))))</x:f>
        <x:v>Not Scored</x:v>
      </x:c>
      <x:c r="P11" s="28" t="str"/>
      <x:c r="Q11" s="28" t="str"/>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t="str">
        <x:f>IF(COUNT(C12:L12)&lt;10,"",C12*0.10+D12*0.15+E12*0.15+F12*0.10+G12*0.10+H12*0.10+I12*0.10+J12*0.10+K12*0.05+L12*0.05)</x:f>
      </x:c>
      <x:c r="N12" s="269" t="n">
        <x:v>9.5</x:v>
      </x:c>
      <x:c r="O12" s="28" t="str">
        <x:f>IF(M12="","Not Scored",IF(AND(B12="Yes",M12&lt;9),"BLOCK",IF(M12&gt;=9.5,"Ready",IF(M12&gt;=9,"Needs Polish","Below Target"))))</x:f>
        <x:v>Not Scored</x:v>
      </x:c>
      <x:c r="P12" s="28" t="str"/>
      <x:c r="Q12" s="28" t="str"/>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t="str">
        <x:f>IF(COUNT(C13:L13)&lt;10,"",C13*0.10+D13*0.15+E13*0.15+F13*0.10+G13*0.10+H13*0.10+I13*0.10+J13*0.10+K13*0.05+L13*0.05)</x:f>
      </x:c>
      <x:c r="N13" s="269" t="n">
        <x:v>9.5</x:v>
      </x:c>
      <x:c r="O13" s="28" t="str">
        <x:f>IF(M13="","Not Scored",IF(AND(B13="Yes",M13&lt;9),"BLOCK",IF(M13&gt;=9.5,"Ready",IF(M13&gt;=9,"Needs Polish","Below Target"))))</x:f>
        <x:v>Not Scored</x:v>
      </x:c>
      <x:c r="P13" s="28" t="str"/>
      <x:c r="Q13" s="28" t="str"/>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t="str">
        <x:f>IF(COUNT(C14:L14)&lt;10,"",C14*0.10+D14*0.15+E14*0.15+F14*0.10+G14*0.10+H14*0.10+I14*0.10+J14*0.10+K14*0.05+L14*0.05)</x:f>
      </x:c>
      <x:c r="N14" s="269" t="n">
        <x:v>9.5</x:v>
      </x:c>
      <x:c r="O14" s="28" t="str">
        <x:f>IF(M14="","Not Scored",IF(AND(B14="Yes",M14&lt;9),"BLOCK",IF(M14&gt;=9.5,"Ready",IF(M14&gt;=9,"Needs Polish","Below Target"))))</x:f>
        <x:v>Not Scored</x:v>
      </x:c>
      <x:c r="P14" s="28" t="str"/>
      <x:c r="Q14" s="28" t="str"/>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str">
        <x:f>IF(COUNT(C15:L15)&lt;10,"",C15*0.10+D15*0.15+E15*0.15+F15*0.10+G15*0.10+H15*0.10+I15*0.10+J15*0.10+K15*0.05+L15*0.05)</x:f>
      </x:c>
      <x:c r="N15" s="269" t="n">
        <x:v>9.5</x:v>
      </x:c>
      <x:c r="O15" s="28" t="str">
        <x:f>IF(M15="","Not Scored",IF(AND(B15="Yes",M15&lt;9),"BLOCK",IF(M15&gt;=9.5,"Ready",IF(M15&gt;=9,"Needs Polish","Below Target"))))</x:f>
        <x:v>Not Scored</x:v>
      </x:c>
      <x:c r="P15" s="28" t="str"/>
      <x:c r="Q15" s="28" t="str"/>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str">
        <x:f>IF(COUNT(C16:L16)&lt;10,"",C16*0.10+D16*0.15+E16*0.15+F16*0.10+G16*0.10+H16*0.10+I16*0.10+J16*0.10+K16*0.05+L16*0.05)</x:f>
      </x:c>
      <x:c r="N16" s="269" t="n">
        <x:v>9.5</x:v>
      </x:c>
      <x:c r="O16" s="28" t="str">
        <x:f>IF(M16="","Not Scored",IF(AND(B16="Yes",M16&lt;9),"BLOCK",IF(M16&gt;=9.5,"Ready",IF(M16&gt;=9,"Needs Polish","Below Target"))))</x:f>
        <x:v>Not Scored</x:v>
      </x:c>
      <x:c r="P16" s="28" t="str"/>
      <x:c r="Q16" s="28" t="str"/>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t="str">
        <x:f>IF(COUNT(C17:L17)&lt;10,"",C17*0.10+D17*0.15+E17*0.15+F17*0.10+G17*0.10+H17*0.10+I17*0.10+J17*0.10+K17*0.05+L17*0.05)</x:f>
      </x:c>
      <x:c r="N17" s="269" t="n">
        <x:v>9.5</x:v>
      </x:c>
      <x:c r="O17" s="28" t="str">
        <x:f>IF(M17="","Not Scored",IF(AND(B17="Yes",M17&lt;9),"BLOCK",IF(M17&gt;=9.5,"Ready",IF(M17&gt;=9,"Needs Polish","Below Target"))))</x:f>
        <x:v>Not Scored</x:v>
      </x:c>
      <x:c r="P17" s="28" t="str"/>
      <x:c r="Q17" s="28" t="str"/>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str">
        <x:f>IF(COUNT(C18:L18)&lt;10,"",C18*0.10+D18*0.15+E18*0.15+F18*0.10+G18*0.10+H18*0.10+I18*0.10+J18*0.10+K18*0.05+L18*0.05)</x:f>
      </x:c>
      <x:c r="N18" s="269" t="n">
        <x:v>9.5</x:v>
      </x:c>
      <x:c r="O18" s="28" t="str">
        <x:f>IF(M18="","Not Scored",IF(AND(B18="Yes",M18&lt;9),"BLOCK",IF(M18&gt;=9.5,"Ready",IF(M18&gt;=9,"Needs Polish","Below Target"))))</x:f>
        <x:v>Not Scored</x:v>
      </x:c>
      <x:c r="P18" s="28" t="str"/>
      <x:c r="Q18" s="28" t="str"/>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t="str">
        <x:f>IF(COUNT(C19:L19)&lt;10,"",C19*0.10+D19*0.15+E19*0.15+F19*0.10+G19*0.10+H19*0.10+I19*0.10+J19*0.10+K19*0.05+L19*0.05)</x:f>
      </x:c>
      <x:c r="N19" s="269" t="n">
        <x:v>9.5</x:v>
      </x:c>
      <x:c r="O19" s="28" t="str">
        <x:f>IF(M19="","Not Scored",IF(AND(B19="Yes",M19&lt;9),"BLOCK",IF(M19&gt;=9.5,"Ready",IF(M19&gt;=9,"Needs Polish","Below Target"))))</x:f>
        <x:v>Not Scored</x:v>
      </x:c>
      <x:c r="P19" s="28" t="str"/>
      <x:c r="Q19" s="28" t="str"/>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t="str">
        <x:f>IF(COUNT(C20:L20)&lt;10,"",C20*0.10+D20*0.15+E20*0.15+F20*0.10+G20*0.10+H20*0.10+I20*0.10+J20*0.10+K20*0.05+L20*0.05)</x:f>
      </x:c>
      <x:c r="N20" s="269" t="n">
        <x:v>9.5</x:v>
      </x:c>
      <x:c r="O20" s="28" t="str">
        <x:f>IF(M20="","Not Scored",IF(AND(B20="Yes",M20&lt;9),"BLOCK",IF(M20&gt;=9.5,"Ready",IF(M20&gt;=9,"Needs Polish","Below Target"))))</x:f>
        <x:v>Not Scored</x:v>
      </x:c>
      <x:c r="P20" s="28" t="str"/>
      <x:c r="Q20" s="28" t="str"/>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t="str">
        <x:f>IF(COUNT(C21:L21)&lt;10,"",C21*0.10+D21*0.15+E21*0.15+F21*0.10+G21*0.10+H21*0.10+I21*0.10+J21*0.10+K21*0.05+L21*0.05)</x:f>
      </x:c>
      <x:c r="N21" s="269" t="n">
        <x:v>9.5</x:v>
      </x:c>
      <x:c r="O21" s="28" t="str">
        <x:f>IF(M21="","Not Scored",IF(AND(B21="Yes",M21&lt;9),"BLOCK",IF(M21&gt;=9.5,"Ready",IF(M21&gt;=9,"Needs Polish","Below Target"))))</x:f>
        <x:v>Not Scored</x:v>
      </x:c>
      <x:c r="P21" s="28" t="str"/>
      <x:c r="Q21" s="28" t="str"/>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t="str">
        <x:f>IF(COUNT(C22:L22)&lt;10,"",C22*0.10+D22*0.15+E22*0.15+F22*0.10+G22*0.10+H22*0.10+I22*0.10+J22*0.10+K22*0.05+L22*0.05)</x:f>
      </x:c>
      <x:c r="N22" s="269" t="n">
        <x:v>9.5</x:v>
      </x:c>
      <x:c r="O22" s="28" t="str">
        <x:f>IF(M22="","Not Scored",IF(AND(B22="Yes",M22&lt;9),"BLOCK",IF(M22&gt;=9.5,"Ready",IF(M22&gt;=9,"Needs Polish","Below Target"))))</x:f>
        <x:v>Not Scored</x:v>
      </x:c>
      <x:c r="P22" s="28" t="str"/>
      <x:c r="Q22" s="28" t="str"/>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t="str">
        <x:f>IF(COUNT(C23:L23)&lt;10,"",C23*0.10+D23*0.15+E23*0.15+F23*0.10+G23*0.10+H23*0.10+I23*0.10+J23*0.10+K23*0.05+L23*0.05)</x:f>
      </x:c>
      <x:c r="N23" s="269" t="n">
        <x:v>9.5</x:v>
      </x:c>
      <x:c r="O23" s="28" t="str">
        <x:f>IF(M23="","Not Scored",IF(AND(B23="Yes",M23&lt;9),"BLOCK",IF(M23&gt;=9.5,"Ready",IF(M23&gt;=9,"Needs Polish","Below Target"))))</x:f>
        <x:v>Not Scored</x:v>
      </x:c>
      <x:c r="P23" s="28" t="str"/>
      <x:c r="Q23" s="28" t="str"/>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t="str">
        <x:f>IF(COUNT(C24:L24)&lt;10,"",C24*0.10+D24*0.15+E24*0.15+F24*0.10+G24*0.10+H24*0.10+I24*0.10+J24*0.10+K24*0.05+L24*0.05)</x:f>
      </x:c>
      <x:c r="N24" s="269" t="n">
        <x:v>9.5</x:v>
      </x:c>
      <x:c r="O24" s="28" t="str">
        <x:f>IF(M24="","Not Scored",IF(AND(B24="Yes",M24&lt;9),"BLOCK",IF(M24&gt;=9.5,"Ready",IF(M24&gt;=9,"Needs Polish","Below Target"))))</x:f>
        <x:v>Not Scored</x:v>
      </x:c>
      <x:c r="P24" s="28" t="str"/>
      <x:c r="Q24" s="28" t="str"/>
    </x:row>
    <x:row r="25">
      <x:c r="A25" t="inlineStr">
        <x:is>
          <x:t xml:space="preserve">NexusPavilion Inc. Corporate Home</x:t>
        </x:is>
      </x:c>
      <x:c r="B25" t="inlineStr">
        <x:is>
          <x:t xml:space="preserve">Yes</x:t>
        </x:is>
      </x:c>
      <x:c r="M25" s="253" t="str">
        <x:f>IF(COUNT(C25:L25)&lt;10,"",C25*0.10+D25*0.15+E25*0.15+F25*0.10+G25*0.10+H25*0.10+I25*0.10+J25*0.10+K25*0.05+L25*0.05)</x:f>
      </x:c>
      <x:c r="N25" s="253" t="n">
        <x:v>9.5</x:v>
      </x:c>
      <x:c r="O25" t="str">
        <x:f>IF(M25="","Not Scored",IF(AND(B25="Yes",M25&lt;9),"BLOCK",IF(M25&gt;=9.5,"Ready",IF(M25&gt;=9,"Needs Polish","Below Target"))))</x:f>
        <x:v>Not Scored</x:v>
      </x:c>
    </x:row>
    <x:row r="26">
      <x:c r="A26" t="inlineStr">
        <x:is>
          <x:t xml:space="preserve">Intelligent Procurement Product Landing</x:t>
        </x:is>
      </x:c>
      <x:c r="B26" t="inlineStr">
        <x:is>
          <x:t xml:space="preserve">Yes</x:t>
        </x:is>
      </x:c>
      <x:c r="M26" s="253" t="str">
        <x:f>IF(COUNT(C26:L26)&lt;10,"",C26*0.10+D26*0.15+E26*0.15+F26*0.10+G26*0.10+H26*0.10+I26*0.10+J26*0.10+K26*0.05+L26*0.05)</x:f>
      </x:c>
      <x:c r="N26" s="253" t="n">
        <x:v>9.5</x:v>
      </x:c>
      <x:c r="O26" t="str">
        <x:f>IF(M26="","Not Scored",IF(AND(B26="Yes",M26&lt;9),"BLOCK",IF(M26&gt;=9.5,"Ready",IF(M26&gt;=9,"Needs Polish","Below Target"))))</x:f>
        <x:v>Not Scored</x:v>
      </x:c>
    </x:row>
    <x:row r="27">
      <x:c r="A27" t="inlineStr">
        <x:is>
          <x:t xml:space="preserve">Product Entry / Authentication</x:t>
        </x:is>
      </x:c>
      <x:c r="B27" t="inlineStr">
        <x:is>
          <x:t xml:space="preserve">Yes</x:t>
        </x:is>
      </x:c>
      <x:c r="M27" s="253" t="str">
        <x:f>IF(COUNT(C27:L27)&lt;10,"",C27*0.10+D27*0.15+E27*0.15+F27*0.10+G27*0.10+H27*0.10+I27*0.10+J27*0.10+K27*0.05+L27*0.05)</x:f>
      </x:c>
      <x:c r="N27" s="253" t="n">
        <x:v>9.5</x:v>
      </x:c>
      <x:c r="O27" t="str">
        <x:f>IF(M27="","Not Scored",IF(AND(B27="Yes",M27&lt;9),"BLOCK",IF(M27&gt;=9.5,"Ready",IF(M27&gt;=9,"Needs Polish","Below Target"))))</x:f>
        <x:v>Not Scored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0bc2a10205b745a0"/>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e14ec1fe83444d45"/>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3f2fe4339e5a4de0"/>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