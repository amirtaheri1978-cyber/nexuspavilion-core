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9904372b9c94ca4" /></Relationships>
</file>

<file path=xl/workbook.xml><?xml version="1.0" encoding="utf-8"?>
<x:workbook xmlns:x="http://schemas.openxmlformats.org/spreadsheetml/2006/main">
  <x:sheets>
    <x:sheet xmlns:r="http://schemas.openxmlformats.org/officeDocument/2006/relationships" name="01 Master Plan" sheetId="1" r:id="R41e45b1f9d5149ca"/>
    <x:sheet xmlns:r="http://schemas.openxmlformats.org/officeDocument/2006/relationships" name="03 Launch Gates" sheetId="2" r:id="Re5c6e2f15dab4c09"/>
    <x:sheet xmlns:r="http://schemas.openxmlformats.org/officeDocument/2006/relationships" name="00 Dashboard" sheetId="3" r:id="R25d64380cecc4bcb"/>
    <x:sheet xmlns:r="http://schemas.openxmlformats.org/officeDocument/2006/relationships" name="04 Cursor Tasks" sheetId="4" r:id="Rebe2fdf1ee9f4778"/>
    <x:sheet xmlns:r="http://schemas.openxmlformats.org/officeDocument/2006/relationships" name="05 UAT Matrix" sheetId="5" r:id="R6c2abf6d18f74ace"/>
    <x:sheet xmlns:r="http://schemas.openxmlformats.org/officeDocument/2006/relationships" name="06 Security Matrix" sheetId="6" r:id="Re7b90fa0be974333"/>
    <x:sheet xmlns:r="http://schemas.openxmlformats.org/officeDocument/2006/relationships" name="07 Risks" sheetId="7" r:id="R0b1036e2f5ca4057"/>
    <x:sheet xmlns:r="http://schemas.openxmlformats.org/officeDocument/2006/relationships" name="08 Architecture" sheetId="8" r:id="R41c43eeb1ca14d9b"/>
    <x:sheet xmlns:r="http://schemas.openxmlformats.org/officeDocument/2006/relationships" name="09 Release Checklist" sheetId="9" r:id="R26c2967f8abe4c69"/>
    <x:sheet xmlns:r="http://schemas.openxmlformats.org/officeDocument/2006/relationships" name="10 Change Log" sheetId="10" r:id="R0d3278c760134620"/>
    <x:sheet xmlns:r="http://schemas.openxmlformats.org/officeDocument/2006/relationships" name="11 Scope &amp; Roadmap" sheetId="11" r:id="R0a6bf40a86ea4bc6"/>
    <x:sheet xmlns:r="http://schemas.openxmlformats.org/officeDocument/2006/relationships" name="12 How to Use" sheetId="12" r:id="Re088036516ac4036"/>
    <x:sheet xmlns:r="http://schemas.openxmlformats.org/officeDocument/2006/relationships" name="13 UI Program" sheetId="13" r:id="R98b030da1bfa4c60"/>
    <x:sheet xmlns:r="http://schemas.openxmlformats.org/officeDocument/2006/relationships" name="14 UI Scorecard" sheetId="14" r:id="R12c9ded5d2794191"/>
    <x:sheet xmlns:r="http://schemas.openxmlformats.org/officeDocument/2006/relationships" name="15 Motion Guidance" sheetId="15" r:id="R0e3818fa0cc34165"/>
    <x:sheet xmlns:r="http://schemas.openxmlformats.org/officeDocument/2006/relationships" name="16 Design Standards" sheetId="16" r:id="R4ca8f604dfcc4e31"/>
    <x:sheet xmlns:r="http://schemas.openxmlformats.org/officeDocument/2006/relationships" name="17 Corporate Platform" sheetId="17" r:id="R7b39435bf24547db"/>
    <x:sheet xmlns:r="http://schemas.openxmlformats.org/officeDocument/2006/relationships" name="18 Analytics Reuse Map" sheetId="18" r:id="R599ae0264b784b98"/>
    <x:sheet xmlns:r="http://schemas.openxmlformats.org/officeDocument/2006/relationships" name="19 Executive Insights Discovery" sheetId="19" r:id="R01735a5dd2f64227"/>
    <x:sheet xmlns:r="http://schemas.openxmlformats.org/officeDocument/2006/relationships" name="20 Procurement Insights Discovery" sheetId="20" r:id="Rdaa7d0188cbe4c9f"/>
    <x:sheet xmlns:r="http://schemas.openxmlformats.org/officeDocument/2006/relationships" name="21 Commercial Insights Discovery" sheetId="21" r:id="R40a3c13fab224d01"/>
    <x:sheet xmlns:r="http://schemas.openxmlformats.org/officeDocument/2006/relationships" name="22 Project Insights Discovery" sheetId="22" r:id="Ra1e4ef11ecd74c7e"/>
    <x:sheet xmlns:r="http://schemas.openxmlformats.org/officeDocument/2006/relationships" name="23 Performance Discovery" sheetId="23" r:id="Rc7c9da0600674678"/>
    <x:sheet xmlns:r="http://schemas.openxmlformats.org/officeDocument/2006/relationships" name="24 Risk Compliance Discovery" sheetId="24" r:id="R470e72c0d8c440f3"/>
    <x:sheet xmlns:r="http://schemas.openxmlformats.org/officeDocument/2006/relationships" name="25 Commercial Handoff" sheetId="25" r:id="Ra4fdbbfd2fe9420e"/>
    <x:sheet xmlns:r="http://schemas.openxmlformats.org/officeDocument/2006/relationships" name="26 RFQ Governance" sheetId="26" r:id="Rc4938976d1b14a6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fee2b085e234c75" /><Relationship Type="http://schemas.openxmlformats.org/officeDocument/2006/relationships/theme" Target="/xl/theme/theme1.xml" Id="R25896677b9f44dba" /><Relationship Type="http://schemas.openxmlformats.org/officeDocument/2006/relationships/sharedStrings" Target="/xl/sharedStrings.xml" Id="R7b1342f65d6e4f2d" /><Relationship Type="http://schemas.openxmlformats.org/officeDocument/2006/relationships/worksheet" Target="/xl/worksheets/sheet1.xml" Id="R41e45b1f9d5149ca" /><Relationship Type="http://schemas.openxmlformats.org/officeDocument/2006/relationships/worksheet" Target="/xl/worksheets/sheet2.xml" Id="Re5c6e2f15dab4c09" /><Relationship Type="http://schemas.openxmlformats.org/officeDocument/2006/relationships/worksheet" Target="/xl/worksheets/sheet3.xml" Id="R25d64380cecc4bcb" /><Relationship Type="http://schemas.openxmlformats.org/officeDocument/2006/relationships/worksheet" Target="/xl/worksheets/sheet4.xml" Id="Rebe2fdf1ee9f4778" /><Relationship Type="http://schemas.openxmlformats.org/officeDocument/2006/relationships/worksheet" Target="/xl/worksheets/sheet5.xml" Id="R6c2abf6d18f74ace" /><Relationship Type="http://schemas.openxmlformats.org/officeDocument/2006/relationships/worksheet" Target="/xl/worksheets/sheet6.xml" Id="Re7b90fa0be974333" /><Relationship Type="http://schemas.openxmlformats.org/officeDocument/2006/relationships/worksheet" Target="/xl/worksheets/sheet7.xml" Id="R0b1036e2f5ca4057" /><Relationship Type="http://schemas.openxmlformats.org/officeDocument/2006/relationships/worksheet" Target="/xl/worksheets/sheet8.xml" Id="R41c43eeb1ca14d9b" /><Relationship Type="http://schemas.openxmlformats.org/officeDocument/2006/relationships/worksheet" Target="/xl/worksheets/sheet9.xml" Id="R26c2967f8abe4c69" /><Relationship Type="http://schemas.openxmlformats.org/officeDocument/2006/relationships/worksheet" Target="/xl/worksheets/sheet10.xml" Id="R0d3278c760134620" /><Relationship Type="http://schemas.openxmlformats.org/officeDocument/2006/relationships/worksheet" Target="/xl/worksheets/sheet11.xml" Id="R0a6bf40a86ea4bc6" /><Relationship Type="http://schemas.openxmlformats.org/officeDocument/2006/relationships/worksheet" Target="/xl/worksheets/sheet12.xml" Id="Re088036516ac4036" /><Relationship Type="http://schemas.openxmlformats.org/officeDocument/2006/relationships/worksheet" Target="/xl/worksheets/sheet13.xml" Id="R98b030da1bfa4c60" /><Relationship Type="http://schemas.openxmlformats.org/officeDocument/2006/relationships/worksheet" Target="/xl/worksheets/sheet14.xml" Id="R12c9ded5d2794191" /><Relationship Type="http://schemas.openxmlformats.org/officeDocument/2006/relationships/worksheet" Target="/xl/worksheets/sheet15.xml" Id="R0e3818fa0cc34165" /><Relationship Type="http://schemas.openxmlformats.org/officeDocument/2006/relationships/worksheet" Target="/xl/worksheets/sheet16.xml" Id="R4ca8f604dfcc4e31" /><Relationship Type="http://schemas.openxmlformats.org/officeDocument/2006/relationships/worksheet" Target="/xl/worksheets/sheet17.xml" Id="R7b39435bf24547db" /><Relationship Type="http://schemas.openxmlformats.org/officeDocument/2006/relationships/worksheet" Target="/xl/worksheets/sheet18.xml" Id="R599ae0264b784b98" /><Relationship Type="http://schemas.openxmlformats.org/officeDocument/2006/relationships/worksheet" Target="/xl/worksheets/sheet19.xml" Id="R01735a5dd2f64227" /><Relationship Type="http://schemas.openxmlformats.org/officeDocument/2006/relationships/worksheet" Target="/xl/worksheets/sheet20.xml" Id="Rdaa7d0188cbe4c9f" /><Relationship Type="http://schemas.openxmlformats.org/officeDocument/2006/relationships/worksheet" Target="/xl/worksheets/sheet21.xml" Id="R40a3c13fab224d01" /><Relationship Type="http://schemas.openxmlformats.org/officeDocument/2006/relationships/worksheet" Target="/xl/worksheets/sheet22.xml" Id="Ra1e4ef11ecd74c7e" /><Relationship Type="http://schemas.openxmlformats.org/officeDocument/2006/relationships/worksheet" Target="/xl/worksheets/sheet23.xml" Id="Rc7c9da0600674678" /><Relationship Type="http://schemas.openxmlformats.org/officeDocument/2006/relationships/worksheet" Target="/xl/worksheets/sheet24.xml" Id="R470e72c0d8c440f3" /><Relationship Type="http://schemas.openxmlformats.org/officeDocument/2006/relationships/worksheet" Target="/xl/worksheets/sheet25.xml" Id="Ra4fdbbfd2fe9420e" /><Relationship Type="http://schemas.openxmlformats.org/officeDocument/2006/relationships/worksheet" Target="/xl/worksheets/sheet26.xml" Id="Rc4938976d1b14a63" /></Relationships>
</file>

<file path=xl/drawings/_rels/drawing1.xml.rels>&#65279;<?xml version="1.0" encoding="utf-8"?><Relationships xmlns="http://schemas.openxmlformats.org/package/2006/relationships"><Relationship Type="http://schemas.openxmlformats.org/officeDocument/2006/relationships/chart" Target="/xl/drawings/charts/chart1.xml" Id="Rfcef6ba360c34d7b"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cef6ba360c34d7b"/>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9fd9328b8a34dbb" /></Relationships>
</file>

<file path=xl/worksheets/_rels/sheet2.xml.rels>&#65279;<?xml version="1.0" encoding="utf-8"?><Relationships xmlns="http://schemas.openxmlformats.org/package/2006/relationships"><Relationship Type="http://schemas.openxmlformats.org/officeDocument/2006/relationships/table" Target="/xl/tables/table2.xml" Id="R06a1de16c5ad4bc0" /></Relationships>
</file>

<file path=xl/worksheets/_rels/sheet3.xml.rels>&#65279;<?xml version="1.0" encoding="utf-8"?><Relationships xmlns="http://schemas.openxmlformats.org/package/2006/relationships"><Relationship Type="http://schemas.openxmlformats.org/officeDocument/2006/relationships/drawing" Target="/xl/drawings/drawing1.xml" Id="R92e66b9a19aa4187" /></Relationships>
</file>

<file path=xl/worksheets/_rels/sheet4.xml.rels>&#65279;<?xml version="1.0" encoding="utf-8"?><Relationships xmlns="http://schemas.openxmlformats.org/package/2006/relationships"><Relationship Type="http://schemas.openxmlformats.org/officeDocument/2006/relationships/table" Target="/xl/tables/table3.xml" Id="R381c1ad07332460e" /></Relationships>
</file>

<file path=xl/worksheets/_rels/sheet5.xml.rels>&#65279;<?xml version="1.0" encoding="utf-8"?><Relationships xmlns="http://schemas.openxmlformats.org/package/2006/relationships"><Relationship Type="http://schemas.openxmlformats.org/officeDocument/2006/relationships/table" Target="/xl/tables/table4.xml" Id="Ra21ecc56abd24aeb" /></Relationships>
</file>

<file path=xl/worksheets/_rels/sheet6.xml.rels>&#65279;<?xml version="1.0" encoding="utf-8"?><Relationships xmlns="http://schemas.openxmlformats.org/package/2006/relationships"><Relationship Type="http://schemas.openxmlformats.org/officeDocument/2006/relationships/table" Target="/xl/tables/table5.xml" Id="R9cb7808d319e439b" /></Relationships>
</file>

<file path=xl/worksheets/_rels/sheet7.xml.rels>&#65279;<?xml version="1.0" encoding="utf-8"?><Relationships xmlns="http://schemas.openxmlformats.org/package/2006/relationships"><Relationship Type="http://schemas.openxmlformats.org/officeDocument/2006/relationships/table" Target="/xl/tables/table6.xml" Id="R69eb37a8be434085" /></Relationships>
</file>

<file path=xl/worksheets/_rels/sheet9.xml.rels>&#65279;<?xml version="1.0" encoding="utf-8"?><Relationships xmlns="http://schemas.openxmlformats.org/package/2006/relationships"><Relationship Type="http://schemas.openxmlformats.org/officeDocument/2006/relationships/table" Target="/xl/tables/table7.xml" Id="Rb182dd40993f4d48" /></Relationships>
</file>

<file path=xl/worksheets/_rels/sheet10.xml.rels>&#65279;<?xml version="1.0" encoding="utf-8"?><Relationships xmlns="http://schemas.openxmlformats.org/package/2006/relationships"><Relationship Type="http://schemas.openxmlformats.org/officeDocument/2006/relationships/table" Target="/xl/tables/table8.xml" Id="R808b088224fa46b6" /></Relationships>
</file>

<file path=xl/worksheets/_rels/sheet11.xml.rels>&#65279;<?xml version="1.0" encoding="utf-8"?><Relationships xmlns="http://schemas.openxmlformats.org/package/2006/relationships"><Relationship Type="http://schemas.openxmlformats.org/officeDocument/2006/relationships/table" Target="/xl/tables/table9.xml" Id="R481df78b27114325" /></Relationships>
</file>

<file path=xl/worksheets/_rels/sheet13.xml.rels>&#65279;<?xml version="1.0" encoding="utf-8"?><Relationships xmlns="http://schemas.openxmlformats.org/package/2006/relationships"><Relationship Type="http://schemas.openxmlformats.org/officeDocument/2006/relationships/table" Target="/xl/tables/table10.xml" Id="Rb1e83e3d0c4e4852" /></Relationships>
</file>

<file path=xl/worksheets/_rels/sheet14.xml.rels>&#65279;<?xml version="1.0" encoding="utf-8"?><Relationships xmlns="http://schemas.openxmlformats.org/package/2006/relationships"><Relationship Type="http://schemas.openxmlformats.org/officeDocument/2006/relationships/table" Target="/xl/tables/table11.xml" Id="Rd5f6d93d05f049e6" /></Relationships>
</file>

<file path=xl/worksheets/_rels/sheet15.xml.rels>&#65279;<?xml version="1.0" encoding="utf-8"?><Relationships xmlns="http://schemas.openxmlformats.org/package/2006/relationships"><Relationship Type="http://schemas.openxmlformats.org/officeDocument/2006/relationships/table" Target="/xl/tables/table12.xml" Id="R1a16e26d23034fb6" /></Relationships>
</file>

<file path=xl/worksheets/_rels/sheet16.xml.rels>&#65279;<?xml version="1.0" encoding="utf-8"?><Relationships xmlns="http://schemas.openxmlformats.org/package/2006/relationships"><Relationship Type="http://schemas.openxmlformats.org/officeDocument/2006/relationships/table" Target="/xl/tables/table13.xml" Id="R7f39f7a5921b4353"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09fd9328b8a34dbb"/>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Phase 21 / 21-02 is also CLOSED by evidence reconciliation: post-Phase-18 change impact was reviewed, the only material auth/onboarding change (bc09262...) is bounded and focused-tested, and no accepted critical procurement-journey evidence was invalidated. G13 is still not complete because Release Candidate build/tests, remaining independent launch gates/checklist evidence, known-risk/deferral acceptance, monitoring/watch plan and explicit Production Go/No-Go approval remain outstanding.</x:v>
      </x:c>
      <x:c r="G18" s="294" t="n">
        <x:v>46294</x:v>
      </x:c>
      <x:c r="H18" s="34" t="str">
        <x:v>21-02 Production UAT reconciliation complete; no full UAT rerun required. Keep G13 BLOCKED until 21-03 RC build/tests, remaining independent gate evidence, risk/deferral acceptance, watch-plan readiness and explicit Production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6a1de16c5ad4bc0"/>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246</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0.670299727520436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2</x:v>
      </x:c>
      <x:c r="C54" s="28" t="n">
        <x:f>COUNTIFS('01 Master Plan'!C$5:C$383,A54,'01 Master Plan'!H$5:H$383,"In Progress")</x:f>
        <x:v>0</x:v>
      </x:c>
      <x:c r="D54" s="28" t="n">
        <x:f>COUNTIFS('01 Master Plan'!C$5:C$383,A54,'01 Master Plan'!H$5:H$383,"Not Started")</x:f>
        <x:v>4</x:v>
      </x:c>
      <x:c r="E54" s="28" t="n">
        <x:f>COUNTIFS('01 Master Plan'!C$5:C$383,A54,'01 Master Plan'!H$5:H$383,"Blocked")</x:f>
        <x:v>0</x:v>
      </x:c>
      <x:c r="F54" s="28" t="n">
        <x:f>COUNTIFS('01 Master Plan'!C$5:C$383,A54,'01 Master Plan'!H$5:H$383,"Deferred")</x:f>
        <x:v>0</x:v>
      </x:c>
      <x:c r="G54" s="258" t="n">
        <x:f>IFERROR(B54/(B54+C54+D54+E54),0)</x:f>
        <x:v>0.3333333333333333</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92e66b9a19aa4187"/>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81c1ad07332460e"/>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21ecc56abd24aeb"/>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9cb7808d319e439b"/>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9eb37a8be434085"/>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b182dd40993f4d48"/>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808b088224fa46b6"/>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481df78b2711432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1e83e3d0c4e4852"/>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d5f6d93d05f049e6"/>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1a16e26d23034fb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f39f7a5921b4353"/>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