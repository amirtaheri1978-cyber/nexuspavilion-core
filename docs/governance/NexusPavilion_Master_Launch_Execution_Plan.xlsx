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ff096628474ba6" /></Relationships>
</file>

<file path=xl/workbook.xml><?xml version="1.0" encoding="utf-8"?>
<x:workbook xmlns:x="http://schemas.openxmlformats.org/spreadsheetml/2006/main">
  <x:sheets>
    <x:sheet xmlns:r="http://schemas.openxmlformats.org/officeDocument/2006/relationships" name="01 Master Plan" sheetId="1" r:id="R8a8af1bdad91456c"/>
    <x:sheet xmlns:r="http://schemas.openxmlformats.org/officeDocument/2006/relationships" name="03 Launch Gates" sheetId="2" r:id="R2f80880d58764574"/>
    <x:sheet xmlns:r="http://schemas.openxmlformats.org/officeDocument/2006/relationships" name="00 Dashboard" sheetId="3" r:id="R8d991004c3e64131"/>
    <x:sheet xmlns:r="http://schemas.openxmlformats.org/officeDocument/2006/relationships" name="04 Cursor Tasks" sheetId="4" r:id="Rf600efd1db364098"/>
    <x:sheet xmlns:r="http://schemas.openxmlformats.org/officeDocument/2006/relationships" name="05 UAT Matrix" sheetId="5" r:id="R8411da0880dc4c86"/>
    <x:sheet xmlns:r="http://schemas.openxmlformats.org/officeDocument/2006/relationships" name="06 Security Matrix" sheetId="6" r:id="Rfdd18f197bef4762"/>
    <x:sheet xmlns:r="http://schemas.openxmlformats.org/officeDocument/2006/relationships" name="07 Risks" sheetId="7" r:id="Rc158493ad9bf4b38"/>
    <x:sheet xmlns:r="http://schemas.openxmlformats.org/officeDocument/2006/relationships" name="08 Architecture" sheetId="8" r:id="Rf0b56d8d7c32437e"/>
    <x:sheet xmlns:r="http://schemas.openxmlformats.org/officeDocument/2006/relationships" name="09 Release Checklist" sheetId="9" r:id="Ra3d6d14dfca940e4"/>
    <x:sheet xmlns:r="http://schemas.openxmlformats.org/officeDocument/2006/relationships" name="10 Change Log" sheetId="10" r:id="R9ccd597813ba4a22"/>
    <x:sheet xmlns:r="http://schemas.openxmlformats.org/officeDocument/2006/relationships" name="11 Scope &amp; Roadmap" sheetId="11" r:id="Rd9bd57ef688e43df"/>
    <x:sheet xmlns:r="http://schemas.openxmlformats.org/officeDocument/2006/relationships" name="12 How to Use" sheetId="12" r:id="R5980f47204a4406e"/>
    <x:sheet xmlns:r="http://schemas.openxmlformats.org/officeDocument/2006/relationships" name="13 UI Program" sheetId="13" r:id="R1147c2abee314f0f"/>
    <x:sheet xmlns:r="http://schemas.openxmlformats.org/officeDocument/2006/relationships" name="14 UI Scorecard" sheetId="14" r:id="R3ea831ecff9d47fa"/>
    <x:sheet xmlns:r="http://schemas.openxmlformats.org/officeDocument/2006/relationships" name="15 Motion Guidance" sheetId="15" r:id="R5f85d675b55a4015"/>
    <x:sheet xmlns:r="http://schemas.openxmlformats.org/officeDocument/2006/relationships" name="16 Design Standards" sheetId="16" r:id="Ra09c57daa5474083"/>
    <x:sheet xmlns:r="http://schemas.openxmlformats.org/officeDocument/2006/relationships" name="17 Corporate Platform" sheetId="17" r:id="R66c731aa01b74e1d"/>
    <x:sheet xmlns:r="http://schemas.openxmlformats.org/officeDocument/2006/relationships" name="18 Analytics Reuse Map" sheetId="18" r:id="R37ed85466ddc404e"/>
    <x:sheet xmlns:r="http://schemas.openxmlformats.org/officeDocument/2006/relationships" name="19 Executive Insights Discovery" sheetId="19" r:id="R2131ccd6ab9648f1"/>
    <x:sheet xmlns:r="http://schemas.openxmlformats.org/officeDocument/2006/relationships" name="20 Procurement Insights Discovery" sheetId="20" r:id="R3f7e127247f149af"/>
    <x:sheet xmlns:r="http://schemas.openxmlformats.org/officeDocument/2006/relationships" name="21 Commercial Insights Discovery" sheetId="21" r:id="Rbeda34cff3354235"/>
    <x:sheet xmlns:r="http://schemas.openxmlformats.org/officeDocument/2006/relationships" name="22 Project Insights Discovery" sheetId="22" r:id="R098040b3cdeb49bd"/>
    <x:sheet xmlns:r="http://schemas.openxmlformats.org/officeDocument/2006/relationships" name="23 Performance Discovery" sheetId="23" r:id="R936098ade1d748e5"/>
    <x:sheet xmlns:r="http://schemas.openxmlformats.org/officeDocument/2006/relationships" name="24 Risk Compliance Discovery" sheetId="24" r:id="R5713ee57899e487b"/>
    <x:sheet xmlns:r="http://schemas.openxmlformats.org/officeDocument/2006/relationships" name="25 Commercial Handoff" sheetId="25" r:id="R2a6ad69a2fa14a23"/>
    <x:sheet xmlns:r="http://schemas.openxmlformats.org/officeDocument/2006/relationships" name="26 RFQ Governance" sheetId="26" r:id="Rdd6d6fa1742e490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0b78781c83d4f21" /><Relationship Type="http://schemas.openxmlformats.org/officeDocument/2006/relationships/theme" Target="/xl/theme/theme1.xml" Id="R3e9e3497d0ef44b1" /><Relationship Type="http://schemas.openxmlformats.org/officeDocument/2006/relationships/sharedStrings" Target="/xl/sharedStrings.xml" Id="R9e07118f488547a0" /><Relationship Type="http://schemas.openxmlformats.org/officeDocument/2006/relationships/worksheet" Target="/xl/worksheets/sheet1.xml" Id="R8a8af1bdad91456c" /><Relationship Type="http://schemas.openxmlformats.org/officeDocument/2006/relationships/worksheet" Target="/xl/worksheets/sheet2.xml" Id="R2f80880d58764574" /><Relationship Type="http://schemas.openxmlformats.org/officeDocument/2006/relationships/worksheet" Target="/xl/worksheets/sheet3.xml" Id="R8d991004c3e64131" /><Relationship Type="http://schemas.openxmlformats.org/officeDocument/2006/relationships/worksheet" Target="/xl/worksheets/sheet4.xml" Id="Rf600efd1db364098" /><Relationship Type="http://schemas.openxmlformats.org/officeDocument/2006/relationships/worksheet" Target="/xl/worksheets/sheet5.xml" Id="R8411da0880dc4c86" /><Relationship Type="http://schemas.openxmlformats.org/officeDocument/2006/relationships/worksheet" Target="/xl/worksheets/sheet6.xml" Id="Rfdd18f197bef4762" /><Relationship Type="http://schemas.openxmlformats.org/officeDocument/2006/relationships/worksheet" Target="/xl/worksheets/sheet7.xml" Id="Rc158493ad9bf4b38" /><Relationship Type="http://schemas.openxmlformats.org/officeDocument/2006/relationships/worksheet" Target="/xl/worksheets/sheet8.xml" Id="Rf0b56d8d7c32437e" /><Relationship Type="http://schemas.openxmlformats.org/officeDocument/2006/relationships/worksheet" Target="/xl/worksheets/sheet9.xml" Id="Ra3d6d14dfca940e4" /><Relationship Type="http://schemas.openxmlformats.org/officeDocument/2006/relationships/worksheet" Target="/xl/worksheets/sheet10.xml" Id="R9ccd597813ba4a22" /><Relationship Type="http://schemas.openxmlformats.org/officeDocument/2006/relationships/worksheet" Target="/xl/worksheets/sheet11.xml" Id="Rd9bd57ef688e43df" /><Relationship Type="http://schemas.openxmlformats.org/officeDocument/2006/relationships/worksheet" Target="/xl/worksheets/sheet12.xml" Id="R5980f47204a4406e" /><Relationship Type="http://schemas.openxmlformats.org/officeDocument/2006/relationships/worksheet" Target="/xl/worksheets/sheet13.xml" Id="R1147c2abee314f0f" /><Relationship Type="http://schemas.openxmlformats.org/officeDocument/2006/relationships/worksheet" Target="/xl/worksheets/sheet14.xml" Id="R3ea831ecff9d47fa" /><Relationship Type="http://schemas.openxmlformats.org/officeDocument/2006/relationships/worksheet" Target="/xl/worksheets/sheet15.xml" Id="R5f85d675b55a4015" /><Relationship Type="http://schemas.openxmlformats.org/officeDocument/2006/relationships/worksheet" Target="/xl/worksheets/sheet16.xml" Id="Ra09c57daa5474083" /><Relationship Type="http://schemas.openxmlformats.org/officeDocument/2006/relationships/worksheet" Target="/xl/worksheets/sheet17.xml" Id="R66c731aa01b74e1d" /><Relationship Type="http://schemas.openxmlformats.org/officeDocument/2006/relationships/worksheet" Target="/xl/worksheets/sheet18.xml" Id="R37ed85466ddc404e" /><Relationship Type="http://schemas.openxmlformats.org/officeDocument/2006/relationships/worksheet" Target="/xl/worksheets/sheet19.xml" Id="R2131ccd6ab9648f1" /><Relationship Type="http://schemas.openxmlformats.org/officeDocument/2006/relationships/worksheet" Target="/xl/worksheets/sheet20.xml" Id="R3f7e127247f149af" /><Relationship Type="http://schemas.openxmlformats.org/officeDocument/2006/relationships/worksheet" Target="/xl/worksheets/sheet21.xml" Id="Rbeda34cff3354235" /><Relationship Type="http://schemas.openxmlformats.org/officeDocument/2006/relationships/worksheet" Target="/xl/worksheets/sheet22.xml" Id="R098040b3cdeb49bd" /><Relationship Type="http://schemas.openxmlformats.org/officeDocument/2006/relationships/worksheet" Target="/xl/worksheets/sheet23.xml" Id="R936098ade1d748e5" /><Relationship Type="http://schemas.openxmlformats.org/officeDocument/2006/relationships/worksheet" Target="/xl/worksheets/sheet24.xml" Id="R5713ee57899e487b" /><Relationship Type="http://schemas.openxmlformats.org/officeDocument/2006/relationships/worksheet" Target="/xl/worksheets/sheet25.xml" Id="R2a6ad69a2fa14a23" /><Relationship Type="http://schemas.openxmlformats.org/officeDocument/2006/relationships/worksheet" Target="/xl/worksheets/sheet26.xml" Id="Rdd6d6fa1742e490b" /></Relationships>
</file>

<file path=xl/drawings/_rels/drawing1.xml.rels>&#65279;<?xml version="1.0" encoding="utf-8"?><Relationships xmlns="http://schemas.openxmlformats.org/package/2006/relationships"><Relationship Type="http://schemas.openxmlformats.org/officeDocument/2006/relationships/chart" Target="/xl/drawings/charts/chart1.xml" Id="Rdf43a3051efb4f1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f43a3051efb4f1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61a5bb99e1844b7" /></Relationships>
</file>

<file path=xl/worksheets/_rels/sheet2.xml.rels>&#65279;<?xml version="1.0" encoding="utf-8"?><Relationships xmlns="http://schemas.openxmlformats.org/package/2006/relationships"><Relationship Type="http://schemas.openxmlformats.org/officeDocument/2006/relationships/table" Target="/xl/tables/table2.xml" Id="Rbf67e22ea7634699" /></Relationships>
</file>

<file path=xl/worksheets/_rels/sheet3.xml.rels>&#65279;<?xml version="1.0" encoding="utf-8"?><Relationships xmlns="http://schemas.openxmlformats.org/package/2006/relationships"><Relationship Type="http://schemas.openxmlformats.org/officeDocument/2006/relationships/drawing" Target="/xl/drawings/drawing1.xml" Id="R6ff11d3b66b84e9e" /></Relationships>
</file>

<file path=xl/worksheets/_rels/sheet4.xml.rels>&#65279;<?xml version="1.0" encoding="utf-8"?><Relationships xmlns="http://schemas.openxmlformats.org/package/2006/relationships"><Relationship Type="http://schemas.openxmlformats.org/officeDocument/2006/relationships/table" Target="/xl/tables/table3.xml" Id="Rc94cb4dd34c14d72" /></Relationships>
</file>

<file path=xl/worksheets/_rels/sheet5.xml.rels>&#65279;<?xml version="1.0" encoding="utf-8"?><Relationships xmlns="http://schemas.openxmlformats.org/package/2006/relationships"><Relationship Type="http://schemas.openxmlformats.org/officeDocument/2006/relationships/table" Target="/xl/tables/table4.xml" Id="R43f1c824f3164ae3" /></Relationships>
</file>

<file path=xl/worksheets/_rels/sheet6.xml.rels>&#65279;<?xml version="1.0" encoding="utf-8"?><Relationships xmlns="http://schemas.openxmlformats.org/package/2006/relationships"><Relationship Type="http://schemas.openxmlformats.org/officeDocument/2006/relationships/table" Target="/xl/tables/table5.xml" Id="Rcee30db6d84841d2" /></Relationships>
</file>

<file path=xl/worksheets/_rels/sheet7.xml.rels>&#65279;<?xml version="1.0" encoding="utf-8"?><Relationships xmlns="http://schemas.openxmlformats.org/package/2006/relationships"><Relationship Type="http://schemas.openxmlformats.org/officeDocument/2006/relationships/table" Target="/xl/tables/table6.xml" Id="R6d91573e015c4f9a" /></Relationships>
</file>

<file path=xl/worksheets/_rels/sheet9.xml.rels>&#65279;<?xml version="1.0" encoding="utf-8"?><Relationships xmlns="http://schemas.openxmlformats.org/package/2006/relationships"><Relationship Type="http://schemas.openxmlformats.org/officeDocument/2006/relationships/table" Target="/xl/tables/table7.xml" Id="R8cda6b937bcd45e1" /></Relationships>
</file>

<file path=xl/worksheets/_rels/sheet10.xml.rels>&#65279;<?xml version="1.0" encoding="utf-8"?><Relationships xmlns="http://schemas.openxmlformats.org/package/2006/relationships"><Relationship Type="http://schemas.openxmlformats.org/officeDocument/2006/relationships/table" Target="/xl/tables/table8.xml" Id="R9538da952f4f4a23" /></Relationships>
</file>

<file path=xl/worksheets/_rels/sheet11.xml.rels>&#65279;<?xml version="1.0" encoding="utf-8"?><Relationships xmlns="http://schemas.openxmlformats.org/package/2006/relationships"><Relationship Type="http://schemas.openxmlformats.org/officeDocument/2006/relationships/table" Target="/xl/tables/table9.xml" Id="R15ce047fa4cc4e5e" /></Relationships>
</file>

<file path=xl/worksheets/_rels/sheet13.xml.rels>&#65279;<?xml version="1.0" encoding="utf-8"?><Relationships xmlns="http://schemas.openxmlformats.org/package/2006/relationships"><Relationship Type="http://schemas.openxmlformats.org/officeDocument/2006/relationships/table" Target="/xl/tables/table10.xml" Id="R1adbab94b2c34227" /></Relationships>
</file>

<file path=xl/worksheets/_rels/sheet14.xml.rels>&#65279;<?xml version="1.0" encoding="utf-8"?><Relationships xmlns="http://schemas.openxmlformats.org/package/2006/relationships"><Relationship Type="http://schemas.openxmlformats.org/officeDocument/2006/relationships/table" Target="/xl/tables/table11.xml" Id="R19853e20c75b444c" /></Relationships>
</file>

<file path=xl/worksheets/_rels/sheet15.xml.rels>&#65279;<?xml version="1.0" encoding="utf-8"?><Relationships xmlns="http://schemas.openxmlformats.org/package/2006/relationships"><Relationship Type="http://schemas.openxmlformats.org/officeDocument/2006/relationships/table" Target="/xl/tables/table12.xml" Id="R312effc8822f43e3" /></Relationships>
</file>

<file path=xl/worksheets/_rels/sheet16.xml.rels>&#65279;<?xml version="1.0" encoding="utf-8"?><Relationships xmlns="http://schemas.openxmlformats.org/package/2006/relationships"><Relationship Type="http://schemas.openxmlformats.org/officeDocument/2006/relationships/table" Target="/xl/tables/table13.xml" Id="Rdda044b2b2d6491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c61a5bb99e1844b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f67e22ea763469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300</x:v>
      </x:c>
      <x:c r="D6" s="133" t="inlineStr">
        <x:is>
          <x:t xml:space="preserve">G0A — Corporate platform architecture ready</x:t>
        </x:is>
      </x:c>
      <x:c r="E6" s="32" t="str">
        <x:f>'03 Launch Gates'!D20</x:f>
        <x:v>Completed</x:v>
      </x:c>
      <x:c r="G6" t="inlineStr">
        <x:is>
          <x:t xml:space="preserve">UI Tasks Complete</x:t>
        </x:is>
      </x:c>
      <x:c r="H6" t="n">
        <x:f>SUM(B36:B46)</x:f>
        <x:v>78</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0.8174386920980926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0.8472727272727273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6</x:v>
      </x:c>
      <x:c r="C41" s="133" t="n">
        <x:f>COUNTIFS('01 Master Plan'!C$5:C$383,A41,'01 Master Plan'!H$5:H$383,"In Progress")</x:f>
        <x:v>0</x:v>
      </x:c>
      <x:c r="D41" s="133" t="n">
        <x:f>COUNTIFS('01 Master Plan'!C$5:C$383,A41,'01 Master Plan'!H$5:H$383,"Not Started")</x:f>
        <x:v>3</x:v>
      </x:c>
      <x:c r="E41" s="133" t="n">
        <x:f>COUNTIFS('01 Master Plan'!C$5:C$383,A41,'01 Master Plan'!H$5:H$383,"Blocked")</x:f>
        <x:v>4</x:v>
      </x:c>
      <x:c r="F41" s="133" t="n">
        <x:f>COUNTIFS('01 Master Plan'!C$5:C$383,A41,'01 Master Plan'!H$5:H$383,"Deferred")</x:f>
        <x:v>0</x:v>
      </x:c>
      <x:c r="G41" s="255" t="n">
        <x:f>IFERROR(B41/(B41+C41+D41+E41),0)</x:f>
        <x:v>0.46153846153846156</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ff11d3b66b84e9e"/>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c94cb4dd34c14d7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3f1c824f3164ae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ee30db6d84841d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d91573e015c4f9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cda6b937bcd45e1"/>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538da952f4f4a2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5ce047fa4cc4e5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13E-06, 13E-09 and 13E-10 PASS/CLOSED. 13E-02, 13E-03, 13E-07 and 13E-08 remain BLOCKED/Open because their current flows auto-navigate and expose no stable completion surface without changing navigation/state semantics. 13D-04 and 13D-05 remain BLOCKED/Open under their prior criteria. 13E-10 published a shared one-shot `np-attention` motion contract using existing tokens and reduced-motion behavior, with no product-page integration. Next executable canonical task: 13E-11 Standardize error/recovery motion.</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13E-06, 13E-09 and 13E-10 PASS/CLOSED. 13E-02, 13E-03, 13E-07 and 13E-08 remain BLOCKED/Open because their current flows auto-navigate and expose no stable completion surface without changing navigation/state semantics. 13D-04 and 13D-05 remain BLOCKED/Open under their prior criteria. 13E-10 published a shared one-shot `np-attention` motion contract using existing tokens and reduced-motion behavior, with no product-page integration. Next executable canonical task: 13E-11 Standardize error/recovery motion.</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adbab94b2c34227"/>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9853e20c75b444c"/>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12effc8822f43e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dda044b2b2d6491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