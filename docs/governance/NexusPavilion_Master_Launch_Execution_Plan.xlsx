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8d0353a0ccd4109" /></Relationships>
</file>

<file path=xl/workbook.xml><?xml version="1.0" encoding="utf-8"?>
<x:workbook xmlns:x="http://schemas.openxmlformats.org/spreadsheetml/2006/main">
  <x:sheets>
    <x:sheet xmlns:r="http://schemas.openxmlformats.org/officeDocument/2006/relationships" name="01 Master Plan" sheetId="1" r:id="R5c53347bc7b5429f"/>
    <x:sheet xmlns:r="http://schemas.openxmlformats.org/officeDocument/2006/relationships" name="03 Launch Gates" sheetId="2" r:id="R7cd49d240c024dac"/>
    <x:sheet xmlns:r="http://schemas.openxmlformats.org/officeDocument/2006/relationships" name="00 Dashboard" sheetId="3" r:id="R52946852e0f54f8e"/>
    <x:sheet xmlns:r="http://schemas.openxmlformats.org/officeDocument/2006/relationships" name="04 Cursor Tasks" sheetId="4" r:id="Rc56d5328aebf470a"/>
    <x:sheet xmlns:r="http://schemas.openxmlformats.org/officeDocument/2006/relationships" name="05 UAT Matrix" sheetId="5" r:id="R10961b62ad2f43b4"/>
    <x:sheet xmlns:r="http://schemas.openxmlformats.org/officeDocument/2006/relationships" name="06 Security Matrix" sheetId="6" r:id="Re33b64b1306e4ffa"/>
    <x:sheet xmlns:r="http://schemas.openxmlformats.org/officeDocument/2006/relationships" name="07 Risks" sheetId="7" r:id="Ra040989c35f040af"/>
    <x:sheet xmlns:r="http://schemas.openxmlformats.org/officeDocument/2006/relationships" name="08 Architecture" sheetId="8" r:id="R5bf4fdae2ab7406f"/>
    <x:sheet xmlns:r="http://schemas.openxmlformats.org/officeDocument/2006/relationships" name="09 Release Checklist" sheetId="9" r:id="R738e35362812497f"/>
    <x:sheet xmlns:r="http://schemas.openxmlformats.org/officeDocument/2006/relationships" name="10 Change Log" sheetId="10" r:id="Re6d20b0a9d4a4a8e"/>
    <x:sheet xmlns:r="http://schemas.openxmlformats.org/officeDocument/2006/relationships" name="11 Scope &amp; Roadmap" sheetId="11" r:id="R05d4ae297e614548"/>
    <x:sheet xmlns:r="http://schemas.openxmlformats.org/officeDocument/2006/relationships" name="12 How to Use" sheetId="12" r:id="R2b15d773fe324a91"/>
    <x:sheet xmlns:r="http://schemas.openxmlformats.org/officeDocument/2006/relationships" name="13 UI Program" sheetId="13" r:id="Rea5413365f2c4227"/>
    <x:sheet xmlns:r="http://schemas.openxmlformats.org/officeDocument/2006/relationships" name="14 UI Scorecard" sheetId="14" r:id="R9f112e10460947ab"/>
    <x:sheet xmlns:r="http://schemas.openxmlformats.org/officeDocument/2006/relationships" name="15 Motion Guidance" sheetId="15" r:id="Rdd7539e303fd4232"/>
    <x:sheet xmlns:r="http://schemas.openxmlformats.org/officeDocument/2006/relationships" name="16 Design Standards" sheetId="16" r:id="Raf5dc316ff8e43e4"/>
    <x:sheet xmlns:r="http://schemas.openxmlformats.org/officeDocument/2006/relationships" name="17 Corporate Platform" sheetId="17" r:id="R59ddbeca26aa41c6"/>
    <x:sheet xmlns:r="http://schemas.openxmlformats.org/officeDocument/2006/relationships" name="18 Analytics Reuse Map" sheetId="18" r:id="R3379182cd4d54cbf"/>
    <x:sheet xmlns:r="http://schemas.openxmlformats.org/officeDocument/2006/relationships" name="19 Executive Insights Discovery" sheetId="19" r:id="R37897ad89d1d423b"/>
    <x:sheet xmlns:r="http://schemas.openxmlformats.org/officeDocument/2006/relationships" name="20 Procurement Insights Discovery" sheetId="20" r:id="Rfc493e3841384c0f"/>
    <x:sheet xmlns:r="http://schemas.openxmlformats.org/officeDocument/2006/relationships" name="21 Commercial Insights Discovery" sheetId="21" r:id="R8a4aec24f89b4b4e"/>
    <x:sheet xmlns:r="http://schemas.openxmlformats.org/officeDocument/2006/relationships" name="22 Project Insights Discovery" sheetId="22" r:id="Rf73184e2a21c4e65"/>
    <x:sheet xmlns:r="http://schemas.openxmlformats.org/officeDocument/2006/relationships" name="23 Performance Discovery" sheetId="23" r:id="Re54d6a2608284b0e"/>
    <x:sheet xmlns:r="http://schemas.openxmlformats.org/officeDocument/2006/relationships" name="24 Risk Compliance Discovery" sheetId="24" r:id="R5f2b18bc90e54fe3"/>
    <x:sheet xmlns:r="http://schemas.openxmlformats.org/officeDocument/2006/relationships" name="25 Commercial Handoff" sheetId="25" r:id="R175dbbae553948f6"/>
    <x:sheet xmlns:r="http://schemas.openxmlformats.org/officeDocument/2006/relationships" name="26 RFQ Governance" sheetId="26" r:id="R7578a568322d441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517a2392eba43cc" /><Relationship Type="http://schemas.openxmlformats.org/officeDocument/2006/relationships/theme" Target="/xl/theme/theme1.xml" Id="Ref5dd7841f364028" /><Relationship Type="http://schemas.openxmlformats.org/officeDocument/2006/relationships/sharedStrings" Target="/xl/sharedStrings.xml" Id="Ra4638c51b55246c4" /><Relationship Type="http://schemas.openxmlformats.org/officeDocument/2006/relationships/worksheet" Target="/xl/worksheets/sheet1.xml" Id="R5c53347bc7b5429f" /><Relationship Type="http://schemas.openxmlformats.org/officeDocument/2006/relationships/worksheet" Target="/xl/worksheets/sheet2.xml" Id="R7cd49d240c024dac" /><Relationship Type="http://schemas.openxmlformats.org/officeDocument/2006/relationships/worksheet" Target="/xl/worksheets/sheet3.xml" Id="R52946852e0f54f8e" /><Relationship Type="http://schemas.openxmlformats.org/officeDocument/2006/relationships/worksheet" Target="/xl/worksheets/sheet4.xml" Id="Rc56d5328aebf470a" /><Relationship Type="http://schemas.openxmlformats.org/officeDocument/2006/relationships/worksheet" Target="/xl/worksheets/sheet5.xml" Id="R10961b62ad2f43b4" /><Relationship Type="http://schemas.openxmlformats.org/officeDocument/2006/relationships/worksheet" Target="/xl/worksheets/sheet6.xml" Id="Re33b64b1306e4ffa" /><Relationship Type="http://schemas.openxmlformats.org/officeDocument/2006/relationships/worksheet" Target="/xl/worksheets/sheet7.xml" Id="Ra040989c35f040af" /><Relationship Type="http://schemas.openxmlformats.org/officeDocument/2006/relationships/worksheet" Target="/xl/worksheets/sheet8.xml" Id="R5bf4fdae2ab7406f" /><Relationship Type="http://schemas.openxmlformats.org/officeDocument/2006/relationships/worksheet" Target="/xl/worksheets/sheet9.xml" Id="R738e35362812497f" /><Relationship Type="http://schemas.openxmlformats.org/officeDocument/2006/relationships/worksheet" Target="/xl/worksheets/sheet10.xml" Id="Re6d20b0a9d4a4a8e" /><Relationship Type="http://schemas.openxmlformats.org/officeDocument/2006/relationships/worksheet" Target="/xl/worksheets/sheet11.xml" Id="R05d4ae297e614548" /><Relationship Type="http://schemas.openxmlformats.org/officeDocument/2006/relationships/worksheet" Target="/xl/worksheets/sheet12.xml" Id="R2b15d773fe324a91" /><Relationship Type="http://schemas.openxmlformats.org/officeDocument/2006/relationships/worksheet" Target="/xl/worksheets/sheet13.xml" Id="Rea5413365f2c4227" /><Relationship Type="http://schemas.openxmlformats.org/officeDocument/2006/relationships/worksheet" Target="/xl/worksheets/sheet14.xml" Id="R9f112e10460947ab" /><Relationship Type="http://schemas.openxmlformats.org/officeDocument/2006/relationships/worksheet" Target="/xl/worksheets/sheet15.xml" Id="Rdd7539e303fd4232" /><Relationship Type="http://schemas.openxmlformats.org/officeDocument/2006/relationships/worksheet" Target="/xl/worksheets/sheet16.xml" Id="Raf5dc316ff8e43e4" /><Relationship Type="http://schemas.openxmlformats.org/officeDocument/2006/relationships/worksheet" Target="/xl/worksheets/sheet17.xml" Id="R59ddbeca26aa41c6" /><Relationship Type="http://schemas.openxmlformats.org/officeDocument/2006/relationships/worksheet" Target="/xl/worksheets/sheet18.xml" Id="R3379182cd4d54cbf" /><Relationship Type="http://schemas.openxmlformats.org/officeDocument/2006/relationships/worksheet" Target="/xl/worksheets/sheet19.xml" Id="R37897ad89d1d423b" /><Relationship Type="http://schemas.openxmlformats.org/officeDocument/2006/relationships/worksheet" Target="/xl/worksheets/sheet20.xml" Id="Rfc493e3841384c0f" /><Relationship Type="http://schemas.openxmlformats.org/officeDocument/2006/relationships/worksheet" Target="/xl/worksheets/sheet21.xml" Id="R8a4aec24f89b4b4e" /><Relationship Type="http://schemas.openxmlformats.org/officeDocument/2006/relationships/worksheet" Target="/xl/worksheets/sheet22.xml" Id="Rf73184e2a21c4e65" /><Relationship Type="http://schemas.openxmlformats.org/officeDocument/2006/relationships/worksheet" Target="/xl/worksheets/sheet23.xml" Id="Re54d6a2608284b0e" /><Relationship Type="http://schemas.openxmlformats.org/officeDocument/2006/relationships/worksheet" Target="/xl/worksheets/sheet24.xml" Id="R5f2b18bc90e54fe3" /><Relationship Type="http://schemas.openxmlformats.org/officeDocument/2006/relationships/worksheet" Target="/xl/worksheets/sheet25.xml" Id="R175dbbae553948f6" /><Relationship Type="http://schemas.openxmlformats.org/officeDocument/2006/relationships/worksheet" Target="/xl/worksheets/sheet26.xml" Id="R7578a568322d4419" /></Relationships>
</file>

<file path=xl/drawings/_rels/drawing1.xml.rels>&#65279;<?xml version="1.0" encoding="utf-8"?><Relationships xmlns="http://schemas.openxmlformats.org/package/2006/relationships"><Relationship Type="http://schemas.openxmlformats.org/officeDocument/2006/relationships/chart" Target="/xl/drawings/charts/chart1.xml" Id="Rbf7474cea8e641f3"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f7474cea8e641f3"/>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ec4d540af284f16" /></Relationships>
</file>

<file path=xl/worksheets/_rels/sheet2.xml.rels>&#65279;<?xml version="1.0" encoding="utf-8"?><Relationships xmlns="http://schemas.openxmlformats.org/package/2006/relationships"><Relationship Type="http://schemas.openxmlformats.org/officeDocument/2006/relationships/table" Target="/xl/tables/table2.xml" Id="R63b0a7b53c634144" /></Relationships>
</file>

<file path=xl/worksheets/_rels/sheet3.xml.rels>&#65279;<?xml version="1.0" encoding="utf-8"?><Relationships xmlns="http://schemas.openxmlformats.org/package/2006/relationships"><Relationship Type="http://schemas.openxmlformats.org/officeDocument/2006/relationships/drawing" Target="/xl/drawings/drawing1.xml" Id="R725d6cf26fce49c8" /></Relationships>
</file>

<file path=xl/worksheets/_rels/sheet4.xml.rels>&#65279;<?xml version="1.0" encoding="utf-8"?><Relationships xmlns="http://schemas.openxmlformats.org/package/2006/relationships"><Relationship Type="http://schemas.openxmlformats.org/officeDocument/2006/relationships/table" Target="/xl/tables/table3.xml" Id="Ra9580e770d3b4e08" /></Relationships>
</file>

<file path=xl/worksheets/_rels/sheet5.xml.rels>&#65279;<?xml version="1.0" encoding="utf-8"?><Relationships xmlns="http://schemas.openxmlformats.org/package/2006/relationships"><Relationship Type="http://schemas.openxmlformats.org/officeDocument/2006/relationships/table" Target="/xl/tables/table4.xml" Id="R66c9adebbf12406f" /></Relationships>
</file>

<file path=xl/worksheets/_rels/sheet6.xml.rels>&#65279;<?xml version="1.0" encoding="utf-8"?><Relationships xmlns="http://schemas.openxmlformats.org/package/2006/relationships"><Relationship Type="http://schemas.openxmlformats.org/officeDocument/2006/relationships/table" Target="/xl/tables/table5.xml" Id="R6decf1dea2d843af" /></Relationships>
</file>

<file path=xl/worksheets/_rels/sheet7.xml.rels>&#65279;<?xml version="1.0" encoding="utf-8"?><Relationships xmlns="http://schemas.openxmlformats.org/package/2006/relationships"><Relationship Type="http://schemas.openxmlformats.org/officeDocument/2006/relationships/table" Target="/xl/tables/table6.xml" Id="R3f8d58bdc3294aa7" /></Relationships>
</file>

<file path=xl/worksheets/_rels/sheet9.xml.rels>&#65279;<?xml version="1.0" encoding="utf-8"?><Relationships xmlns="http://schemas.openxmlformats.org/package/2006/relationships"><Relationship Type="http://schemas.openxmlformats.org/officeDocument/2006/relationships/table" Target="/xl/tables/table7.xml" Id="R42bdf949290b4283" /></Relationships>
</file>

<file path=xl/worksheets/_rels/sheet10.xml.rels>&#65279;<?xml version="1.0" encoding="utf-8"?><Relationships xmlns="http://schemas.openxmlformats.org/package/2006/relationships"><Relationship Type="http://schemas.openxmlformats.org/officeDocument/2006/relationships/table" Target="/xl/tables/table8.xml" Id="R49310fc5a9e843dc" /></Relationships>
</file>

<file path=xl/worksheets/_rels/sheet11.xml.rels>&#65279;<?xml version="1.0" encoding="utf-8"?><Relationships xmlns="http://schemas.openxmlformats.org/package/2006/relationships"><Relationship Type="http://schemas.openxmlformats.org/officeDocument/2006/relationships/table" Target="/xl/tables/table9.xml" Id="R505ecaa0307a4801" /></Relationships>
</file>

<file path=xl/worksheets/_rels/sheet13.xml.rels>&#65279;<?xml version="1.0" encoding="utf-8"?><Relationships xmlns="http://schemas.openxmlformats.org/package/2006/relationships"><Relationship Type="http://schemas.openxmlformats.org/officeDocument/2006/relationships/table" Target="/xl/tables/table10.xml" Id="Ra50c947cd2284509" /></Relationships>
</file>

<file path=xl/worksheets/_rels/sheet14.xml.rels>&#65279;<?xml version="1.0" encoding="utf-8"?><Relationships xmlns="http://schemas.openxmlformats.org/package/2006/relationships"><Relationship Type="http://schemas.openxmlformats.org/officeDocument/2006/relationships/table" Target="/xl/tables/table11.xml" Id="Rbb6e33d1a1ae4cf1" /></Relationships>
</file>

<file path=xl/worksheets/_rels/sheet15.xml.rels>&#65279;<?xml version="1.0" encoding="utf-8"?><Relationships xmlns="http://schemas.openxmlformats.org/package/2006/relationships"><Relationship Type="http://schemas.openxmlformats.org/officeDocument/2006/relationships/table" Target="/xl/tables/table12.xml" Id="Rb6110c0154cd4699" /></Relationships>
</file>

<file path=xl/worksheets/_rels/sheet16.xml.rels>&#65279;<?xml version="1.0" encoding="utf-8"?><Relationships xmlns="http://schemas.openxmlformats.org/package/2006/relationships"><Relationship Type="http://schemas.openxmlformats.org/officeDocument/2006/relationships/table" Target="/xl/tables/table13.xml" Id="R7a7298816aff48d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ec4d540af284f16"/>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63b0a7b53c634144"/>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324</x:v>
      </x:c>
      <x:c r="D6" s="133" t="inlineStr">
        <x:is>
          <x:t xml:space="preserve">G0A — Corporate platform architecture ready</x:t>
        </x:is>
      </x:c>
      <x:c r="E6" s="32" t="str">
        <x:f>'03 Launch Gates'!D20</x:f>
        <x:v>Completed</x:v>
      </x:c>
      <x:c r="G6" t="inlineStr">
        <x:is>
          <x:t xml:space="preserve">UI Tasks Complete</x:t>
        </x:is>
      </x:c>
      <x:c r="H6" t="n">
        <x:f>SUM(B36:B46)</x:f>
        <x:v>102</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0.8828337874659401</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0.9054545454545454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7</x:v>
      </x:c>
      <x:c r="C43" s="162" t="n">
        <x:f>COUNTIFS('01 Master Plan'!C$5:C$383,A43,'01 Master Plan'!H$5:H$383,"In Progress")</x:f>
        <x:v>0</x:v>
      </x:c>
      <x:c r="D43" s="162" t="n">
        <x:f>COUNTIFS('01 Master Plan'!C$5:C$383,A43,'01 Master Plan'!H$5:H$383,"Not Started")</x:f>
        <x:v>3</x:v>
      </x:c>
      <x:c r="E43" s="162" t="n">
        <x:f>COUNTIFS('01 Master Plan'!C$5:C$383,A43,'01 Master Plan'!H$5:H$383,"Blocked")</x:f>
        <x:v>0</x:v>
      </x:c>
      <x:c r="F43" s="162" t="n">
        <x:f>COUNTIFS('01 Master Plan'!C$5:C$383,A43,'01 Master Plan'!H$5:H$383,"Deferred")</x:f>
        <x:v>0</x:v>
      </x:c>
      <x:c r="G43" s="257" t="n">
        <x:f>IFERROR(B43/(B43+C43+D43+E43),0)</x:f>
        <x:v>0.7</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725d6cf26fce49c8"/>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9580e770d3b4e0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66c9adebbf12406f"/>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decf1dea2d843a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3f8d58bdc3294aa7"/>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42bdf949290b4283"/>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9310fc5a9e843dc"/>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505ecaa0307a480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In Progress</x:v>
      </x:c>
      <x:c r="J11" s="133" t="str">
        <x:v>U6 / Phase 13G IN PROGRESS — 13G-01 through 13G-07 PASS/CLOSED/PUBLISHED. Ask Nexus now includes explicit confirmation gating for consequential actions while preserving authoritative domain authorization and mandatory execution-time revalidation. Next executable canonical task: 13G-08 Test Ask Nexus permission inheritance.</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a50c947cd228450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bb6e33d1a1ae4cf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b6110c0154cd4699"/>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a7298816aff48d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