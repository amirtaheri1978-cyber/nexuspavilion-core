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27cce38a81340ef" /></Relationships>
</file>

<file path=xl/workbook.xml><?xml version="1.0" encoding="utf-8"?>
<x:workbook xmlns:x="http://schemas.openxmlformats.org/spreadsheetml/2006/main">
  <x:sheets>
    <x:sheet xmlns:r="http://schemas.openxmlformats.org/officeDocument/2006/relationships" name="01 Master Plan" sheetId="1" r:id="R56ea449ba689405a"/>
    <x:sheet xmlns:r="http://schemas.openxmlformats.org/officeDocument/2006/relationships" name="03 Launch Gates" sheetId="2" r:id="R1638a84e255c483e"/>
    <x:sheet xmlns:r="http://schemas.openxmlformats.org/officeDocument/2006/relationships" name="00 Dashboard" sheetId="3" r:id="R840d3d5c79f742ba"/>
    <x:sheet xmlns:r="http://schemas.openxmlformats.org/officeDocument/2006/relationships" name="04 Cursor Tasks" sheetId="4" r:id="Rfe618e0015644c22"/>
    <x:sheet xmlns:r="http://schemas.openxmlformats.org/officeDocument/2006/relationships" name="05 UAT Matrix" sheetId="5" r:id="Reab46b69fbee4790"/>
    <x:sheet xmlns:r="http://schemas.openxmlformats.org/officeDocument/2006/relationships" name="06 Security Matrix" sheetId="6" r:id="Rd1009dd5e2fc4351"/>
    <x:sheet xmlns:r="http://schemas.openxmlformats.org/officeDocument/2006/relationships" name="07 Risks" sheetId="7" r:id="R547100b9af8f44d0"/>
    <x:sheet xmlns:r="http://schemas.openxmlformats.org/officeDocument/2006/relationships" name="08 Architecture" sheetId="8" r:id="Rf97eb5cb82834b14"/>
    <x:sheet xmlns:r="http://schemas.openxmlformats.org/officeDocument/2006/relationships" name="09 Release Checklist" sheetId="9" r:id="R32692238cf7444e1"/>
    <x:sheet xmlns:r="http://schemas.openxmlformats.org/officeDocument/2006/relationships" name="10 Change Log" sheetId="10" r:id="Re3c9cc1981d6463b"/>
    <x:sheet xmlns:r="http://schemas.openxmlformats.org/officeDocument/2006/relationships" name="11 Scope &amp; Roadmap" sheetId="11" r:id="R54cce99ed57640c2"/>
    <x:sheet xmlns:r="http://schemas.openxmlformats.org/officeDocument/2006/relationships" name="12 How to Use" sheetId="12" r:id="R4fe21c0f9b8346a9"/>
    <x:sheet xmlns:r="http://schemas.openxmlformats.org/officeDocument/2006/relationships" name="13 UI Program" sheetId="13" r:id="R02e65785c8d548d5"/>
    <x:sheet xmlns:r="http://schemas.openxmlformats.org/officeDocument/2006/relationships" name="14 UI Scorecard" sheetId="14" r:id="R4f738e09744340db"/>
    <x:sheet xmlns:r="http://schemas.openxmlformats.org/officeDocument/2006/relationships" name="15 Motion Guidance" sheetId="15" r:id="R3cda37f12c9e4fde"/>
    <x:sheet xmlns:r="http://schemas.openxmlformats.org/officeDocument/2006/relationships" name="16 Design Standards" sheetId="16" r:id="Rde6175b50e144553"/>
    <x:sheet xmlns:r="http://schemas.openxmlformats.org/officeDocument/2006/relationships" name="17 Corporate Platform" sheetId="17" r:id="Raad2cadffe88404a"/>
    <x:sheet xmlns:r="http://schemas.openxmlformats.org/officeDocument/2006/relationships" name="18 Analytics Reuse Map" sheetId="18" r:id="R6c3191663b2d4c94"/>
    <x:sheet xmlns:r="http://schemas.openxmlformats.org/officeDocument/2006/relationships" name="19 Executive Insights Discovery" sheetId="19" r:id="R32a5018c1a304dc3"/>
    <x:sheet xmlns:r="http://schemas.openxmlformats.org/officeDocument/2006/relationships" name="20 Procurement Insights Discovery" sheetId="20" r:id="Rb5bee629f10e4f42"/>
    <x:sheet xmlns:r="http://schemas.openxmlformats.org/officeDocument/2006/relationships" name="21 Commercial Insights Discovery" sheetId="21" r:id="Ra28f737f38d042f8"/>
    <x:sheet xmlns:r="http://schemas.openxmlformats.org/officeDocument/2006/relationships" name="22 Project Insights Discovery" sheetId="22" r:id="R7a9e6f26dadd47c3"/>
    <x:sheet xmlns:r="http://schemas.openxmlformats.org/officeDocument/2006/relationships" name="23 Performance Discovery" sheetId="23" r:id="R54f6f11816fc4816"/>
    <x:sheet xmlns:r="http://schemas.openxmlformats.org/officeDocument/2006/relationships" name="24 Risk Compliance Discovery" sheetId="24" r:id="Rd6dbd8e5674040c0"/>
    <x:sheet xmlns:r="http://schemas.openxmlformats.org/officeDocument/2006/relationships" name="25 Commercial Handoff" sheetId="25" r:id="R4cc94b5160fd464a"/>
    <x:sheet xmlns:r="http://schemas.openxmlformats.org/officeDocument/2006/relationships" name="26 RFQ Governance" sheetId="26" r:id="Rff576090424c472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e3c663a01c443e7" /><Relationship Type="http://schemas.openxmlformats.org/officeDocument/2006/relationships/theme" Target="/xl/theme/theme1.xml" Id="Rfe776829dc3a4197" /><Relationship Type="http://schemas.openxmlformats.org/officeDocument/2006/relationships/sharedStrings" Target="/xl/sharedStrings.xml" Id="Rc988b012fed44ec4" /><Relationship Type="http://schemas.openxmlformats.org/officeDocument/2006/relationships/worksheet" Target="/xl/worksheets/sheet1.xml" Id="R56ea449ba689405a" /><Relationship Type="http://schemas.openxmlformats.org/officeDocument/2006/relationships/worksheet" Target="/xl/worksheets/sheet2.xml" Id="R1638a84e255c483e" /><Relationship Type="http://schemas.openxmlformats.org/officeDocument/2006/relationships/worksheet" Target="/xl/worksheets/sheet3.xml" Id="R840d3d5c79f742ba" /><Relationship Type="http://schemas.openxmlformats.org/officeDocument/2006/relationships/worksheet" Target="/xl/worksheets/sheet4.xml" Id="Rfe618e0015644c22" /><Relationship Type="http://schemas.openxmlformats.org/officeDocument/2006/relationships/worksheet" Target="/xl/worksheets/sheet5.xml" Id="Reab46b69fbee4790" /><Relationship Type="http://schemas.openxmlformats.org/officeDocument/2006/relationships/worksheet" Target="/xl/worksheets/sheet6.xml" Id="Rd1009dd5e2fc4351" /><Relationship Type="http://schemas.openxmlformats.org/officeDocument/2006/relationships/worksheet" Target="/xl/worksheets/sheet7.xml" Id="R547100b9af8f44d0" /><Relationship Type="http://schemas.openxmlformats.org/officeDocument/2006/relationships/worksheet" Target="/xl/worksheets/sheet8.xml" Id="Rf97eb5cb82834b14" /><Relationship Type="http://schemas.openxmlformats.org/officeDocument/2006/relationships/worksheet" Target="/xl/worksheets/sheet9.xml" Id="R32692238cf7444e1" /><Relationship Type="http://schemas.openxmlformats.org/officeDocument/2006/relationships/worksheet" Target="/xl/worksheets/sheet10.xml" Id="Re3c9cc1981d6463b" /><Relationship Type="http://schemas.openxmlformats.org/officeDocument/2006/relationships/worksheet" Target="/xl/worksheets/sheet11.xml" Id="R54cce99ed57640c2" /><Relationship Type="http://schemas.openxmlformats.org/officeDocument/2006/relationships/worksheet" Target="/xl/worksheets/sheet12.xml" Id="R4fe21c0f9b8346a9" /><Relationship Type="http://schemas.openxmlformats.org/officeDocument/2006/relationships/worksheet" Target="/xl/worksheets/sheet13.xml" Id="R02e65785c8d548d5" /><Relationship Type="http://schemas.openxmlformats.org/officeDocument/2006/relationships/worksheet" Target="/xl/worksheets/sheet14.xml" Id="R4f738e09744340db" /><Relationship Type="http://schemas.openxmlformats.org/officeDocument/2006/relationships/worksheet" Target="/xl/worksheets/sheet15.xml" Id="R3cda37f12c9e4fde" /><Relationship Type="http://schemas.openxmlformats.org/officeDocument/2006/relationships/worksheet" Target="/xl/worksheets/sheet16.xml" Id="Rde6175b50e144553" /><Relationship Type="http://schemas.openxmlformats.org/officeDocument/2006/relationships/worksheet" Target="/xl/worksheets/sheet17.xml" Id="Raad2cadffe88404a" /><Relationship Type="http://schemas.openxmlformats.org/officeDocument/2006/relationships/worksheet" Target="/xl/worksheets/sheet18.xml" Id="R6c3191663b2d4c94" /><Relationship Type="http://schemas.openxmlformats.org/officeDocument/2006/relationships/worksheet" Target="/xl/worksheets/sheet19.xml" Id="R32a5018c1a304dc3" /><Relationship Type="http://schemas.openxmlformats.org/officeDocument/2006/relationships/worksheet" Target="/xl/worksheets/sheet20.xml" Id="Rb5bee629f10e4f42" /><Relationship Type="http://schemas.openxmlformats.org/officeDocument/2006/relationships/worksheet" Target="/xl/worksheets/sheet21.xml" Id="Ra28f737f38d042f8" /><Relationship Type="http://schemas.openxmlformats.org/officeDocument/2006/relationships/worksheet" Target="/xl/worksheets/sheet22.xml" Id="R7a9e6f26dadd47c3" /><Relationship Type="http://schemas.openxmlformats.org/officeDocument/2006/relationships/worksheet" Target="/xl/worksheets/sheet23.xml" Id="R54f6f11816fc4816" /><Relationship Type="http://schemas.openxmlformats.org/officeDocument/2006/relationships/worksheet" Target="/xl/worksheets/sheet24.xml" Id="Rd6dbd8e5674040c0" /><Relationship Type="http://schemas.openxmlformats.org/officeDocument/2006/relationships/worksheet" Target="/xl/worksheets/sheet25.xml" Id="R4cc94b5160fd464a" /><Relationship Type="http://schemas.openxmlformats.org/officeDocument/2006/relationships/worksheet" Target="/xl/worksheets/sheet26.xml" Id="Rff576090424c4727" /></Relationships>
</file>

<file path=xl/drawings/_rels/drawing1.xml.rels>&#65279;<?xml version="1.0" encoding="utf-8"?><Relationships xmlns="http://schemas.openxmlformats.org/package/2006/relationships"><Relationship Type="http://schemas.openxmlformats.org/officeDocument/2006/relationships/chart" Target="/xl/drawings/charts/chart1.xml" Id="R51311fca6c79449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1311fca6c79449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2ee483aeab54511" /></Relationships>
</file>

<file path=xl/worksheets/_rels/sheet2.xml.rels>&#65279;<?xml version="1.0" encoding="utf-8"?><Relationships xmlns="http://schemas.openxmlformats.org/package/2006/relationships"><Relationship Type="http://schemas.openxmlformats.org/officeDocument/2006/relationships/table" Target="/xl/tables/table2.xml" Id="R642a482e4e6f403d" /></Relationships>
</file>

<file path=xl/worksheets/_rels/sheet3.xml.rels>&#65279;<?xml version="1.0" encoding="utf-8"?><Relationships xmlns="http://schemas.openxmlformats.org/package/2006/relationships"><Relationship Type="http://schemas.openxmlformats.org/officeDocument/2006/relationships/drawing" Target="/xl/drawings/drawing1.xml" Id="R2b8e68101e3a4133" /></Relationships>
</file>

<file path=xl/worksheets/_rels/sheet4.xml.rels>&#65279;<?xml version="1.0" encoding="utf-8"?><Relationships xmlns="http://schemas.openxmlformats.org/package/2006/relationships"><Relationship Type="http://schemas.openxmlformats.org/officeDocument/2006/relationships/table" Target="/xl/tables/table3.xml" Id="Rc7203dbc51a14b0d" /></Relationships>
</file>

<file path=xl/worksheets/_rels/sheet5.xml.rels>&#65279;<?xml version="1.0" encoding="utf-8"?><Relationships xmlns="http://schemas.openxmlformats.org/package/2006/relationships"><Relationship Type="http://schemas.openxmlformats.org/officeDocument/2006/relationships/table" Target="/xl/tables/table4.xml" Id="R51570fd9f52a4a64" /></Relationships>
</file>

<file path=xl/worksheets/_rels/sheet6.xml.rels>&#65279;<?xml version="1.0" encoding="utf-8"?><Relationships xmlns="http://schemas.openxmlformats.org/package/2006/relationships"><Relationship Type="http://schemas.openxmlformats.org/officeDocument/2006/relationships/table" Target="/xl/tables/table5.xml" Id="R5e90060074034cd7" /></Relationships>
</file>

<file path=xl/worksheets/_rels/sheet7.xml.rels>&#65279;<?xml version="1.0" encoding="utf-8"?><Relationships xmlns="http://schemas.openxmlformats.org/package/2006/relationships"><Relationship Type="http://schemas.openxmlformats.org/officeDocument/2006/relationships/table" Target="/xl/tables/table6.xml" Id="R2e3c8c7e73e64096" /></Relationships>
</file>

<file path=xl/worksheets/_rels/sheet9.xml.rels>&#65279;<?xml version="1.0" encoding="utf-8"?><Relationships xmlns="http://schemas.openxmlformats.org/package/2006/relationships"><Relationship Type="http://schemas.openxmlformats.org/officeDocument/2006/relationships/table" Target="/xl/tables/table7.xml" Id="R665c7fe6f56d4eea" /></Relationships>
</file>

<file path=xl/worksheets/_rels/sheet10.xml.rels>&#65279;<?xml version="1.0" encoding="utf-8"?><Relationships xmlns="http://schemas.openxmlformats.org/package/2006/relationships"><Relationship Type="http://schemas.openxmlformats.org/officeDocument/2006/relationships/table" Target="/xl/tables/table8.xml" Id="R0098d2fde2224a4a" /></Relationships>
</file>

<file path=xl/worksheets/_rels/sheet11.xml.rels>&#65279;<?xml version="1.0" encoding="utf-8"?><Relationships xmlns="http://schemas.openxmlformats.org/package/2006/relationships"><Relationship Type="http://schemas.openxmlformats.org/officeDocument/2006/relationships/table" Target="/xl/tables/table9.xml" Id="R4361e2f6bdbf44d5" /></Relationships>
</file>

<file path=xl/worksheets/_rels/sheet13.xml.rels>&#65279;<?xml version="1.0" encoding="utf-8"?><Relationships xmlns="http://schemas.openxmlformats.org/package/2006/relationships"><Relationship Type="http://schemas.openxmlformats.org/officeDocument/2006/relationships/table" Target="/xl/tables/table10.xml" Id="R6e8f5b2b3ceb47f6" /></Relationships>
</file>

<file path=xl/worksheets/_rels/sheet14.xml.rels>&#65279;<?xml version="1.0" encoding="utf-8"?><Relationships xmlns="http://schemas.openxmlformats.org/package/2006/relationships"><Relationship Type="http://schemas.openxmlformats.org/officeDocument/2006/relationships/table" Target="/xl/tables/table11.xml" Id="Raa3e6b6d64b7443b" /></Relationships>
</file>

<file path=xl/worksheets/_rels/sheet15.xml.rels>&#65279;<?xml version="1.0" encoding="utf-8"?><Relationships xmlns="http://schemas.openxmlformats.org/package/2006/relationships"><Relationship Type="http://schemas.openxmlformats.org/officeDocument/2006/relationships/table" Target="/xl/tables/table12.xml" Id="R242f6ca4f86c43cf" /></Relationships>
</file>

<file path=xl/worksheets/_rels/sheet16.xml.rels>&#65279;<?xml version="1.0" encoding="utf-8"?><Relationships xmlns="http://schemas.openxmlformats.org/package/2006/relationships"><Relationship Type="http://schemas.openxmlformats.org/officeDocument/2006/relationships/table" Target="/xl/tables/table13.xml" Id="R99f0a5bf4aeb44c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2ee483aeab5451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42a482e4e6f403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255</x:v>
      </x:c>
      <x:c r="D6" s="133" t="inlineStr">
        <x:is>
          <x:t xml:space="preserve">G0A — Corporate platform architecture ready</x:t>
        </x:is>
      </x:c>
      <x:c r="E6" s="32" t="str">
        <x:f>'03 Launch Gates'!D20</x:f>
        <x:v>Completed</x:v>
      </x:c>
      <x:c r="G6" t="inlineStr">
        <x:is>
          <x:t xml:space="preserve">UI Tasks Complete</x:t>
        </x:is>
      </x:c>
      <x:c r="H6" t="n">
        <x:f>SUM(B36:B46)</x:f>
        <x:v>33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0.6948228882833788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0.7127272727272728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8</x:v>
      </x:c>
      <x:c r="C36" s="133" t="n">
        <x:f>COUNTIFS('01 Master Plan'!C$5:C$383,A36,'01 Master Plan'!H$5:H$383,"In Progress")</x:f>
        <x:v>0</x:v>
      </x:c>
      <x:c r="D36" s="133" t="n">
        <x:f>COUNTIFS('01 Master Plan'!C$5:C$383,A36,'01 Master Plan'!H$5:H$383,"Not Started")</x:f>
        <x:v>2</x:v>
      </x:c>
      <x:c r="E36" s="133" t="n">
        <x:f>COUNTIFS('01 Master Plan'!C$5:C$383,A36,'01 Master Plan'!H$5:H$383,"Blocked")</x:f>
        <x:v>0</x:v>
      </x:c>
      <x:c r="F36" s="133" t="n">
        <x:f>COUNTIFS('01 Master Plan'!C$5:C$383,A36,'01 Master Plan'!H$5:H$383,"Deferred")</x:f>
        <x:v>0</x:v>
      </x:c>
      <x:c r="G36" s="255" t="n">
        <x:f>IFERROR(B36/(B36+C36+D36+E36),0)</x:f>
        <x:v>0.8</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b8e68101e3a413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c7203dbc51a14b0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1570fd9f52a4a6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e90060074034cd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e3c8c7e73e6409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665c7fe6f56d4ee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098d2fde2224a4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361e2f6bdbf44d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6e8f5b2b3ceb47f6"/>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a3e6b6d64b7443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42f6ca4f86c43c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9f0a5bf4aeb44c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