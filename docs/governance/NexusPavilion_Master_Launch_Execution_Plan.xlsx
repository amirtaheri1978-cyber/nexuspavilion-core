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8d41cf6aefe41e5" /></Relationships>
</file>

<file path=xl/workbook.xml><?xml version="1.0" encoding="utf-8"?>
<x:workbook xmlns:x="http://schemas.openxmlformats.org/spreadsheetml/2006/main">
  <x:sheets>
    <x:sheet xmlns:r="http://schemas.openxmlformats.org/officeDocument/2006/relationships" name="01 Master Plan" sheetId="1" r:id="R363024a9651044b4"/>
    <x:sheet xmlns:r="http://schemas.openxmlformats.org/officeDocument/2006/relationships" name="03 Launch Gates" sheetId="2" r:id="Rf8278d0fb6094ab2"/>
    <x:sheet xmlns:r="http://schemas.openxmlformats.org/officeDocument/2006/relationships" name="00 Dashboard" sheetId="3" r:id="R0d03fb58f183416a"/>
    <x:sheet xmlns:r="http://schemas.openxmlformats.org/officeDocument/2006/relationships" name="04 Cursor Tasks" sheetId="4" r:id="Re0526097d4ef42be"/>
    <x:sheet xmlns:r="http://schemas.openxmlformats.org/officeDocument/2006/relationships" name="05 UAT Matrix" sheetId="5" r:id="R109f7505769d4274"/>
    <x:sheet xmlns:r="http://schemas.openxmlformats.org/officeDocument/2006/relationships" name="06 Security Matrix" sheetId="6" r:id="R9bb11e6cf7e04e40"/>
    <x:sheet xmlns:r="http://schemas.openxmlformats.org/officeDocument/2006/relationships" name="07 Risks" sheetId="7" r:id="R14f510a1f1fe4fa5"/>
    <x:sheet xmlns:r="http://schemas.openxmlformats.org/officeDocument/2006/relationships" name="08 Architecture" sheetId="8" r:id="Rf081878e1ebb4502"/>
    <x:sheet xmlns:r="http://schemas.openxmlformats.org/officeDocument/2006/relationships" name="09 Release Checklist" sheetId="9" r:id="R376a95a5e3b34c36"/>
    <x:sheet xmlns:r="http://schemas.openxmlformats.org/officeDocument/2006/relationships" name="10 Change Log" sheetId="10" r:id="R35c6a3fe4e2849e0"/>
    <x:sheet xmlns:r="http://schemas.openxmlformats.org/officeDocument/2006/relationships" name="11 Scope &amp; Roadmap" sheetId="11" r:id="R96649858a294489d"/>
    <x:sheet xmlns:r="http://schemas.openxmlformats.org/officeDocument/2006/relationships" name="12 How to Use" sheetId="12" r:id="R5912ffa6dfd24728"/>
    <x:sheet xmlns:r="http://schemas.openxmlformats.org/officeDocument/2006/relationships" name="13 UI Program" sheetId="13" r:id="Rc8351e8fcc364fc4"/>
    <x:sheet xmlns:r="http://schemas.openxmlformats.org/officeDocument/2006/relationships" name="14 UI Scorecard" sheetId="14" r:id="R89cd745cdceb4ebe"/>
    <x:sheet xmlns:r="http://schemas.openxmlformats.org/officeDocument/2006/relationships" name="15 Motion Guidance" sheetId="15" r:id="Rc4655d0bc87c4042"/>
    <x:sheet xmlns:r="http://schemas.openxmlformats.org/officeDocument/2006/relationships" name="16 Design Standards" sheetId="16" r:id="R42b2772158454602"/>
    <x:sheet xmlns:r="http://schemas.openxmlformats.org/officeDocument/2006/relationships" name="17 Corporate Platform" sheetId="17" r:id="R89f04b339af54c7a"/>
    <x:sheet xmlns:r="http://schemas.openxmlformats.org/officeDocument/2006/relationships" name="18 Analytics Reuse Map" sheetId="18" r:id="R35277c66a6ba4d37"/>
    <x:sheet xmlns:r="http://schemas.openxmlformats.org/officeDocument/2006/relationships" name="19 Executive Insights Discovery" sheetId="19" r:id="R00672c2f4c2a41d4"/>
    <x:sheet xmlns:r="http://schemas.openxmlformats.org/officeDocument/2006/relationships" name="20 Procurement Insights Discovery" sheetId="20" r:id="Rdcfd320be4654d64"/>
    <x:sheet xmlns:r="http://schemas.openxmlformats.org/officeDocument/2006/relationships" name="21 Commercial Insights Discovery" sheetId="21" r:id="Rb6f497580f23462a"/>
    <x:sheet xmlns:r="http://schemas.openxmlformats.org/officeDocument/2006/relationships" name="22 Project Insights Discovery" sheetId="22" r:id="R992a12ce68ed48dc"/>
    <x:sheet xmlns:r="http://schemas.openxmlformats.org/officeDocument/2006/relationships" name="23 Performance Discovery" sheetId="23" r:id="Rc85ab4baca2d470b"/>
    <x:sheet xmlns:r="http://schemas.openxmlformats.org/officeDocument/2006/relationships" name="24 Risk Compliance Discovery" sheetId="24" r:id="R3eed614db99642df"/>
    <x:sheet xmlns:r="http://schemas.openxmlformats.org/officeDocument/2006/relationships" name="25 Commercial Handoff" sheetId="25" r:id="R85a08502ece24436"/>
    <x:sheet xmlns:r="http://schemas.openxmlformats.org/officeDocument/2006/relationships" name="26 RFQ Governance" sheetId="26" r:id="Rf9744f739e7f4e9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0c31f57d81140e8" /><Relationship Type="http://schemas.openxmlformats.org/officeDocument/2006/relationships/theme" Target="/xl/theme/theme1.xml" Id="R547f84c2d7394463" /><Relationship Type="http://schemas.openxmlformats.org/officeDocument/2006/relationships/sharedStrings" Target="/xl/sharedStrings.xml" Id="Rfe4dcd22e2ea418b" /><Relationship Type="http://schemas.openxmlformats.org/officeDocument/2006/relationships/worksheet" Target="/xl/worksheets/sheet1.xml" Id="R363024a9651044b4" /><Relationship Type="http://schemas.openxmlformats.org/officeDocument/2006/relationships/worksheet" Target="/xl/worksheets/sheet2.xml" Id="Rf8278d0fb6094ab2" /><Relationship Type="http://schemas.openxmlformats.org/officeDocument/2006/relationships/worksheet" Target="/xl/worksheets/sheet3.xml" Id="R0d03fb58f183416a" /><Relationship Type="http://schemas.openxmlformats.org/officeDocument/2006/relationships/worksheet" Target="/xl/worksheets/sheet4.xml" Id="Re0526097d4ef42be" /><Relationship Type="http://schemas.openxmlformats.org/officeDocument/2006/relationships/worksheet" Target="/xl/worksheets/sheet5.xml" Id="R109f7505769d4274" /><Relationship Type="http://schemas.openxmlformats.org/officeDocument/2006/relationships/worksheet" Target="/xl/worksheets/sheet6.xml" Id="R9bb11e6cf7e04e40" /><Relationship Type="http://schemas.openxmlformats.org/officeDocument/2006/relationships/worksheet" Target="/xl/worksheets/sheet7.xml" Id="R14f510a1f1fe4fa5" /><Relationship Type="http://schemas.openxmlformats.org/officeDocument/2006/relationships/worksheet" Target="/xl/worksheets/sheet8.xml" Id="Rf081878e1ebb4502" /><Relationship Type="http://schemas.openxmlformats.org/officeDocument/2006/relationships/worksheet" Target="/xl/worksheets/sheet9.xml" Id="R376a95a5e3b34c36" /><Relationship Type="http://schemas.openxmlformats.org/officeDocument/2006/relationships/worksheet" Target="/xl/worksheets/sheet10.xml" Id="R35c6a3fe4e2849e0" /><Relationship Type="http://schemas.openxmlformats.org/officeDocument/2006/relationships/worksheet" Target="/xl/worksheets/sheet11.xml" Id="R96649858a294489d" /><Relationship Type="http://schemas.openxmlformats.org/officeDocument/2006/relationships/worksheet" Target="/xl/worksheets/sheet12.xml" Id="R5912ffa6dfd24728" /><Relationship Type="http://schemas.openxmlformats.org/officeDocument/2006/relationships/worksheet" Target="/xl/worksheets/sheet13.xml" Id="Rc8351e8fcc364fc4" /><Relationship Type="http://schemas.openxmlformats.org/officeDocument/2006/relationships/worksheet" Target="/xl/worksheets/sheet14.xml" Id="R89cd745cdceb4ebe" /><Relationship Type="http://schemas.openxmlformats.org/officeDocument/2006/relationships/worksheet" Target="/xl/worksheets/sheet15.xml" Id="Rc4655d0bc87c4042" /><Relationship Type="http://schemas.openxmlformats.org/officeDocument/2006/relationships/worksheet" Target="/xl/worksheets/sheet16.xml" Id="R42b2772158454602" /><Relationship Type="http://schemas.openxmlformats.org/officeDocument/2006/relationships/worksheet" Target="/xl/worksheets/sheet17.xml" Id="R89f04b339af54c7a" /><Relationship Type="http://schemas.openxmlformats.org/officeDocument/2006/relationships/worksheet" Target="/xl/worksheets/sheet18.xml" Id="R35277c66a6ba4d37" /><Relationship Type="http://schemas.openxmlformats.org/officeDocument/2006/relationships/worksheet" Target="/xl/worksheets/sheet19.xml" Id="R00672c2f4c2a41d4" /><Relationship Type="http://schemas.openxmlformats.org/officeDocument/2006/relationships/worksheet" Target="/xl/worksheets/sheet20.xml" Id="Rdcfd320be4654d64" /><Relationship Type="http://schemas.openxmlformats.org/officeDocument/2006/relationships/worksheet" Target="/xl/worksheets/sheet21.xml" Id="Rb6f497580f23462a" /><Relationship Type="http://schemas.openxmlformats.org/officeDocument/2006/relationships/worksheet" Target="/xl/worksheets/sheet22.xml" Id="R992a12ce68ed48dc" /><Relationship Type="http://schemas.openxmlformats.org/officeDocument/2006/relationships/worksheet" Target="/xl/worksheets/sheet23.xml" Id="Rc85ab4baca2d470b" /><Relationship Type="http://schemas.openxmlformats.org/officeDocument/2006/relationships/worksheet" Target="/xl/worksheets/sheet24.xml" Id="R3eed614db99642df" /><Relationship Type="http://schemas.openxmlformats.org/officeDocument/2006/relationships/worksheet" Target="/xl/worksheets/sheet25.xml" Id="R85a08502ece24436" /><Relationship Type="http://schemas.openxmlformats.org/officeDocument/2006/relationships/worksheet" Target="/xl/worksheets/sheet26.xml" Id="Rf9744f739e7f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126104f1bfb4db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126104f1bfb4db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ec9a10599ff4bd3" /></Relationships>
</file>

<file path=xl/worksheets/_rels/sheet2.xml.rels>&#65279;<?xml version="1.0" encoding="utf-8"?><Relationships xmlns="http://schemas.openxmlformats.org/package/2006/relationships"><Relationship Type="http://schemas.openxmlformats.org/officeDocument/2006/relationships/table" Target="/xl/tables/table2.xml" Id="R233ffe8476614e69" /></Relationships>
</file>

<file path=xl/worksheets/_rels/sheet3.xml.rels>&#65279;<?xml version="1.0" encoding="utf-8"?><Relationships xmlns="http://schemas.openxmlformats.org/package/2006/relationships"><Relationship Type="http://schemas.openxmlformats.org/officeDocument/2006/relationships/drawing" Target="/xl/drawings/drawing1.xml" Id="R299fb4993b2a4c1a" /></Relationships>
</file>

<file path=xl/worksheets/_rels/sheet4.xml.rels>&#65279;<?xml version="1.0" encoding="utf-8"?><Relationships xmlns="http://schemas.openxmlformats.org/package/2006/relationships"><Relationship Type="http://schemas.openxmlformats.org/officeDocument/2006/relationships/table" Target="/xl/tables/table3.xml" Id="Ra9eae815c70b4b88" /></Relationships>
</file>

<file path=xl/worksheets/_rels/sheet5.xml.rels>&#65279;<?xml version="1.0" encoding="utf-8"?><Relationships xmlns="http://schemas.openxmlformats.org/package/2006/relationships"><Relationship Type="http://schemas.openxmlformats.org/officeDocument/2006/relationships/table" Target="/xl/tables/table4.xml" Id="R2435de1378574276" /></Relationships>
</file>

<file path=xl/worksheets/_rels/sheet6.xml.rels>&#65279;<?xml version="1.0" encoding="utf-8"?><Relationships xmlns="http://schemas.openxmlformats.org/package/2006/relationships"><Relationship Type="http://schemas.openxmlformats.org/officeDocument/2006/relationships/table" Target="/xl/tables/table5.xml" Id="R6831996e6a7e409a" /></Relationships>
</file>

<file path=xl/worksheets/_rels/sheet7.xml.rels>&#65279;<?xml version="1.0" encoding="utf-8"?><Relationships xmlns="http://schemas.openxmlformats.org/package/2006/relationships"><Relationship Type="http://schemas.openxmlformats.org/officeDocument/2006/relationships/table" Target="/xl/tables/table6.xml" Id="R6033c467bff64510" /></Relationships>
</file>

<file path=xl/worksheets/_rels/sheet9.xml.rels>&#65279;<?xml version="1.0" encoding="utf-8"?><Relationships xmlns="http://schemas.openxmlformats.org/package/2006/relationships"><Relationship Type="http://schemas.openxmlformats.org/officeDocument/2006/relationships/table" Target="/xl/tables/table7.xml" Id="R783988fcc7a84a27" /></Relationships>
</file>

<file path=xl/worksheets/_rels/sheet10.xml.rels>&#65279;<?xml version="1.0" encoding="utf-8"?><Relationships xmlns="http://schemas.openxmlformats.org/package/2006/relationships"><Relationship Type="http://schemas.openxmlformats.org/officeDocument/2006/relationships/table" Target="/xl/tables/table8.xml" Id="R1180428b04f34574" /></Relationships>
</file>

<file path=xl/worksheets/_rels/sheet11.xml.rels>&#65279;<?xml version="1.0" encoding="utf-8"?><Relationships xmlns="http://schemas.openxmlformats.org/package/2006/relationships"><Relationship Type="http://schemas.openxmlformats.org/officeDocument/2006/relationships/table" Target="/xl/tables/table9.xml" Id="Rb3d7d4696b2a4687" /></Relationships>
</file>

<file path=xl/worksheets/_rels/sheet13.xml.rels>&#65279;<?xml version="1.0" encoding="utf-8"?><Relationships xmlns="http://schemas.openxmlformats.org/package/2006/relationships"><Relationship Type="http://schemas.openxmlformats.org/officeDocument/2006/relationships/table" Target="/xl/tables/table10.xml" Id="R4d5d28a88af74b09" /></Relationships>
</file>

<file path=xl/worksheets/_rels/sheet14.xml.rels>&#65279;<?xml version="1.0" encoding="utf-8"?><Relationships xmlns="http://schemas.openxmlformats.org/package/2006/relationships"><Relationship Type="http://schemas.openxmlformats.org/officeDocument/2006/relationships/table" Target="/xl/tables/table11.xml" Id="R905db33457ff4381" /></Relationships>
</file>

<file path=xl/worksheets/_rels/sheet15.xml.rels>&#65279;<?xml version="1.0" encoding="utf-8"?><Relationships xmlns="http://schemas.openxmlformats.org/package/2006/relationships"><Relationship Type="http://schemas.openxmlformats.org/officeDocument/2006/relationships/table" Target="/xl/tables/table12.xml" Id="R2691164111b94f73" /></Relationships>
</file>

<file path=xl/worksheets/_rels/sheet16.xml.rels>&#65279;<?xml version="1.0" encoding="utf-8"?><Relationships xmlns="http://schemas.openxmlformats.org/package/2006/relationships"><Relationship Type="http://schemas.openxmlformats.org/officeDocument/2006/relationships/table" Target="/xl/tables/table13.xml" Id="R4cac580c4cd74908"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ec9a10599ff4bd3"/>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233ffe8476614e69"/>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265</x:v>
      </x:c>
      <x:c r="D6" s="133" t="inlineStr">
        <x:is>
          <x:t xml:space="preserve">G0A — Corporate platform architecture ready</x:t>
        </x:is>
      </x:c>
      <x:c r="E6" s="32" t="str">
        <x:f>'03 Launch Gates'!D20</x:f>
        <x:v>Completed</x:v>
      </x:c>
      <x:c r="G6" t="inlineStr">
        <x:is>
          <x:t xml:space="preserve">UI Tasks Complete</x:t>
        </x:is>
      </x:c>
      <x:c r="H6" t="n">
        <x:f>SUM(B36:B46)</x:f>
        <x:v>43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0.7220708446866485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0.7418181818181818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8</x:v>
      </x:c>
      <x:c r="C37" s="133" t="n">
        <x:f>COUNTIFS('01 Master Plan'!C$5:C$383,A37,'01 Master Plan'!H$5:H$383,"In Progress")</x:f>
        <x:v>0</x:v>
      </x:c>
      <x:c r="D37" s="133" t="n">
        <x:f>COUNTIFS('01 Master Plan'!C$5:C$383,A37,'01 Master Plan'!H$5:H$383,"Not Started")</x:f>
        <x:v>4</x:v>
      </x:c>
      <x:c r="E37" s="133" t="n">
        <x:f>COUNTIFS('01 Master Plan'!C$5:C$383,A37,'01 Master Plan'!H$5:H$383,"Blocked")</x:f>
        <x:v>0</x:v>
      </x:c>
      <x:c r="F37" s="133" t="n">
        <x:f>COUNTIFS('01 Master Plan'!C$5:C$383,A37,'01 Master Plan'!H$5:H$383,"Deferred")</x:f>
        <x:v>0</x:v>
      </x:c>
      <x:c r="G37" s="255" t="n">
        <x:f>IFERROR(B37/(B37+C37+D37+E37),0)</x:f>
        <x:v>0.6666666666666666</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299fb4993b2a4c1a"/>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9eae815c70b4b88"/>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2435de1378574276"/>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831996e6a7e409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033c467bff64510"/>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783988fcc7a84a27"/>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1180428b04f3457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3d7d4696b2a4687"/>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U1 IN PROGRESS — 13B-01 through 13B-08 complete. Foundation now covers semantic colors, theme compatibility, typography, spacing/grid, surfaces/depth, status palette, Nexus Intelligence language, and shared interaction states. Next: 13B-09 motion tokens.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4d5d28a88af74b0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905db33457ff438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2691164111b94f73"/>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4cac580c4cd74908"/>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