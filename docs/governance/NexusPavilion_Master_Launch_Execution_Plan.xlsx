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2ed6e191be043a5" /></Relationships>
</file>

<file path=xl/workbook.xml><?xml version="1.0" encoding="utf-8"?>
<x:workbook xmlns:x="http://schemas.openxmlformats.org/spreadsheetml/2006/main">
  <x:sheets>
    <x:sheet xmlns:r="http://schemas.openxmlformats.org/officeDocument/2006/relationships" name="01 Master Plan" sheetId="1" r:id="R3d79726cc6aa474f"/>
    <x:sheet xmlns:r="http://schemas.openxmlformats.org/officeDocument/2006/relationships" name="03 Launch Gates" sheetId="2" r:id="R787e61ca9c404e31"/>
    <x:sheet xmlns:r="http://schemas.openxmlformats.org/officeDocument/2006/relationships" name="00 Dashboard" sheetId="3" r:id="R4f3451af503f4e1d"/>
    <x:sheet xmlns:r="http://schemas.openxmlformats.org/officeDocument/2006/relationships" name="04 Cursor Tasks" sheetId="4" r:id="R244b73cf0b454a73"/>
    <x:sheet xmlns:r="http://schemas.openxmlformats.org/officeDocument/2006/relationships" name="05 UAT Matrix" sheetId="5" r:id="R3fff7bd7734d4881"/>
    <x:sheet xmlns:r="http://schemas.openxmlformats.org/officeDocument/2006/relationships" name="06 Security Matrix" sheetId="6" r:id="R03c571c302fe4375"/>
    <x:sheet xmlns:r="http://schemas.openxmlformats.org/officeDocument/2006/relationships" name="07 Risks" sheetId="7" r:id="R4c44e9026898430d"/>
    <x:sheet xmlns:r="http://schemas.openxmlformats.org/officeDocument/2006/relationships" name="08 Architecture" sheetId="8" r:id="R7355ae945b6d456a"/>
    <x:sheet xmlns:r="http://schemas.openxmlformats.org/officeDocument/2006/relationships" name="09 Release Checklist" sheetId="9" r:id="R1c01aec3e9384a66"/>
    <x:sheet xmlns:r="http://schemas.openxmlformats.org/officeDocument/2006/relationships" name="10 Change Log" sheetId="10" r:id="R79b68c11ff014954"/>
    <x:sheet xmlns:r="http://schemas.openxmlformats.org/officeDocument/2006/relationships" name="11 Scope &amp; Roadmap" sheetId="11" r:id="Rd613c0cd8e964055"/>
    <x:sheet xmlns:r="http://schemas.openxmlformats.org/officeDocument/2006/relationships" name="12 How to Use" sheetId="12" r:id="R1ed7702e293f4649"/>
    <x:sheet xmlns:r="http://schemas.openxmlformats.org/officeDocument/2006/relationships" name="13 UI Program" sheetId="13" r:id="R130a1510d001479b"/>
    <x:sheet xmlns:r="http://schemas.openxmlformats.org/officeDocument/2006/relationships" name="14 UI Scorecard" sheetId="14" r:id="R27f48b22c00e412c"/>
    <x:sheet xmlns:r="http://schemas.openxmlformats.org/officeDocument/2006/relationships" name="15 Motion Guidance" sheetId="15" r:id="R2a4ff2c94b414450"/>
    <x:sheet xmlns:r="http://schemas.openxmlformats.org/officeDocument/2006/relationships" name="16 Design Standards" sheetId="16" r:id="Rb5efe2b9d319481b"/>
    <x:sheet xmlns:r="http://schemas.openxmlformats.org/officeDocument/2006/relationships" name="17 Corporate Platform" sheetId="17" r:id="R2023027397e746c1"/>
    <x:sheet xmlns:r="http://schemas.openxmlformats.org/officeDocument/2006/relationships" name="18 Analytics Reuse Map" sheetId="18" r:id="Re912ff6a74d6417c"/>
    <x:sheet xmlns:r="http://schemas.openxmlformats.org/officeDocument/2006/relationships" name="19 Executive Insights Discovery" sheetId="19" r:id="Rd4ccd0ccf4874161"/>
    <x:sheet xmlns:r="http://schemas.openxmlformats.org/officeDocument/2006/relationships" name="20 Procurement Insights Discovery" sheetId="20" r:id="R796a897e5b0b49b5"/>
    <x:sheet xmlns:r="http://schemas.openxmlformats.org/officeDocument/2006/relationships" name="21 Commercial Insights Discovery" sheetId="21" r:id="R6d05b8c32d7b4f30"/>
    <x:sheet xmlns:r="http://schemas.openxmlformats.org/officeDocument/2006/relationships" name="22 Project Insights Discovery" sheetId="22" r:id="R7840024b68044b1e"/>
    <x:sheet xmlns:r="http://schemas.openxmlformats.org/officeDocument/2006/relationships" name="23 Performance Discovery" sheetId="23" r:id="Rdb3c41c69e0d48d3"/>
    <x:sheet xmlns:r="http://schemas.openxmlformats.org/officeDocument/2006/relationships" name="24 Risk Compliance Discovery" sheetId="24" r:id="R80088b13d495492c"/>
    <x:sheet xmlns:r="http://schemas.openxmlformats.org/officeDocument/2006/relationships" name="25 Commercial Handoff" sheetId="25" r:id="R22b69da28ca246ad"/>
    <x:sheet xmlns:r="http://schemas.openxmlformats.org/officeDocument/2006/relationships" name="26 RFQ Governance" sheetId="26" r:id="R4e900d605bb94ec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64aa29f2fc946c4" /><Relationship Type="http://schemas.openxmlformats.org/officeDocument/2006/relationships/theme" Target="/xl/theme/theme1.xml" Id="R155f565a1c524e54" /><Relationship Type="http://schemas.openxmlformats.org/officeDocument/2006/relationships/sharedStrings" Target="/xl/sharedStrings.xml" Id="Rd47f006d85164978" /><Relationship Type="http://schemas.openxmlformats.org/officeDocument/2006/relationships/worksheet" Target="/xl/worksheets/sheet1.xml" Id="R3d79726cc6aa474f" /><Relationship Type="http://schemas.openxmlformats.org/officeDocument/2006/relationships/worksheet" Target="/xl/worksheets/sheet2.xml" Id="R787e61ca9c404e31" /><Relationship Type="http://schemas.openxmlformats.org/officeDocument/2006/relationships/worksheet" Target="/xl/worksheets/sheet3.xml" Id="R4f3451af503f4e1d" /><Relationship Type="http://schemas.openxmlformats.org/officeDocument/2006/relationships/worksheet" Target="/xl/worksheets/sheet4.xml" Id="R244b73cf0b454a73" /><Relationship Type="http://schemas.openxmlformats.org/officeDocument/2006/relationships/worksheet" Target="/xl/worksheets/sheet5.xml" Id="R3fff7bd7734d4881" /><Relationship Type="http://schemas.openxmlformats.org/officeDocument/2006/relationships/worksheet" Target="/xl/worksheets/sheet6.xml" Id="R03c571c302fe4375" /><Relationship Type="http://schemas.openxmlformats.org/officeDocument/2006/relationships/worksheet" Target="/xl/worksheets/sheet7.xml" Id="R4c44e9026898430d" /><Relationship Type="http://schemas.openxmlformats.org/officeDocument/2006/relationships/worksheet" Target="/xl/worksheets/sheet8.xml" Id="R7355ae945b6d456a" /><Relationship Type="http://schemas.openxmlformats.org/officeDocument/2006/relationships/worksheet" Target="/xl/worksheets/sheet9.xml" Id="R1c01aec3e9384a66" /><Relationship Type="http://schemas.openxmlformats.org/officeDocument/2006/relationships/worksheet" Target="/xl/worksheets/sheet10.xml" Id="R79b68c11ff014954" /><Relationship Type="http://schemas.openxmlformats.org/officeDocument/2006/relationships/worksheet" Target="/xl/worksheets/sheet11.xml" Id="Rd613c0cd8e964055" /><Relationship Type="http://schemas.openxmlformats.org/officeDocument/2006/relationships/worksheet" Target="/xl/worksheets/sheet12.xml" Id="R1ed7702e293f4649" /><Relationship Type="http://schemas.openxmlformats.org/officeDocument/2006/relationships/worksheet" Target="/xl/worksheets/sheet13.xml" Id="R130a1510d001479b" /><Relationship Type="http://schemas.openxmlformats.org/officeDocument/2006/relationships/worksheet" Target="/xl/worksheets/sheet14.xml" Id="R27f48b22c00e412c" /><Relationship Type="http://schemas.openxmlformats.org/officeDocument/2006/relationships/worksheet" Target="/xl/worksheets/sheet15.xml" Id="R2a4ff2c94b414450" /><Relationship Type="http://schemas.openxmlformats.org/officeDocument/2006/relationships/worksheet" Target="/xl/worksheets/sheet16.xml" Id="Rb5efe2b9d319481b" /><Relationship Type="http://schemas.openxmlformats.org/officeDocument/2006/relationships/worksheet" Target="/xl/worksheets/sheet17.xml" Id="R2023027397e746c1" /><Relationship Type="http://schemas.openxmlformats.org/officeDocument/2006/relationships/worksheet" Target="/xl/worksheets/sheet18.xml" Id="Re912ff6a74d6417c" /><Relationship Type="http://schemas.openxmlformats.org/officeDocument/2006/relationships/worksheet" Target="/xl/worksheets/sheet19.xml" Id="Rd4ccd0ccf4874161" /><Relationship Type="http://schemas.openxmlformats.org/officeDocument/2006/relationships/worksheet" Target="/xl/worksheets/sheet20.xml" Id="R796a897e5b0b49b5" /><Relationship Type="http://schemas.openxmlformats.org/officeDocument/2006/relationships/worksheet" Target="/xl/worksheets/sheet21.xml" Id="R6d05b8c32d7b4f30" /><Relationship Type="http://schemas.openxmlformats.org/officeDocument/2006/relationships/worksheet" Target="/xl/worksheets/sheet22.xml" Id="R7840024b68044b1e" /><Relationship Type="http://schemas.openxmlformats.org/officeDocument/2006/relationships/worksheet" Target="/xl/worksheets/sheet23.xml" Id="Rdb3c41c69e0d48d3" /><Relationship Type="http://schemas.openxmlformats.org/officeDocument/2006/relationships/worksheet" Target="/xl/worksheets/sheet24.xml" Id="R80088b13d495492c" /><Relationship Type="http://schemas.openxmlformats.org/officeDocument/2006/relationships/worksheet" Target="/xl/worksheets/sheet25.xml" Id="R22b69da28ca246ad" /><Relationship Type="http://schemas.openxmlformats.org/officeDocument/2006/relationships/worksheet" Target="/xl/worksheets/sheet26.xml" Id="R4e900d605bb94ec2" /></Relationships>
</file>

<file path=xl/drawings/_rels/drawing1.xml.rels>&#65279;<?xml version="1.0" encoding="utf-8"?><Relationships xmlns="http://schemas.openxmlformats.org/package/2006/relationships"><Relationship Type="http://schemas.openxmlformats.org/officeDocument/2006/relationships/chart" Target="/xl/drawings/charts/chart1.xml" Id="Rc092be725df94f38"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092be725df94f38"/>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9e70525703448b6" /></Relationships>
</file>

<file path=xl/worksheets/_rels/sheet2.xml.rels>&#65279;<?xml version="1.0" encoding="utf-8"?><Relationships xmlns="http://schemas.openxmlformats.org/package/2006/relationships"><Relationship Type="http://schemas.openxmlformats.org/officeDocument/2006/relationships/table" Target="/xl/tables/table2.xml" Id="R0138ee27f057476a" /></Relationships>
</file>

<file path=xl/worksheets/_rels/sheet3.xml.rels>&#65279;<?xml version="1.0" encoding="utf-8"?><Relationships xmlns="http://schemas.openxmlformats.org/package/2006/relationships"><Relationship Type="http://schemas.openxmlformats.org/officeDocument/2006/relationships/drawing" Target="/xl/drawings/drawing1.xml" Id="Ra0f2b6907c4c4298" /></Relationships>
</file>

<file path=xl/worksheets/_rels/sheet4.xml.rels>&#65279;<?xml version="1.0" encoding="utf-8"?><Relationships xmlns="http://schemas.openxmlformats.org/package/2006/relationships"><Relationship Type="http://schemas.openxmlformats.org/officeDocument/2006/relationships/table" Target="/xl/tables/table3.xml" Id="Rb6305a20c59c459d" /></Relationships>
</file>

<file path=xl/worksheets/_rels/sheet5.xml.rels>&#65279;<?xml version="1.0" encoding="utf-8"?><Relationships xmlns="http://schemas.openxmlformats.org/package/2006/relationships"><Relationship Type="http://schemas.openxmlformats.org/officeDocument/2006/relationships/table" Target="/xl/tables/table4.xml" Id="R60196fafba464b06" /></Relationships>
</file>

<file path=xl/worksheets/_rels/sheet6.xml.rels>&#65279;<?xml version="1.0" encoding="utf-8"?><Relationships xmlns="http://schemas.openxmlformats.org/package/2006/relationships"><Relationship Type="http://schemas.openxmlformats.org/officeDocument/2006/relationships/table" Target="/xl/tables/table5.xml" Id="R148b866e51ea474c" /></Relationships>
</file>

<file path=xl/worksheets/_rels/sheet7.xml.rels>&#65279;<?xml version="1.0" encoding="utf-8"?><Relationships xmlns="http://schemas.openxmlformats.org/package/2006/relationships"><Relationship Type="http://schemas.openxmlformats.org/officeDocument/2006/relationships/table" Target="/xl/tables/table6.xml" Id="R04a113826bc74203" /></Relationships>
</file>

<file path=xl/worksheets/_rels/sheet9.xml.rels>&#65279;<?xml version="1.0" encoding="utf-8"?><Relationships xmlns="http://schemas.openxmlformats.org/package/2006/relationships"><Relationship Type="http://schemas.openxmlformats.org/officeDocument/2006/relationships/table" Target="/xl/tables/table7.xml" Id="R8f9cc7b32fce4109" /></Relationships>
</file>

<file path=xl/worksheets/_rels/sheet10.xml.rels>&#65279;<?xml version="1.0" encoding="utf-8"?><Relationships xmlns="http://schemas.openxmlformats.org/package/2006/relationships"><Relationship Type="http://schemas.openxmlformats.org/officeDocument/2006/relationships/table" Target="/xl/tables/table8.xml" Id="R2f145d392e254ffa" /></Relationships>
</file>

<file path=xl/worksheets/_rels/sheet11.xml.rels>&#65279;<?xml version="1.0" encoding="utf-8"?><Relationships xmlns="http://schemas.openxmlformats.org/package/2006/relationships"><Relationship Type="http://schemas.openxmlformats.org/officeDocument/2006/relationships/table" Target="/xl/tables/table9.xml" Id="Rc64c605f2de74538" /></Relationships>
</file>

<file path=xl/worksheets/_rels/sheet13.xml.rels>&#65279;<?xml version="1.0" encoding="utf-8"?><Relationships xmlns="http://schemas.openxmlformats.org/package/2006/relationships"><Relationship Type="http://schemas.openxmlformats.org/officeDocument/2006/relationships/table" Target="/xl/tables/table10.xml" Id="R50df1b5f7d9044ce" /></Relationships>
</file>

<file path=xl/worksheets/_rels/sheet14.xml.rels>&#65279;<?xml version="1.0" encoding="utf-8"?><Relationships xmlns="http://schemas.openxmlformats.org/package/2006/relationships"><Relationship Type="http://schemas.openxmlformats.org/officeDocument/2006/relationships/table" Target="/xl/tables/table11.xml" Id="R31ceea2f16ad4897" /></Relationships>
</file>

<file path=xl/worksheets/_rels/sheet15.xml.rels>&#65279;<?xml version="1.0" encoding="utf-8"?><Relationships xmlns="http://schemas.openxmlformats.org/package/2006/relationships"><Relationship Type="http://schemas.openxmlformats.org/officeDocument/2006/relationships/table" Target="/xl/tables/table12.xml" Id="Ra2e5553ebce440e5" /></Relationships>
</file>

<file path=xl/worksheets/_rels/sheet16.xml.rels>&#65279;<?xml version="1.0" encoding="utf-8"?><Relationships xmlns="http://schemas.openxmlformats.org/package/2006/relationships"><Relationship Type="http://schemas.openxmlformats.org/officeDocument/2006/relationships/table" Target="/xl/tables/table13.xml" Id="R3303ec2f2b5f492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f>IF(H204="Completed","✓",IF(H204="Blocked","!",""))</x:f>
      </x:c>
      <x:c r="B204" s="133" t="inlineStr">
        <x:is>
          <x:t xml:space="preserve">19-05</x:t>
        </x:is>
      </x:c>
      <x:c r="C204" s="133" t="inlineStr">
        <x:is>
          <x:t xml:space="preserve">19 Marketing Alignment</x:t>
        </x:is>
      </x:c>
      <x:c r="D204" s="133" t="inlineStr">
        <x:is>
          <x:t xml:space="preserve">Marketing</x:t>
        </x:is>
      </x:c>
      <x:c r="E204" s="133" t="inlineStr">
        <x:is>
          <x:t xml:space="preserve">Capture representative screenshots</x:t>
        </x:is>
      </x:c>
      <x:c r="F204" s="133" t="inlineStr">
        <x:is>
          <x:t xml:space="preserve">Screenshots show real launch-ready states and terminology.</x:t>
        </x:is>
      </x:c>
      <x:c r="G204" s="133" t="inlineStr">
        <x:is>
          <x:t xml:space="preserve">P1</x:t>
        </x:is>
      </x:c>
      <x:c r="H204" s="133" t="inlineStr">
        <x:is>
          <x:t xml:space="preserve">Not Started</x:t>
        </x:is>
      </x:c>
      <x:c r="I204" s="133" t="str"/>
      <x:c r="J204" s="133" t="str"/>
      <x:c r="K204" s="133" t="str"/>
      <x:c r="L204" s="133" t="str"/>
      <x:c r="M204" s="133" t="str"/>
      <x:c r="N204" s="249" t="n"/>
      <x:c r="O204" s="249" t="n"/>
      <x:c r="P204" s="32" t="str"/>
    </x:row>
    <x:row r="205">
      <x:c r="A205" s="42" t="str">
        <x:f>IF(H205="Completed","✓",IF(H205="Blocked","!",""))</x:f>
      </x:c>
      <x:c r="B205" s="133" t="inlineStr">
        <x:is>
          <x:t xml:space="preserve">19-06</x:t>
        </x:is>
      </x:c>
      <x:c r="C205" s="133" t="inlineStr">
        <x:is>
          <x:t xml:space="preserve">19 Marketing Alignment</x:t>
        </x:is>
      </x:c>
      <x:c r="D205" s="133" t="inlineStr">
        <x:is>
          <x:t xml:space="preserve">Marketing</x:t>
        </x:is>
      </x:c>
      <x:c r="E205" s="133" t="inlineStr">
        <x:is>
          <x:t xml:space="preserve">Create sales workflow story</x:t>
        </x:is>
      </x:c>
      <x:c r="F205" s="133" t="inlineStr">
        <x:is>
          <x:t xml:space="preserve">Issuer/respondent/RFI/evaluation story explained from one architecture.</x:t>
        </x:is>
      </x:c>
      <x:c r="G205" s="133" t="inlineStr">
        <x:is>
          <x:t xml:space="preserve">P1</x:t>
        </x:is>
      </x:c>
      <x:c r="H205" s="133" t="inlineStr">
        <x:is>
          <x:t xml:space="preserve">Not Started</x:t>
        </x:is>
      </x:c>
      <x:c r="I205" s="133" t="str"/>
      <x:c r="J205" s="133" t="str"/>
      <x:c r="K205" s="133" t="str"/>
      <x:c r="L205" s="133" t="str"/>
      <x:c r="M205" s="133" t="str"/>
      <x:c r="N205" s="249" t="n"/>
      <x:c r="O205" s="249" t="n"/>
      <x:c r="P205" s="32" t="str"/>
    </x:row>
    <x:row r="206">
      <x:c r="A206" s="42" t="str">
        <x:f>IF(H206="Completed","✓",IF(H206="Blocked","!",""))</x:f>
      </x:c>
      <x:c r="B206" s="133" t="inlineStr">
        <x:is>
          <x:t xml:space="preserve">19-07</x:t>
        </x:is>
      </x:c>
      <x:c r="C206" s="133" t="inlineStr">
        <x:is>
          <x:t xml:space="preserve">19 Marketing Alignment</x:t>
        </x:is>
      </x:c>
      <x:c r="D206" s="133" t="inlineStr">
        <x:is>
          <x:t xml:space="preserve">Marketing</x:t>
        </x:is>
      </x:c>
      <x:c r="E206" s="133" t="inlineStr">
        <x:is>
          <x:t xml:space="preserve">Create investor platform story</x:t>
        </x:is>
      </x:c>
      <x:c r="F206" s="133" t="inlineStr">
        <x:is>
          <x:t xml:space="preserve">Vision distinguishes current foundation from roadmap expansion.</x:t>
        </x:is>
      </x:c>
      <x:c r="G206" s="133" t="inlineStr">
        <x:is>
          <x:t xml:space="preserve">P2</x:t>
        </x:is>
      </x:c>
      <x:c r="H206" s="133" t="inlineStr">
        <x:is>
          <x:t xml:space="preserve">Not Started</x:t>
        </x:is>
      </x:c>
      <x:c r="I206" s="133" t="str"/>
      <x:c r="J206" s="133" t="str"/>
      <x:c r="K206" s="133" t="str"/>
      <x:c r="L206" s="133" t="str"/>
      <x:c r="M206" s="133" t="str"/>
      <x:c r="N206" s="249" t="n"/>
      <x:c r="O206" s="249" t="n"/>
      <x:c r="P206" s="32" t="str"/>
    </x:row>
    <x:row r="207">
      <x:c r="A207" s="42" t="str">
        <x:f>IF(H207="Completed","✓",IF(H207="Blocked","!",""))</x:f>
      </x:c>
      <x:c r="B207" s="133" t="inlineStr">
        <x:is>
          <x:t xml:space="preserve">20-01</x:t>
        </x:is>
      </x:c>
      <x:c r="C207" s="133" t="inlineStr">
        <x:is>
          <x:t xml:space="preserve">20 Launch Documentation</x:t>
        </x:is>
      </x:c>
      <x:c r="D207" s="133" t="inlineStr">
        <x:is>
          <x:t xml:space="preserve">Documentation</x:t>
        </x:is>
      </x:c>
      <x:c r="E207" s="133" t="inlineStr">
        <x:is>
          <x:t xml:space="preserve">Getting Started</x:t>
        </x:is>
      </x:c>
      <x:c r="F207" s="133" t="inlineStr">
        <x:is>
          <x:t xml:space="preserve">New user can understand workspace and first actions.</x:t>
        </x:is>
      </x:c>
      <x:c r="G207" s="133" t="inlineStr">
        <x:is>
          <x:t xml:space="preserve">P0</x:t>
        </x:is>
      </x:c>
      <x:c r="H207" s="133" t="inlineStr">
        <x:is>
          <x:t xml:space="preserve">Not Started</x:t>
        </x:is>
      </x:c>
      <x:c r="I207" s="133" t="str"/>
      <x:c r="J207" s="133" t="str"/>
      <x:c r="K207" s="133" t="str"/>
      <x:c r="L207" s="133" t="inlineStr">
        <x:is>
          <x:t xml:space="preserve">G11</x:t>
        </x:is>
      </x:c>
      <x:c r="M207" s="133" t="str"/>
      <x:c r="N207" s="249" t="n"/>
      <x:c r="O207" s="249" t="n"/>
      <x:c r="P207" s="32" t="str"/>
    </x:row>
    <x:row r="208">
      <x:c r="A208" s="42" t="str">
        <x:f>IF(H208="Completed","✓",IF(H208="Blocked","!",""))</x:f>
      </x:c>
      <x:c r="B208" s="133" t="inlineStr">
        <x:is>
          <x:t xml:space="preserve">20-02</x:t>
        </x:is>
      </x:c>
      <x:c r="C208" s="133" t="inlineStr">
        <x:is>
          <x:t xml:space="preserve">20 Launch Documentation</x:t>
        </x:is>
      </x:c>
      <x:c r="D208" s="133" t="inlineStr">
        <x:is>
          <x:t xml:space="preserve">Documentation</x:t>
        </x:is>
      </x:c>
      <x:c r="E208" s="133" t="inlineStr">
        <x:is>
          <x:t xml:space="preserve">Create Company</x:t>
        </x:is>
      </x:c>
      <x:c r="F208" s="133" t="inlineStr">
        <x:is>
          <x:t xml:space="preserve">Company creation/onboarding documented.</x:t>
        </x:is>
      </x:c>
      <x:c r="G208" s="133" t="inlineStr">
        <x:is>
          <x:t xml:space="preserve">P0</x:t>
        </x:is>
      </x:c>
      <x:c r="H208" s="133" t="inlineStr">
        <x:is>
          <x:t xml:space="preserve">Not Started</x:t>
        </x:is>
      </x:c>
      <x:c r="I208" s="133" t="str"/>
      <x:c r="J208" s="133" t="str"/>
      <x:c r="K208" s="133" t="str"/>
      <x:c r="L208" s="133" t="inlineStr">
        <x:is>
          <x:t xml:space="preserve">G11</x:t>
        </x:is>
      </x:c>
      <x:c r="M208" s="133" t="str"/>
      <x:c r="N208" s="249" t="n"/>
      <x:c r="O208" s="249" t="n"/>
      <x:c r="P208" s="32" t="str"/>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b9e70525703448b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inlineStr">
        <x:is>
          <x:t xml:space="preserve">Not Started</x:t>
        </x:is>
      </x:c>
      <x:c r="E16" s="133" t="str"/>
      <x:c r="F16" s="133" t="str"/>
      <x:c r="G16" s="249" t="n"/>
      <x:c r="H16" s="32" t="str"/>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138ee27f057476a"/>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229</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0.6239782016348774</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0.6290909090909091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Not Started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4</x:v>
      </x:c>
      <x:c r="C52" s="28" t="n">
        <x:f>COUNTIFS('01 Master Plan'!C$5:C$383,A52,'01 Master Plan'!H$5:H$383,"In Progress")</x:f>
        <x:v>0</x:v>
      </x:c>
      <x:c r="D52" s="28" t="n">
        <x:f>COUNTIFS('01 Master Plan'!C$5:C$383,A52,'01 Master Plan'!H$5:H$383,"Not Started")</x:f>
        <x:v>3</x:v>
      </x:c>
      <x:c r="E52" s="28" t="n">
        <x:f>COUNTIFS('01 Master Plan'!C$5:C$383,A52,'01 Master Plan'!H$5:H$383,"Blocked")</x:f>
        <x:v>0</x:v>
      </x:c>
      <x:c r="F52" s="28" t="n">
        <x:f>COUNTIFS('01 Master Plan'!C$5:C$383,A52,'01 Master Plan'!H$5:H$383,"Deferred")</x:f>
        <x:v>0</x:v>
      </x:c>
      <x:c r="G52" s="258" t="n">
        <x:f>IFERROR(B52/(B52+C52+D52+E52),0)</x:f>
        <x:v>0.5714285714285714</x:v>
      </x:c>
    </x:row>
    <x:row r="53">
      <x:c r="A53" s="28" t="inlineStr">
        <x:is>
          <x:t xml:space="preserve">20 Launch Documentation</x:t>
        </x:is>
      </x:c>
      <x:c r="B53" s="28" t="n">
        <x:f>COUNTIFS('01 Master Plan'!C$5:C$383,A53,'01 Master Plan'!H$5:H$383,"Completed")+COUNTIFS('01 Master Plan'!C$5:C$383,A53,'01 Master Plan'!H$5:H$383,"Complete")</x:f>
        <x:v>0</x:v>
      </x:c>
      <x:c r="C53" s="28" t="n">
        <x:f>COUNTIFS('01 Master Plan'!C$5:C$383,A53,'01 Master Plan'!H$5:H$383,"In Progress")</x:f>
        <x:v>0</x:v>
      </x:c>
      <x:c r="D53" s="28" t="n">
        <x:f>COUNTIFS('01 Master Plan'!C$5:C$383,A53,'01 Master Plan'!H$5:H$383,"Not Started")</x:f>
        <x:v>12</x:v>
      </x:c>
      <x:c r="E53" s="28" t="n">
        <x:f>COUNTIFS('01 Master Plan'!C$5:C$383,A53,'01 Master Plan'!H$5:H$383,"Blocked")</x:f>
        <x:v>0</x:v>
      </x:c>
      <x:c r="F53" s="28" t="n">
        <x:f>COUNTIFS('01 Master Plan'!C$5:C$383,A53,'01 Master Plan'!H$5:H$383,"Deferred")</x:f>
        <x:v>0</x:v>
      </x:c>
      <x:c r="G53" s="258" t="n">
        <x:f>IFERROR(B53/(B53+C53+D53+E53),0)</x:f>
        <x:v>0</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0f2b6907c4c429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b6305a20c59c459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0196fafba464b0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148b866e51ea474c"/>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4a113826bc7420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f9cc7b32fce410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2f145d392e254ff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64c605f2de74538"/>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0df1b5f7d9044ce"/>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1ceea2f16ad4897"/>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2e5553ebce440e5"/>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303ec2f2b5f492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