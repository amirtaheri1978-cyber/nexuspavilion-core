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6aa48e11f3547ab" /></Relationships>
</file>

<file path=xl/workbook.xml><?xml version="1.0" encoding="utf-8"?>
<x:workbook xmlns:x="http://schemas.openxmlformats.org/spreadsheetml/2006/main">
  <x:sheets>
    <x:sheet xmlns:r="http://schemas.openxmlformats.org/officeDocument/2006/relationships" name="01 Master Plan" sheetId="1" r:id="Rf00bad65adbe443d"/>
    <x:sheet xmlns:r="http://schemas.openxmlformats.org/officeDocument/2006/relationships" name="03 Launch Gates" sheetId="2" r:id="R03bce906d29d4fca"/>
    <x:sheet xmlns:r="http://schemas.openxmlformats.org/officeDocument/2006/relationships" name="00 Dashboard" sheetId="3" r:id="R499dc96de0334173"/>
    <x:sheet xmlns:r="http://schemas.openxmlformats.org/officeDocument/2006/relationships" name="04 Cursor Tasks" sheetId="4" r:id="R04e804d99e2b411a"/>
    <x:sheet xmlns:r="http://schemas.openxmlformats.org/officeDocument/2006/relationships" name="05 UAT Matrix" sheetId="5" r:id="R6294c26d6f64411f"/>
    <x:sheet xmlns:r="http://schemas.openxmlformats.org/officeDocument/2006/relationships" name="06 Security Matrix" sheetId="6" r:id="Ra8daf0c43ae441bb"/>
    <x:sheet xmlns:r="http://schemas.openxmlformats.org/officeDocument/2006/relationships" name="07 Risks" sheetId="7" r:id="Re1eee54a1cf8491a"/>
    <x:sheet xmlns:r="http://schemas.openxmlformats.org/officeDocument/2006/relationships" name="08 Architecture" sheetId="8" r:id="R5e21f7dbf54c4d7f"/>
    <x:sheet xmlns:r="http://schemas.openxmlformats.org/officeDocument/2006/relationships" name="09 Release Checklist" sheetId="9" r:id="Rbc358b2eab584f4d"/>
    <x:sheet xmlns:r="http://schemas.openxmlformats.org/officeDocument/2006/relationships" name="10 Change Log" sheetId="10" r:id="R27341f0f63564762"/>
    <x:sheet xmlns:r="http://schemas.openxmlformats.org/officeDocument/2006/relationships" name="11 Scope &amp; Roadmap" sheetId="11" r:id="R3ec70386952944fe"/>
    <x:sheet xmlns:r="http://schemas.openxmlformats.org/officeDocument/2006/relationships" name="12 How to Use" sheetId="12" r:id="Rb7d2122d8ecd4264"/>
    <x:sheet xmlns:r="http://schemas.openxmlformats.org/officeDocument/2006/relationships" name="13 UI Program" sheetId="13" r:id="R2640a768f38d4fb5"/>
    <x:sheet xmlns:r="http://schemas.openxmlformats.org/officeDocument/2006/relationships" name="14 UI Scorecard" sheetId="14" r:id="R8a0dd32d66fb495d"/>
    <x:sheet xmlns:r="http://schemas.openxmlformats.org/officeDocument/2006/relationships" name="15 Motion Guidance" sheetId="15" r:id="R07800e425005468a"/>
    <x:sheet xmlns:r="http://schemas.openxmlformats.org/officeDocument/2006/relationships" name="16 Design Standards" sheetId="16" r:id="R815f89bdb51e44f3"/>
    <x:sheet xmlns:r="http://schemas.openxmlformats.org/officeDocument/2006/relationships" name="17 Corporate Platform" sheetId="17" r:id="R7335dddd464c401a"/>
    <x:sheet xmlns:r="http://schemas.openxmlformats.org/officeDocument/2006/relationships" name="18 Analytics Reuse Map" sheetId="18" r:id="R147e64fc13a74ecd"/>
    <x:sheet xmlns:r="http://schemas.openxmlformats.org/officeDocument/2006/relationships" name="19 Executive Insights Discovery" sheetId="19" r:id="R80bc857367e74dec"/>
    <x:sheet xmlns:r="http://schemas.openxmlformats.org/officeDocument/2006/relationships" name="20 Procurement Insights Discovery" sheetId="20" r:id="Rfd3b2abc8c7d4b4b"/>
    <x:sheet xmlns:r="http://schemas.openxmlformats.org/officeDocument/2006/relationships" name="21 Commercial Insights Discovery" sheetId="21" r:id="R4002125ab5364519"/>
    <x:sheet xmlns:r="http://schemas.openxmlformats.org/officeDocument/2006/relationships" name="22 Project Insights Discovery" sheetId="22" r:id="Re3b949354d6d4ddc"/>
    <x:sheet xmlns:r="http://schemas.openxmlformats.org/officeDocument/2006/relationships" name="23 Performance Discovery" sheetId="23" r:id="R0e9536da50be4f5b"/>
    <x:sheet xmlns:r="http://schemas.openxmlformats.org/officeDocument/2006/relationships" name="24 Risk Compliance Discovery" sheetId="24" r:id="Rd21792e7f2914edc"/>
    <x:sheet xmlns:r="http://schemas.openxmlformats.org/officeDocument/2006/relationships" name="25 Commercial Handoff" sheetId="25" r:id="Rb8ae3227735d4806"/>
    <x:sheet xmlns:r="http://schemas.openxmlformats.org/officeDocument/2006/relationships" name="26 RFQ Governance" sheetId="26" r:id="Rffdcfe7027704572"/>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2fb2b2bf91204c58" /><Relationship Type="http://schemas.openxmlformats.org/officeDocument/2006/relationships/theme" Target="/xl/theme/theme1.xml" Id="R7fb0f0acbc194c10" /><Relationship Type="http://schemas.openxmlformats.org/officeDocument/2006/relationships/sharedStrings" Target="/xl/sharedStrings.xml" Id="Rf61b44729a044121" /><Relationship Type="http://schemas.openxmlformats.org/officeDocument/2006/relationships/worksheet" Target="/xl/worksheets/sheet1.xml" Id="Rf00bad65adbe443d" /><Relationship Type="http://schemas.openxmlformats.org/officeDocument/2006/relationships/worksheet" Target="/xl/worksheets/sheet2.xml" Id="R03bce906d29d4fca" /><Relationship Type="http://schemas.openxmlformats.org/officeDocument/2006/relationships/worksheet" Target="/xl/worksheets/sheet3.xml" Id="R499dc96de0334173" /><Relationship Type="http://schemas.openxmlformats.org/officeDocument/2006/relationships/worksheet" Target="/xl/worksheets/sheet4.xml" Id="R04e804d99e2b411a" /><Relationship Type="http://schemas.openxmlformats.org/officeDocument/2006/relationships/worksheet" Target="/xl/worksheets/sheet5.xml" Id="R6294c26d6f64411f" /><Relationship Type="http://schemas.openxmlformats.org/officeDocument/2006/relationships/worksheet" Target="/xl/worksheets/sheet6.xml" Id="Ra8daf0c43ae441bb" /><Relationship Type="http://schemas.openxmlformats.org/officeDocument/2006/relationships/worksheet" Target="/xl/worksheets/sheet7.xml" Id="Re1eee54a1cf8491a" /><Relationship Type="http://schemas.openxmlformats.org/officeDocument/2006/relationships/worksheet" Target="/xl/worksheets/sheet8.xml" Id="R5e21f7dbf54c4d7f" /><Relationship Type="http://schemas.openxmlformats.org/officeDocument/2006/relationships/worksheet" Target="/xl/worksheets/sheet9.xml" Id="Rbc358b2eab584f4d" /><Relationship Type="http://schemas.openxmlformats.org/officeDocument/2006/relationships/worksheet" Target="/xl/worksheets/sheet10.xml" Id="R27341f0f63564762" /><Relationship Type="http://schemas.openxmlformats.org/officeDocument/2006/relationships/worksheet" Target="/xl/worksheets/sheet11.xml" Id="R3ec70386952944fe" /><Relationship Type="http://schemas.openxmlformats.org/officeDocument/2006/relationships/worksheet" Target="/xl/worksheets/sheet12.xml" Id="Rb7d2122d8ecd4264" /><Relationship Type="http://schemas.openxmlformats.org/officeDocument/2006/relationships/worksheet" Target="/xl/worksheets/sheet13.xml" Id="R2640a768f38d4fb5" /><Relationship Type="http://schemas.openxmlformats.org/officeDocument/2006/relationships/worksheet" Target="/xl/worksheets/sheet14.xml" Id="R8a0dd32d66fb495d" /><Relationship Type="http://schemas.openxmlformats.org/officeDocument/2006/relationships/worksheet" Target="/xl/worksheets/sheet15.xml" Id="R07800e425005468a" /><Relationship Type="http://schemas.openxmlformats.org/officeDocument/2006/relationships/worksheet" Target="/xl/worksheets/sheet16.xml" Id="R815f89bdb51e44f3" /><Relationship Type="http://schemas.openxmlformats.org/officeDocument/2006/relationships/worksheet" Target="/xl/worksheets/sheet17.xml" Id="R7335dddd464c401a" /><Relationship Type="http://schemas.openxmlformats.org/officeDocument/2006/relationships/worksheet" Target="/xl/worksheets/sheet18.xml" Id="R147e64fc13a74ecd" /><Relationship Type="http://schemas.openxmlformats.org/officeDocument/2006/relationships/worksheet" Target="/xl/worksheets/sheet19.xml" Id="R80bc857367e74dec" /><Relationship Type="http://schemas.openxmlformats.org/officeDocument/2006/relationships/worksheet" Target="/xl/worksheets/sheet20.xml" Id="Rfd3b2abc8c7d4b4b" /><Relationship Type="http://schemas.openxmlformats.org/officeDocument/2006/relationships/worksheet" Target="/xl/worksheets/sheet21.xml" Id="R4002125ab5364519" /><Relationship Type="http://schemas.openxmlformats.org/officeDocument/2006/relationships/worksheet" Target="/xl/worksheets/sheet22.xml" Id="Re3b949354d6d4ddc" /><Relationship Type="http://schemas.openxmlformats.org/officeDocument/2006/relationships/worksheet" Target="/xl/worksheets/sheet23.xml" Id="R0e9536da50be4f5b" /><Relationship Type="http://schemas.openxmlformats.org/officeDocument/2006/relationships/worksheet" Target="/xl/worksheets/sheet24.xml" Id="Rd21792e7f2914edc" /><Relationship Type="http://schemas.openxmlformats.org/officeDocument/2006/relationships/worksheet" Target="/xl/worksheets/sheet25.xml" Id="Rb8ae3227735d4806" /><Relationship Type="http://schemas.openxmlformats.org/officeDocument/2006/relationships/worksheet" Target="/xl/worksheets/sheet26.xml" Id="Rffdcfe7027704572" /></Relationships>
</file>

<file path=xl/drawings/_rels/drawing1.xml.rels>&#65279;<?xml version="1.0" encoding="utf-8"?><Relationships xmlns="http://schemas.openxmlformats.org/package/2006/relationships"><Relationship Type="http://schemas.openxmlformats.org/officeDocument/2006/relationships/chart" Target="/xl/drawings/charts/chart1.xml" Id="R3fbbcdbe9e7d47d3"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fbbcdbe9e7d47d3"/>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661935eef1194a11" /></Relationships>
</file>

<file path=xl/worksheets/_rels/sheet2.xml.rels>&#65279;<?xml version="1.0" encoding="utf-8"?><Relationships xmlns="http://schemas.openxmlformats.org/package/2006/relationships"><Relationship Type="http://schemas.openxmlformats.org/officeDocument/2006/relationships/table" Target="/xl/tables/table2.xml" Id="Ra99272c89501422e" /></Relationships>
</file>

<file path=xl/worksheets/_rels/sheet3.xml.rels>&#65279;<?xml version="1.0" encoding="utf-8"?><Relationships xmlns="http://schemas.openxmlformats.org/package/2006/relationships"><Relationship Type="http://schemas.openxmlformats.org/officeDocument/2006/relationships/drawing" Target="/xl/drawings/drawing1.xml" Id="R2ff3317762e04406" /></Relationships>
</file>

<file path=xl/worksheets/_rels/sheet4.xml.rels>&#65279;<?xml version="1.0" encoding="utf-8"?><Relationships xmlns="http://schemas.openxmlformats.org/package/2006/relationships"><Relationship Type="http://schemas.openxmlformats.org/officeDocument/2006/relationships/table" Target="/xl/tables/table3.xml" Id="R195e8d5f49694dba" /></Relationships>
</file>

<file path=xl/worksheets/_rels/sheet5.xml.rels>&#65279;<?xml version="1.0" encoding="utf-8"?><Relationships xmlns="http://schemas.openxmlformats.org/package/2006/relationships"><Relationship Type="http://schemas.openxmlformats.org/officeDocument/2006/relationships/table" Target="/xl/tables/table4.xml" Id="R816efc81364d436e" /></Relationships>
</file>

<file path=xl/worksheets/_rels/sheet6.xml.rels>&#65279;<?xml version="1.0" encoding="utf-8"?><Relationships xmlns="http://schemas.openxmlformats.org/package/2006/relationships"><Relationship Type="http://schemas.openxmlformats.org/officeDocument/2006/relationships/table" Target="/xl/tables/table5.xml" Id="R9094275c0f394f89" /></Relationships>
</file>

<file path=xl/worksheets/_rels/sheet7.xml.rels>&#65279;<?xml version="1.0" encoding="utf-8"?><Relationships xmlns="http://schemas.openxmlformats.org/package/2006/relationships"><Relationship Type="http://schemas.openxmlformats.org/officeDocument/2006/relationships/table" Target="/xl/tables/table6.xml" Id="R6ba4e0ec19f04225" /></Relationships>
</file>

<file path=xl/worksheets/_rels/sheet9.xml.rels>&#65279;<?xml version="1.0" encoding="utf-8"?><Relationships xmlns="http://schemas.openxmlformats.org/package/2006/relationships"><Relationship Type="http://schemas.openxmlformats.org/officeDocument/2006/relationships/table" Target="/xl/tables/table7.xml" Id="R5c5145c32e9140ae" /></Relationships>
</file>

<file path=xl/worksheets/_rels/sheet10.xml.rels>&#65279;<?xml version="1.0" encoding="utf-8"?><Relationships xmlns="http://schemas.openxmlformats.org/package/2006/relationships"><Relationship Type="http://schemas.openxmlformats.org/officeDocument/2006/relationships/table" Target="/xl/tables/table8.xml" Id="Rbc8a2c27f2504672" /></Relationships>
</file>

<file path=xl/worksheets/_rels/sheet11.xml.rels>&#65279;<?xml version="1.0" encoding="utf-8"?><Relationships xmlns="http://schemas.openxmlformats.org/package/2006/relationships"><Relationship Type="http://schemas.openxmlformats.org/officeDocument/2006/relationships/table" Target="/xl/tables/table9.xml" Id="R9f9c181c6c124e3e" /></Relationships>
</file>

<file path=xl/worksheets/_rels/sheet13.xml.rels>&#65279;<?xml version="1.0" encoding="utf-8"?><Relationships xmlns="http://schemas.openxmlformats.org/package/2006/relationships"><Relationship Type="http://schemas.openxmlformats.org/officeDocument/2006/relationships/table" Target="/xl/tables/table10.xml" Id="R74526852955b4243" /></Relationships>
</file>

<file path=xl/worksheets/_rels/sheet14.xml.rels>&#65279;<?xml version="1.0" encoding="utf-8"?><Relationships xmlns="http://schemas.openxmlformats.org/package/2006/relationships"><Relationship Type="http://schemas.openxmlformats.org/officeDocument/2006/relationships/table" Target="/xl/tables/table11.xml" Id="R85cb4184b1174c86" /></Relationships>
</file>

<file path=xl/worksheets/_rels/sheet15.xml.rels>&#65279;<?xml version="1.0" encoding="utf-8"?><Relationships xmlns="http://schemas.openxmlformats.org/package/2006/relationships"><Relationship Type="http://schemas.openxmlformats.org/officeDocument/2006/relationships/table" Target="/xl/tables/table12.xml" Id="Rbc4b48afb9e14475" /></Relationships>
</file>

<file path=xl/worksheets/_rels/sheet16.xml.rels>&#65279;<?xml version="1.0" encoding="utf-8"?><Relationships xmlns="http://schemas.openxmlformats.org/package/2006/relationships"><Relationship Type="http://schemas.openxmlformats.org/officeDocument/2006/relationships/table" Target="/xl/tables/table13.xml" Id="R78cb5f033720400b"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v>✓</x:v>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str">
        <x:v>Completed</x:v>
      </x:c>
      <x:c r="I289" s="133" t="str">
        <x:v>Project Owner / Product / Engineering</x:v>
      </x:c>
      <x:c r="J289" s="133" t="str"/>
      <x:c r="K289" s="133" t="inlineStr">
        <x:is>
          <x:t xml:space="preserve">13F-02</x:t>
        </x:is>
      </x:c>
      <x:c r="L289" s="133" t="str"/>
      <x:c r="M289" s="133" t="str">
        <x:v>PASS / EXECUTIVE GUIDANCE FREQUENCY CONTROLS PUBLISHED — Commit b94f88cf7c1d713310ed582b6f048beaa0839362 adds exactly two domain-neutral files: src/lib/guidance/executive-guidance-frequency.ts and src/lib/guidance/executive-guidance-frequency.test.ts. The pure caller-state contract enforces a proactive page-load quota of one, keeps REQUESTED guidance independent of that quota, blocks dismissed/completed L3 anchored coachmarks, and rejects unknown/ineligible contexts without consuming quota.</x:v>
      </x:c>
      <x:c r="N289" s="249" t="n"/>
      <x:c r="O289" s="249" t="n">
        <x:v>46296</x:v>
      </x:c>
      <x:c r="P289" s="135" t="str">
        <x:v>Validation before publication: focused tests PASS (7), lint PASS, build PASS, git diff --check PASS; both files CLEAN-SCOPE. Remote verification confirmed parent d3519bcc850fcf6ced4c57e25351e8da7d106f8d and exactly two authorized files. No localStorage/sessionStorage/cookies/indexedDB/database persistence, snooze/timestamp/cooldown logic, React/hooks/context, UI components, routes, API, auth, Ask Nexus behavior or product integration was introduced. Non-coachmark dismissal/completion semantics were not invented. Next executable canonical task: 13F-04 — Implement seen/dismissed/snoozed guidance memory.</x:v>
      </x:c>
    </x:row>
    <x:row r="290">
      <x:c r="A290" s="133" t="str">
        <x:v>✓</x:v>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str">
        <x:v>Completed</x:v>
      </x:c>
      <x:c r="I290" s="133" t="str">
        <x:v>Project Owner / Product / Engineering</x:v>
      </x:c>
      <x:c r="J290" s="133" t="str"/>
      <x:c r="K290" s="133" t="inlineStr">
        <x:is>
          <x:t xml:space="preserve">13F-03</x:t>
        </x:is>
      </x:c>
      <x:c r="L290" s="133" t="str"/>
      <x:c r="M290" s="133" t="str">
        <x:v>PASS / EXECUTIVE GUIDANCE MEMORY CONTRACT PUBLISHED — Commit 61e8f84005b4884d96b18a00df476038ea6dead7 adds exactly two domain-neutral files: src/lib/guidance/executive-guidance-memory.ts and src/lib/guidance/executive-guidance-memory.test.ts. The caller-owned contract defines unseen, seen, dismissed, snoozed and completed states; seen does not permanently suppress; dismissed/completed suppress repeat tutorial guidance; snoozed suppresses only until caller-provided snoozedUntil and then reopens consideration.</x:v>
      </x:c>
      <x:c r="N290" s="249" t="n"/>
      <x:c r="O290" s="249" t="n">
        <x:v>46296</x:v>
      </x:c>
      <x:c r="P290" s="135" t="str">
        <x:v>Validation before publication: focused tests PASS (6), lint PASS, build PASS, git diff --check PASS; both files CLEAN-SCOPE. Remote verification confirmed parent f7fd16450bebca44149b810091d2300ec9a918fe and exactly two authorized files. Remind Me Later maps to snoozed, invalid/missing snooze deadlines fail safely without indefinite suppression, and all time evaluation uses caller-provided now. No localStorage/sessionStorage/cookies/indexedDB/database/Supabase persistence, hidden clocks, timers, React/hooks/context, UI components, routes, API, auth, Ask Nexus behavior or product integration was introduced. Next executable canonical task: 13F-05 — Create inline hint component.</x:v>
      </x:c>
    </x:row>
    <x:row r="291">
      <x:c r="A291" s="133" t="str">
        <x:v>✓</x:v>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str">
        <x:v>Completed</x:v>
      </x:c>
      <x:c r="I291" s="133" t="str">
        <x:v>Project Owner / Product / Engineering</x:v>
      </x:c>
      <x:c r="J291" s="133" t="str"/>
      <x:c r="K291" s="133" t="inlineStr">
        <x:is>
          <x:t xml:space="preserve">13C-09</x:t>
        </x:is>
      </x:c>
      <x:c r="L291" s="133" t="str"/>
      <x:c r="M291" s="133" t="str">
        <x:v>PASS / EXECUTIVE INLINE HINT COMPONENT PUBLISHED — Commit d1793c8253449ad4d71aedf6908e44daf057461c adds exactly two files: src/components/executive/executive-inline-hint.tsx and src/components/executive/executive-inline-hint.test.ts. ExecutiveInlineHint is a reusable L1 presentation-only contextual hint that reuses EXECUTIVE_FORM_HELPER, accepts caller-provided id for aria-describedby associations, wraps long text responsively, and remains always-visible, non-modal and non-blocking.</x:v>
      </x:c>
      <x:c r="N291" s="249" t="n"/>
      <x:c r="O291" s="249" t="n">
        <x:v>46296</x:v>
      </x:c>
      <x:c r="P291" s="135" t="str">
        <x:v>Validation before publication: focused tests PASS (5), lint PASS, build PASS, git diff --check PASS; both files CLEAN-SCOPE. Remote verification confirmed parent 135770ecd32f94a8003e210f5b893aa58c5ae0a2 and exactly two authorized files. No buttons/links/dialogs/popovers/tooltips/live regions, React state/hooks, routing, requests, timers, eligibility/frequency/memory ownership, new design tokens, RFQ/procurement-specific logic or product-page integration was introduced. Next executable canonical task: 13F-06 — Create contextual guidance card.</x:v>
      </x:c>
    </x:row>
    <x:row r="292">
      <x:c r="A292" s="133" t="str">
        <x:v>✓</x:v>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str">
        <x:v>Completed</x:v>
      </x:c>
      <x:c r="I292" s="133" t="str">
        <x:v>Project Owner / Product / Engineering</x:v>
      </x:c>
      <x:c r="J292" s="133" t="str"/>
      <x:c r="K292" s="133" t="inlineStr">
        <x:is>
          <x:t xml:space="preserve">13C-15</x:t>
        </x:is>
      </x:c>
      <x:c r="L292" s="133" t="str"/>
      <x:c r="M292" s="133" t="str">
        <x:v>PASS / EXECUTIVE CONTEXTUAL GUIDANCE CARD PUBLISHED — Commit f90844661a664a12354c2a239c6aec9c3ce2ab0e adds exactly two files: src/components/executive/executive-guidance-card.tsx and src/components/executive/executive-guidance-card.test.ts. ExecutiveGuidanceCard is a reusable L2 embedded guidance primitive built on ExecutivePanel with optional caller-owned Review and Dismiss actions using the shared EXECUTIVE_BUTTON_SECONDARY and EXECUTIVE_BUTTON_TERTIARY contracts.</x:v>
      </x:c>
      <x:c r="N292" s="249" t="n"/>
      <x:c r="O292" s="249" t="n">
        <x:v>46296</x:v>
      </x:c>
      <x:c r="P292" s="135" t="str">
        <x:v>Validation before publication: focused tests PASS (6), lint PASS, build PASS, git diff --check PASS; both files CLEAN-SCOPE. Remote verification confirmed parent c0998c1973e833e7fb6b58c63b01f940a3fef65c and exactly two authorized files. The card remains embedded, non-modal and non-blocking; action buttons render only when both label and handler are supplied and use type=button. No component-owned state, routing, persistence, eligibility/frequency/memory logic, new design tokens, API/database/auth, RFQ/procurement-specific behavior or product-page integration was introduced. Next executable canonical task: 13F-07 — Create anchored first-use coachmark.</x:v>
      </x:c>
    </x:row>
    <x:row r="293">
      <x:c r="A293" s="133" t="str">
        <x:v>✓</x:v>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str">
        <x:v>Completed</x:v>
      </x:c>
      <x:c r="I293" s="133" t="str">
        <x:v>Project Owner / Product / Engineering</x:v>
      </x:c>
      <x:c r="J293" s="133" t="str"/>
      <x:c r="K293" s="133" t="inlineStr">
        <x:is>
          <x:t xml:space="preserve">13F-04</x:t>
        </x:is>
      </x:c>
      <x:c r="L293" s="133" t="str"/>
      <x:c r="M293" s="133" t="str">
        <x:v>PASS / EXECUTIVE ANCHORED COACHMARK PUBLISHED — Commit 397bbfcfaecaec1c34c19f3a1863b983ff55f75a adds exactly two files: src/components/executive/executive-coachmark.tsx and src/components/executive/executive-coachmark.test.ts. ExecutiveCoachmark is a reusable L3 caller-controlled anchored coachmark that preserves the real caller-provided anchor, renders only when open, and reuses EXECUTIVE_POPOVER_SURFACE / PLACEMENT / MOTION plus shared executive button contracts.</x:v>
      </x:c>
      <x:c r="N293" s="249" t="n"/>
      <x:c r="O293" s="249" t="n">
        <x:v>46296</x:v>
      </x:c>
      <x:c r="P293" s="135" t="str">
        <x:v>Validation before publication: focused tests PASS (7), lint PASS, build PASS, git diff --check PASS; both files CLEAN-SCOPE. Remote verification confirmed parent 9e51861f692f17c478f6148c11c931ea303c7bef and exactly two authorized files. The coachmark is non-modal with no overlay, portal, dialog role, focus trap or invented anchor; open/replay state and optional action/dismiss effects remain caller-owned. No eligibility/frequency/memory/persistence, Help system, routing, API/database/auth, RFQ/procurement-specific behavior or product-page integration was introduced. Next executable canonical task: 13F-08 — Create Nexus Guide side panel.</x:v>
      </x:c>
    </x:row>
    <x:row r="294">
      <x:c r="A294" s="133" t="str">
        <x:v>✓</x:v>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str">
        <x:v>Completed</x:v>
      </x:c>
      <x:c r="I294" s="133" t="str">
        <x:v>Project Owner / Product / Engineering</x:v>
      </x:c>
      <x:c r="J294" s="133" t="str"/>
      <x:c r="K294" s="133" t="inlineStr">
        <x:is>
          <x:t xml:space="preserve">13C-08</x:t>
        </x:is>
      </x:c>
      <x:c r="L294" s="133" t="str"/>
      <x:c r="M294" s="133" t="str">
        <x:v>PASS / EXECUTIVE NEXUS GUIDE PANEL PUBLISHED — Commit aa358c01d7f4869a5ae2e77cb00ea62bc85478b4 adds exactly two files: src/components/executive/executive-nexus-guide.tsx and src/components/executive/executive-nexus-guide.test.ts. ExecutiveNexusGuide is a reusable caller-controlled side panel built on the shared Executive Drawer contracts and presents only caller-supplied workflow, readiness, attention items, suggested next step, and optional action nodes.</x:v>
      </x:c>
      <x:c r="N294" s="249" t="n"/>
      <x:c r="O294" s="249" t="n">
        <x:v>46296</x:v>
      </x:c>
      <x:c r="P294" s="135" t="str">
        <x:v>Validation before publication: focused tests PASS (6), lint PASS, build PASS, git diff --check PASS; both files CLEAN-SCOPE. Remote verification confirmed parent 23d90057f02902b319ae75397529400e9ce5a17e and exactly two authorized files. Closed state renders nothing; empty sections are omitted; close is a caller-owned type=button control; long content wraps responsively. No AI/Ask Nexus/chat/prompt behavior, workflow/readiness/risk inference, fetching/data loading, routing/deep-link generation, eligibility/frequency/memory ownership, persistence/storage, API/database/auth, RFQ/procurement logic, new design tokens or product-page integration was introduced. Next executable canonical task: 13F-09 — Add RFI/clarification contextual guidance.</x:v>
      </x:c>
    </x:row>
    <x:row r="295">
      <x:c r="A295" s="133" t="str">
        <x:v>✓</x:v>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str">
        <x:v>Completed</x:v>
      </x:c>
      <x:c r="I295" s="133" t="str">
        <x:v>Project Owner / Product / Engineering</x:v>
      </x:c>
      <x:c r="J295" s="133" t="str"/>
      <x:c r="K295" s="133" t="inlineStr">
        <x:is>
          <x:t xml:space="preserve">13F-06</x:t>
        </x:is>
      </x:c>
      <x:c r="L295" s="133" t="str"/>
      <x:c r="M295" s="133" t="str">
        <x:v>PASS / RFI CONTEXTUAL GUIDANCE PUBLISHED — Commit 0bc78e96f7dcbe425f27548f964f10e4e7c31477 changes exactly four authorized files: src/lib/guidance/rfi-contextual-guidance.ts, src/lib/guidance/rfi-contextual-guidance.test.ts, src/components/rfq-workspace/rfq-rfi-workspace.tsx, and src/components/rfq-workspace/rfq-rfi-submission.test.ts. A pure RFI guidance resolver now produces at most one truthful contextual guidance item from explicit caller signals and existing deadline/open-RFI state.</x:v>
      </x:c>
      <x:c r="N295" s="249" t="n"/>
      <x:c r="O295" s="249" t="n">
        <x:v>46296</x:v>
      </x:c>
      <x:c r="P295" s="135" t="str">
        <x:v>Validation before publication: focused tests PASS (9), lint PASS, build PASS, git diff --check PASS; all four files CLEAN-SCOPE. Remote verification confirmed parent 3ac2a514ea32ad2aa53f89b51a6a4a4ed2ef041b and exactly four authorized files. Approaching-deadline and owner/open-RFI guidance use real current state; ambiguity and Addendum impact require explicit true signals and are never inferred from RFI text or responses. RFQ RFI confidentiality wording, POST/PATCH submit/answer behavior, Addendum workflow, API/database/auth/RLS, deadline enforcement and product navigation remain unchanged. Next executable canonical task: 13F-10 — Add proposal readiness contextual guidance.</x:v>
      </x:c>
    </x:row>
    <x:row r="296">
      <x:c r="A296" s="133" t="str">
        <x:v>✓</x:v>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str">
        <x:v>Completed</x:v>
      </x:c>
      <x:c r="I296" s="133" t="str">
        <x:v>Project Owner / Product / Engineering</x:v>
      </x:c>
      <x:c r="J296" s="133" t="str"/>
      <x:c r="K296" s="133" t="inlineStr">
        <x:is>
          <x:t xml:space="preserve">13F-06</x:t>
        </x:is>
      </x:c>
      <x:c r="L296" s="133" t="str"/>
      <x:c r="M296" s="133" t="str">
        <x:v>PASS / QUOTATION READINESS CONTEXTUAL GUIDANCE PUBLISHED — Commit b553b9758ae99f802a96688ef34bf48af6efc130 changes exactly four authorized files: src/lib/guidance/quotation-readiness-guidance.ts, src/lib/guidance/quotation-readiness-guidance.test.ts, src/components/rfq-workspace/rfq-submit-workspace.tsx, and src/components/rfq-workspace/rfq-submit-page.test.ts. A pure quotation readiness resolver now produces at most one contextual guidance item from verified completeness evidence and outstanding required Addendum acknowledgement state.</x:v>
      </x:c>
      <x:c r="N296" s="249" t="n"/>
      <x:c r="O296" s="249" t="n">
        <x:v>46296</x:v>
      </x:c>
      <x:c r="P296" s="135" t="str">
        <x:v>Validation before publication: focused tests PASS (18), lint PASS, build PASS, git diff --check PASS; all four files CLEAN-SCOPE. Remote verification confirmed parent 768b247f2305dcd33a81901b8c7f86f207e24cf2 and exactly four authorized files. Required Addendum acknowledgement is prioritized; missing amount/timeline/commercial-note evidence is combined into one truthful guidance item; compliance/documents require explicit true signals and are not inferred in the submit workspace. Existing completeness UI and submit/reconfirm/resubmit mutation contracts, Quote API/payloads, deadline enforcement, revalidation logic, database/auth/RLS and navigation remain unchanged. Next executable canonical task: 13F-11 — Add evaluation exception guidance.</x:v>
      </x:c>
    </x:row>
    <x:row r="297">
      <x:c r="A297" s="133" t="str">
        <x:v>✓</x:v>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str">
        <x:v>Completed</x:v>
      </x:c>
      <x:c r="I297" s="133" t="str">
        <x:v>Project Owner / Product / Engineering</x:v>
      </x:c>
      <x:c r="J297" s="133" t="str"/>
      <x:c r="K297" s="133" t="inlineStr">
        <x:is>
          <x:t xml:space="preserve">13F-06</x:t>
        </x:is>
      </x:c>
      <x:c r="L297" s="133" t="str"/>
      <x:c r="M297" s="133" t="str">
        <x:v>PASS / EVALUATION EXCEPTION GUIDANCE PUBLISHED — Commit 53911307de96669fd5091f92375b2015301536b4 changes exactly four authorized files: src/lib/guidance/evaluation-exception-guidance.ts, src/lib/guidance/evaluation-exception-guidance.test.ts, src/components/rfq-workspace/rfq-quote-comparison.tsx, and src/components/rfq-workspace/rfq-quote-comparison.test.ts. A pure evaluation-exception resolver now produces at most one issuer review guidance item from existing comparison evidence.</x:v>
      </x:c>
      <x:c r="N297" s="249" t="n"/>
      <x:c r="O297" s="249" t="n">
        <x:v>46296</x:v>
      </x:c>
      <x:c r="P297" s="135" t="str">
        <x:v>Validation before publication: focused tests PASS (14), lint PASS, build PASS, git diff --check PASS; all four files CLEAN-SCOPE. Remote verification confirmed parent 1becc32b1665c33ffa43b8a3cc7181c86e2ecda4 and exactly four authorized files. Material revalidation is prioritized; high-risk evidence is derived only from existing riskLevel; highest-price evidence only from existing isHighest. No new thresholds, data access, AI/inference, commercial unlock change, issuer authorization change, ranking/scoring/recommendation change or award behavior change was introduced. Next executable canonical task: 13F-12 — Add attention guidance to Activity Center.</x:v>
      </x:c>
    </x:row>
    <x:row r="298">
      <x:c r="A298" s="133" t="str">
        <x:v>✓</x:v>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str">
        <x:v>Completed</x:v>
      </x:c>
      <x:c r="I298" s="133" t="str">
        <x:v>Project Owner / Product / Engineering</x:v>
      </x:c>
      <x:c r="J298" s="133" t="str"/>
      <x:c r="K298" s="133" t="inlineStr">
        <x:is>
          <x:t xml:space="preserve">13F-06</x:t>
        </x:is>
      </x:c>
      <x:c r="L298" s="133" t="str"/>
      <x:c r="M298" s="133" t="str">
        <x:v>PASS / ACTIVITY CENTER ATTENTION GUIDANCE PUBLISHED — Commit 9d2060830c903e6bb184197b3bae78571aa05b7b changes exactly four authorized files: src/lib/guidance/activity-attention-guidance.ts, src/lib/guidance/activity-attention-guidance.test.ts, src/app/notifications/page.tsx, and src/lib/procurement/activity-center-prioritization.test.ts. Needs Attention rows now explain why supported priority events matter and reuse only the already-authorized RFQ source href.</x:v>
      </x:c>
      <x:c r="N298" s="249" t="n"/>
      <x:c r="O298" s="249" t="n">
        <x:v>46296</x:v>
      </x:c>
      <x:c r="P298" s="135" t="str">
        <x:v>Validation before publication: focused tests PASS (11), lint PASS, build PASS, git diff --check PASS; all four files CLEAN-SCOPE. Remote verification confirmed parent 380ff3d097fbe5856a7f77056d4c8c6a74e85305 and exactly four authorized files. Supported rationales cover addendum_action_required, rfi, rfi_response, and quote; unknown/non-attention types are suppressed. Deep links use only resolveRfqSourceHref()-derived sourceHref, no title/message parsing or invented routes, no priority-order change, no Updates/History change, no duplicate source action, and no new data/API/database/AI behavior. Next executable canonical task: 13F-13 — Standardize guidance writing tone.</x:v>
      </x:c>
    </x:row>
    <x:row r="299">
      <x:c r="A299" s="133" t="str">
        <x:v>✓</x:v>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str">
        <x:v>Completed</x:v>
      </x:c>
      <x:c r="I299" s="133" t="str">
        <x:v>Project Owner / Product / Engineering</x:v>
      </x:c>
      <x:c r="J299" s="133" t="str"/>
      <x:c r="K299" s="133" t="inlineStr">
        <x:is>
          <x:t xml:space="preserve">13F-01</x:t>
        </x:is>
      </x:c>
      <x:c r="L299" s="133" t="str"/>
      <x:c r="M299" s="133" t="str">
        <x:v>PASS / GUIDANCE WRITING TONE STANDARDIZED — Commit 9324616d59d52f4b614c8cc3712e1f4caa87caef changes exactly eight authorized guidance source/test files across RFI, quotation readiness, evaluation exceptions, and Activity attention. Guidance copy is now concise, professional, procurement-accurate, non-patronizing, and action-oriented while preserving resolver logic and priorities.</x:v>
      </x:c>
      <x:c r="N299" s="249" t="n"/>
      <x:c r="O299" s="249" t="n">
        <x:v>46296</x:v>
      </x:c>
      <x:c r="P299" s="135" t="str">
        <x:v>Validation before publication: focused tests PASS (27), lint PASS, build PASS, git diff --check PASS; all eight files CLEAN-SCOPE. Remote verification confirmed parent 727e0bcb5fba0263091a64fb96d6b6301c368c74 and exactly eight authorized files. No UI/product file, resolver input/output shape, resolver condition/priority, routing, API, database/auth/RLS, commercial lifecycle, scoring/ranking, award behavior or guidance eligibility/frequency/memory logic changed. Tone-contract tests prohibit patronizing/informal/hype language and preserve procurement terminology, confidentiality and governance semantics. Next executable canonical task: 13F-14 — Guidance annoyance review.</x:v>
      </x:c>
    </x:row>
    <x:row r="300">
      <x:c r="A300" s="133" t="str">
        <x:v>✓</x:v>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str">
        <x:v>Completed</x:v>
      </x:c>
      <x:c r="I300" s="133" t="str">
        <x:v>Project Owner / Product / Engineering</x:v>
      </x:c>
      <x:c r="J300" s="133" t="str"/>
      <x:c r="K300" s="133" t="inlineStr">
        <x:is>
          <x:t xml:space="preserve">13F-12</x:t>
        </x:is>
      </x:c>
      <x:c r="L300" s="133" t="str"/>
      <x:c r="M300" s="133" t="str">
        <x:v>PASS / GUIDANCE ANNOYANCE REVIEW COMPLETE — Real-user walkthrough now covers all integrated Phase 13F guidance surfaces. Quote Comparison, Private RFI, Activity Center, and Quotation Submit/Revalidation all PASS. Final respondent QA used the existing Gulf Coast Concrete Solutions LLC supplier session and existing Development data only; no code, database, auth-data, fixture, RFQ, quotation, Addendum, or deadline mutation occurred.</x:v>
      </x:c>
      <x:c r="N300" s="249" t="n"/>
      <x:c r="O300" s="249" t="n">
        <x:v>46296</x:v>
      </x:c>
      <x:c r="P300" s="135" t="str">
        <x:v>Final QA on HEAD e94e48429f8252cc0af7e72152788ae7d040dfd4: Outstanding Addendum state PASS — submit workspace mounted; evidence-matched guidance; exactly one card; Addendum precedence correct; no competing missing-input guidance; primary controls dominant/reachable; no unsupported compliance/documents guidance. Complete state PASS — submit workspace mounted; quiet state; completeness presentation acceptable; primary controls dominant/reachable; no unsupported compliance/documents guidance. Responsive PASS — no horizontal overflow and no viewport takeover. Prior PASS evidence retained for Quote Comparison, Private RFI, Activity Center, and global annoyance checks. No confidentiality/domain regression, unsupported guidance, P0/P1 product defect, code change, database change, auth-data change, commit or push. 13F-14 CLOSED. Phase 13F Contextual Guidance Framework CLOSED.</x:v>
      </x:c>
    </x:row>
    <x:row r="301">
      <x:c r="A301" s="133" t="str">
        <x:v>✓</x:v>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str">
        <x:v>Completed</x:v>
      </x:c>
      <x:c r="I301" s="133" t="str">
        <x:v>Project Owner / Product / Engineering</x:v>
      </x:c>
      <x:c r="J301" s="133" t="inlineStr">
        <x:is>
          <x:t xml:space="preserve">Cursor UI 08</x:t>
        </x:is>
      </x:c>
      <x:c r="K301" s="133" t="inlineStr">
        <x:is>
          <x:t xml:space="preserve">13F-14</x:t>
        </x:is>
      </x:c>
      <x:c r="L301" s="133" t="str"/>
      <x:c r="M301" s="133" t="str">
        <x:v>PASS / ASK NEXUS TRUST BOUNDARIES PUBLISHED — Commit f0681a33374947f1fe0ff5063c8d248d0f905f9a adds exactly two authorized files: src/lib/ask-nexus/ask-nexus-trust-policy.ts and src/lib/ask-nexus/ask-nexus-trust-policy.test.ts. The pure domain-neutral policy separates explain, navigate, advise, and consequential-action trust states without executing mutations or duplicating domain authorization.</x:v>
      </x:c>
      <x:c r="N301" s="249" t="n"/>
      <x:c r="O301" s="249" t="n">
        <x:v>46296</x:v>
      </x:c>
      <x:c r="P301" s="135" t="str">
        <x:v>Validation before publication: focused tests PASS (14), lint PASS, build PASS, git diff --check PASS; both files CLEAN-SCOPE. Remote verification confirmed parent b41912228b79848c92aca59bf93d9720447f3afc and exactly two authorized files. Explain/advise remain informational and non-binding; navigation accepts only caller-supplied authorized hrefs; consequential actions require explicit permission and confirmation and still require execution-time authorization revalidation. No UI/API/database/auth, route synthesis, AI permission inference, mutation execution, or duplicated domain authorization logic was introduced. Next executable canonical task: 13G-02 — Pass authorized page/workflow context to help.</x:v>
      </x:c>
    </x:row>
    <x:row r="302">
      <x:c r="A302" s="133" t="str">
        <x:v>✓</x:v>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str">
        <x:v>Completed</x:v>
      </x:c>
      <x:c r="I302" s="133" t="str">
        <x:v>Project Owner / Product / Engineering</x:v>
      </x:c>
      <x:c r="J302" s="133" t="str"/>
      <x:c r="K302" s="133" t="inlineStr">
        <x:is>
          <x:t xml:space="preserve">13G-01</x:t>
        </x:is>
      </x:c>
      <x:c r="L302" s="133" t="inlineStr">
        <x:is>
          <x:t xml:space="preserve">G7</x:t>
        </x:is>
      </x:c>
      <x:c r="M302" s="133" t="str">
        <x:v>PASS / ASK NEXUS AUTHORIZED CONTEXT PUBLISHED — Commit 81ce911695fa88340b142a044cbca7c9dfe0e898 adds exactly two authorized files: src/lib/ask-nexus/ask-nexus-context.ts and src/lib/ask-nexus/ask-nexus-context.test.ts. The pure context contract retains only caller-authorized company/project/RFQ resources, preserves caller-supplied RFQ navigation, and normalizes facts without permission or role inference.</x:v>
      </x:c>
      <x:c r="N302" s="249" t="n"/>
      <x:c r="O302" s="249" t="n">
        <x:v>46296</x:v>
      </x:c>
      <x:c r="P302" s="135" t="str">
        <x:v>Validation before publication: focused tests PASS (19), lint PASS, build PASS, git diff --check PASS; both files CLEAN-SCOPE. Remote verification confirmed parent cbb5e52369436192daa4dd93c49fecd257169ee5 and exactly two authorized files. Company/project/RFQ authorization remains independently scoped; unauthorized resources are dropped; RFQ href is caller-supplied only; facts normalize/deduplicate without creating authorization. No route synthesis, role/procurement inference, data/API/database access, broad repository import, duplicated authorization logic, UI/API/database/auth change, or execution fields were introduced. Next executable canonical task: 13G-03 — Add context-specific suggested questions.</x:v>
      </x:c>
    </x:row>
    <x:row r="303">
      <x:c r="A303" s="133" t="str">
        <x:v>✓</x:v>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str">
        <x:v>Completed</x:v>
      </x:c>
      <x:c r="I303" s="133" t="str">
        <x:v>Project Owner / Product / Engineering</x:v>
      </x:c>
      <x:c r="J303" s="133" t="str"/>
      <x:c r="K303" s="133" t="inlineStr">
        <x:is>
          <x:t xml:space="preserve">13G-02</x:t>
        </x:is>
      </x:c>
      <x:c r="L303" s="133" t="str"/>
      <x:c r="M303" s="133" t="str">
        <x:v>PASS / ASK NEXUS SUGGESTED QUESTIONS PUBLISHED — Commit 4305f500996a9849a08c654872e6503db675b730 adds exactly two authorized files: src/lib/ask-nexus/ask-nexus-suggested-questions.ts and src/lib/ask-nexus/ask-nexus-suggested-questions.test.ts. The pure resolver generates at most four deterministic context-specific questions from AskNexusAuthorizedContext only.</x:v>
      </x:c>
      <x:c r="N303" s="249" t="n"/>
      <x:c r="O303" s="249" t="n">
        <x:v>46296</x:v>
      </x:c>
      <x:c r="P303" s="135" t="str">
        <x:v>Validation before publication: focused tests PASS (16), lint PASS, build PASS, git diff --check PASS; both files CLEAN-SCOPE. Remote verification confirmed parent 5146f2dc7cd4d13587f2d72bd424f631da3d52af and exactly two authorized files. Stable order is next_step, change, incomplete, explain; RFQ/project/company specificity is derived only from already-authorized non-null resources. No authorization inheritance, fact-value parsing, label-based permission/domain inference, consequential-action wording, route synthesis, permission/role logic, AI/data/API/database access, or context/trust module changes were introduced. Next executable canonical task: 13G-04 — Add Guide This Page mode.</x:v>
      </x:c>
    </x:row>
    <x:row r="304">
      <x:c r="A304" s="133" t="str">
        <x:v>✓</x:v>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str">
        <x:v>Completed</x:v>
      </x:c>
      <x:c r="I304" s="133" t="str">
        <x:v>Project Owner / Product / Engineering</x:v>
      </x:c>
      <x:c r="J304" s="133" t="str"/>
      <x:c r="K304" s="133" t="inlineStr">
        <x:is>
          <x:t xml:space="preserve">13F-07</x:t>
        </x:is>
      </x:c>
      <x:c r="L304" s="133" t="str"/>
      <x:c r="M304" s="133" t="str">
        <x:v>PASS / GUIDE THIS PAGE REPLAY MODE PUBLISHED — Commit 6cd8ab4178274169bba26e6f3953d3c364480e15 adds exactly two authorized files: src/components/executive/ask-nexus-guide-this-page.tsx and src/components/executive/ask-nexus-guide-this-page.test.ts. The reusable controller provides explicit user-invoked replay over existing ExecutiveCoachmark anchors with caller-owned active-step state.</x:v>
      </x:c>
      <x:c r="N304" s="249" t="n"/>
      <x:c r="O304" s="249" t="n">
        <x:v>46296</x:v>
      </x:c>
      <x:c r="P304" s="135" t="str">
        <x:v>Validation before publication: focused tests PASS (15), lint PASS, build PASS, git diff --check PASS; both files CLEAN-SCOPE. Remote verification confirmed parent f3214c2e4282b04998a766a48f45928fb2f9f8ff and exactly two authorized files. Guide start is explicit only; replay remains available after close/completion; invalid/duplicate steps normalize deterministically; next/previous/close are caller-state transitions only; final step closes. ExecutiveCoachmark is reused without modifying the primitive, real caller anchors stay in place, and no auto-open, recurring popup logic, persistence/memory, DOM lookup/focus/scroll behavior, consequential action, routing, AI/data/API access, or existing primitive/module changes were introduced. Next executable canonical task: 13G-05 — Support safe deep-link navigation actions.</x:v>
      </x:c>
    </x:row>
    <x:row r="305">
      <x:c r="A305" s="133" t="str">
        <x:v>✓</x:v>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str">
        <x:v>Completed</x:v>
      </x:c>
      <x:c r="I305" s="133" t="str">
        <x:v>Project Owner / Product / Engineering</x:v>
      </x:c>
      <x:c r="J305" s="133" t="str"/>
      <x:c r="K305" s="133" t="inlineStr">
        <x:is>
          <x:t xml:space="preserve">13G-02</x:t>
        </x:is>
      </x:c>
      <x:c r="L305" s="133" t="str"/>
      <x:c r="M305" s="133" t="str">
        <x:v>PASS / SAFE ASK NEXUS DEEP LINKS PUBLISHED — Commit 6755bf19b4a8a2417e92e2c6993b5d14e791fc34 adds exactly two authorized files: src/lib/ask-nexus/ask-nexus-deep-link-actions.ts and src/lib/ask-nexus/ask-nexus-deep-link-actions.test.ts. The pure resolver projects caller-authorized destinations through the canonical Ask Nexus trust policy and returns navigation-ready metadata only.</x:v>
      </x:c>
      <x:c r="N305" s="249" t="n"/>
      <x:c r="O305" s="249" t="n">
        <x:v>46296</x:v>
      </x:c>
      <x:c r="P305" s="135" t="str">
        <x:v>Validation before publication: focused tests PASS (13), lint PASS, build PASS, git diff --check PASS; both files CLEAN-SCOPE. Remote verification confirmed parent 35947f15c54d80e0600f00e7e83c4589b183fa51 and exactly two authorized files. Every destination href is caller-supplied and routed through resolveAskNexusTrustPolicy(kind='navigate'); missing/empty hrefs and invalid id/label are dropped; duplicate ids preserve the first valid action; valid order is preserved. Kind/id/label do not grant authorization. No route synthesis, application-nav dependency, role/procurement authorization logic, navigation execution, mutation/consequential action, AI/data/API/database access, or existing trust/context/UI/API/database/auth change was introduced. Next executable canonical task: 13G-06 — Support Why is this flagged? evidence view.</x:v>
      </x:c>
    </x:row>
    <x:row r="306">
      <x:c r="A306" s="133" t="str">
        <x:v>✓</x:v>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str">
        <x:v>Completed</x:v>
      </x:c>
      <x:c r="I306" s="133" t="str">
        <x:v>Project Owner / Product / Engineering</x:v>
      </x:c>
      <x:c r="J306" s="133" t="str"/>
      <x:c r="K306" s="133" t="inlineStr">
        <x:is>
          <x:t xml:space="preserve">13G-02</x:t>
        </x:is>
      </x:c>
      <x:c r="L306" s="133" t="str"/>
      <x:c r="M306" s="133" t="str">
        <x:v>PASS / ASK NEXUS EVIDENCE VIEW PUBLISHED — Commit 972e3fc398429ec3d8609cfc0c39c5dcfef33de7 adds exactly two authorized files: src/lib/ask-nexus/ask-nexus-evidence-view.ts and src/lib/ask-nexus/ask-nexus-evidence-view.test.ts. The pure evidence projection exposes caller-supplied claim, explanation, evidence sources and limitations without generating rationale or recomputing evidence.</x:v>
      </x:c>
      <x:c r="N306" s="249" t="n"/>
      <x:c r="O306" s="249" t="n">
        <x:v>46296</x:v>
      </x:c>
      <x:c r="P306" s="135" t="str">
        <x:v>Validation before publication: focused tests PASS (12), lint PASS, build PASS, git diff --check PASS; both files CLEAN-SCOPE. Remote verification confirmed parent 44cd92582e99e308e77ef5b536dd7bf91ea42fa3 and exactly two authorized files. Invalid evidence sources are dropped; duplicate evidence ids preserve the first valid occurrence; source links pass through resolveAskNexusTrustPolicy(kind='navigate'); limitations normalize/deduplicate; evidence status is deterministic supported/limited; every valid result remains nonBinding. No route synthesis, risk/confidence/readiness/recommendation logic, executive evidence duplication, business-text parsing, role/permission inference, evidence discovery, AI/data/API/database access, or existing evidence/explainability/UI/API/database/auth change was introduced. Next executable canonical task: 13G-07 — Require confirmation for consequential assistant actions.</x:v>
      </x:c>
    </x:row>
    <x:row r="307">
      <x:c r="A307" s="133" t="str">
        <x:v>✓</x:v>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str">
        <x:v>Completed</x:v>
      </x:c>
      <x:c r="I307" s="133" t="str">
        <x:v>Project Owner / Product / Engineering</x:v>
      </x:c>
      <x:c r="J307" s="133" t="str"/>
      <x:c r="K307" s="133" t="inlineStr">
        <x:is>
          <x:t xml:space="preserve">13G-01</x:t>
        </x:is>
      </x:c>
      <x:c r="L307" s="133" t="str"/>
      <x:c r="M307" s="133" t="str">
        <x:v>PASS / ASK NEXUS CONSEQUENTIAL CONFIRMATION GATE PUBLISHED — Commit 262b8975cbe9343cefd12412fa99e815f15b6ce8 adds exactly two authorized files: src/lib/ask-nexus/ask-nexus-consequential-confirmation.ts and src/lib/ask-nexus/ask-nexus-consequential-confirmation.test.ts. The pure interaction-level contract reuses the canonical trust policy and requires both current caller-supplied permission and explicit user confirmation before an action can become execution-eligible.</x:v>
      </x:c>
      <x:c r="N307" s="249" t="n"/>
      <x:c r="O307" s="249" t="n">
        <x:v>46296</x:v>
      </x:c>
      <x:c r="P307" s="135" t="str">
        <x:v>Validation before publication: focused tests PASS (12), lint PASS, build PASS, git diff --check PASS; both files CLEAN-SCOPE. Remote verification confirmed parent 9dd63b1d85888b5d3d2b84bd5c2db490638acf12 and exactly two authorized files. Permission denial remains authoritative even when confirmation is true; permission plus confirmation is required for eligible_for_authorized_execution; every result requires permission, confirmation, and execution-time revalidation. Action kind/title/description do not infer authorization. No domain authorization duplication, execution helper/callback, mutation/API/data/database access, router/navigation, confirmation persistence/memory, UI/dialog integration, or existing trust/auth module change was introduced. Next executable canonical task: 13G-08 — Test Ask Nexus permission inheritance.</x:v>
      </x:c>
    </x:row>
    <x:row r="308">
      <x:c r="A308" s="133" t="str">
        <x:v>✓</x:v>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str">
        <x:v>Completed</x:v>
      </x:c>
      <x:c r="I308" s="133" t="str">
        <x:v>Project Owner / Product / Engineering</x:v>
      </x:c>
      <x:c r="J308" s="133" t="str"/>
      <x:c r="K308" s="133" t="inlineStr">
        <x:is>
          <x:t xml:space="preserve">13G-02</x:t>
        </x:is>
      </x:c>
      <x:c r="L308" s="133" t="inlineStr">
        <x:is>
          <x:t xml:space="preserve">G7</x:t>
        </x:is>
      </x:c>
      <x:c r="M308" s="133" t="str">
        <x:v>PASS / ASK NEXUS RFQ PERMISSION SCOPE PUBLISHED — Commit 3faecacf079c33323801f1fb020b21e7b065b4eb adds exactly two authorized files: src/lib/ask-nexus/ask-nexus-permission-scope.ts and src/lib/ask-nexus/ask-nexus-permission-scope.test.ts. The pure scope projection narrows existing authoritative RfqCapabilities for Ask Nexus and fails closed for respondent issuer-style capability inconsistencies.</x:v>
      </x:c>
      <x:c r="N308" s="249" t="n"/>
      <x:c r="O308" s="249" t="n">
        <x:v>46296</x:v>
      </x:c>
      <x:c r="P308" s="135" t="str">
        <x:v>Validation before publication: focused tests PASS (10), lint PASS, build PASS, git diff --check PASS; both files CLEAN-SCOPE. Remote verification confirmed parent 34ea98e4ce25ac3a17d4ea9fa34906c5021fa81c and exactly two authorized files. Tests exercise the real buildRfqCapabilities producer: respondent executive intelligence, commercial evaluation, recommended award path and competitor data are blocked; own-submission explanation follows authoritative capability; malformed respondent issuer-style flags fail closed. Issuer executive/commercial/recommendation explanation scopes never widen beyond authoritative booleans, and generic competitor-data scope is always false. No role/company/text inference, commercial deadline duplication, domain authorization duplication, data/API/database access, mutation/action logic, or existing procurement/Ask Nexus/UI/API/database/auth change was introduced. Next executable canonical task: 13G-09 — Define safe unavailable/low-confidence behavior.</x:v>
      </x:c>
    </x:row>
    <x:row r="309">
      <x:c r="A309" s="133" t="str">
        <x:v>✓</x:v>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str">
        <x:v>Completed</x:v>
      </x:c>
      <x:c r="I309" s="133" t="str">
        <x:v>Project Owner / Product / Engineering</x:v>
      </x:c>
      <x:c r="J309" s="133" t="str"/>
      <x:c r="K309" s="133" t="inlineStr">
        <x:is>
          <x:t xml:space="preserve">13G-06</x:t>
        </x:is>
      </x:c>
      <x:c r="L309" s="133" t="str"/>
      <x:c r="M309" s="133" t="str">
        <x:v>PASS / ASK NEXUS SAFE AVAILABILITY FALLBACK PUBLISHED — Commit 58961e78cc2ae77720c07b98f2d59353f34c18da adds exactly two authorized files: src/lib/ask-nexus/ask-nexus-availability.ts and src/lib/ask-nexus/ask-nexus-availability.test.ts. The pure fallback contract projects caller-supplied availability/confidence without calculating confidence or fabricating certainty.</x:v>
      </x:c>
      <x:c r="N309" s="249" t="n"/>
      <x:c r="O309" s="249" t="n">
        <x:v>46296</x:v>
      </x:c>
      <x:c r="P309" s="135" t="str">
        <x:v>Validation before publication: focused tests PASS (10), lint PASS, build PASS, git diff --check PASS; both files CLEAN-SCOPE. Remote verification confirmed parent 0ca05ba294e9b3ce3e6df317390c9206709975b6 and exactly two authorized files. Unavailable and limited evidence always remain non-definitive regardless of confidence; available+high may be definitive, while medium/low/unavailable/null remain caveated. Caller summaries are preserved after trim, safe fixed fallback copy is used only when missing, limitations normalize/deduplicate without invention, malformed runtime values fail closed, and all results remain nonBinding. No confidence scoring/threshold duplication, evidence discovery, business/domain inference, text parsing, AI/data/API/database access, navigation/mutation/confirmation logic, UI changes, or existing module changes were introduced. Next executable canonical task: 13G-10 — Lazy-load help/intelligence panel.</x:v>
      </x:c>
    </x:row>
    <x:row r="310">
      <x:c r="A310" s="133" t="str">
        <x:v>✓</x:v>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str">
        <x:v>Completed</x:v>
      </x:c>
      <x:c r="I310" s="133" t="str">
        <x:v>Project Owner / Product / Engineering</x:v>
      </x:c>
      <x:c r="J310" s="133" t="str"/>
      <x:c r="K310" s="133" t="inlineStr">
        <x:is>
          <x:t xml:space="preserve">13G-01</x:t>
        </x:is>
      </x:c>
      <x:c r="L310" s="133" t="str"/>
      <x:c r="M310" s="133" t="str">
        <x:v>PASS / ASK NEXUS LAZY PERFORMANCE BOUNDARY PUBLISHED — Commit 35c81262a20beb7bfc8c8e0df9a051daa45d1497 adds exactly two authorized files: src/components/executive/lazy-executive-nexus-guide.tsx and src/components/executive/lazy-executive-nexus-guide.test.ts. The reusable client wrapper uses next/dynamic with ssr:false, returns null while closed, and defers ExecutiveNexusGuide rendering behind the dynamic import boundary.</x:v>
      </x:c>
      <x:c r="N310" s="249" t="n"/>
      <x:c r="O310" s="249" t="n">
        <x:v>46296</x:v>
      </x:c>
      <x:c r="P310" s="135" t="str">
        <x:v>Validation before publication: focused tests PASS (7), lint PASS, build PASS, dynamic build boundary PASS, git diff --check PASS; both files CLEAN-SCOPE. Remote verification confirmed parent 9b74b80ba808d7651d401eb4fca311149b0652b5 and exactly two authorized files. The wrapper has no runtime static ExecutiveNexusGuide import, uses a null loading fallback, leaves open state caller-owned, adds no auto-prefetch/preload, Ask Nexus business logic, data/API/database/AI access, drawer UI duplication, page/layout changes, or existing guide/design-system changes. Phase 13G Ask Nexus Interactive Help is now 10/10 PASS/CLOSED/PUBLISHED. Next executable canonical task: 13H-01 — Upgrade Executive Overview.</x:v>
      </x:c>
    </x:row>
    <x:row r="311">
      <x:c r="A311" s="133" t="str">
        <x:v>✓</x:v>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str">
        <x:v>Completed</x:v>
      </x:c>
      <x:c r="I311" s="133" t="str">
        <x:v>Project Owner / Product / Engineering</x:v>
      </x:c>
      <x:c r="J311" s="133" t="str"/>
      <x:c r="K311" s="133" t="inlineStr">
        <x:is>
          <x:t xml:space="preserve">13G-10</x:t>
        </x:is>
      </x:c>
      <x:c r="L311" s="133" t="str"/>
      <x:c r="M311" s="133" t="str">
        <x:v>PASS / EXECUTIVE OVERVIEW PAGE UPGRADE PUBLISHED — Commit dfd7700c25f270a381d3fa81ec87a4911b346cf2 changes exactly three authorized presentation files: src/components/dashboard/executive-decision-workspace.tsx, src/components/dashboard/executive-attention-strip.tsx, and src/components/dashboard/strategic-intelligence-workspace.tsx. Executive Decision Context, Action Queue, and Portfolio Snapshot were refined using the existing Executive Design System without changing dashboard data/business logic.</x:v>
      </x:c>
      <x:c r="N311" s="249" t="n"/>
      <x:c r="O311" s="249" t="n">
        <x:v>46296</x:v>
      </x:c>
      <x:c r="P311" s="135" t="str">
        <x:v>Validation before publication: focused tests PASS, lint PASS, build PASS, git diff --check PASS; desktop/tablet/mobile visual verification reported PASS; accessibility review PASS; no horizontal overflow reported. Remote verification confirmed parent fdee4d4ca7f8efb9a74fb693fe79bbbfd86e6245 and exactly three authorized component files. src/app/dashboard/page.tsx and src/components/dashboard/executive-dashboard-golden.test.ts were not committed. Shared primitives/design tokens were reused; no page-specific primitive, business logic/data contract/procurement semantic/route/commercial confidentiality/design-system source change, new metric/claim, or unrelated hunk was introduced. Implementation visual rescore reported 9.4/10 overall, above the 9.2 launch threshold. Next executable canonical task: 13H-02 — Upgrade Procurement Center landing.</x:v>
      </x:c>
    </x:row>
    <x:row r="312">
      <x:c r="A312" s="133" t="str">
        <x:v>✓</x:v>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str">
        <x:v>Completed</x:v>
      </x:c>
      <x:c r="I312" s="133" t="str">
        <x:v>Project Owner / Product / Engineering</x:v>
      </x:c>
      <x:c r="J312" s="133" t="str"/>
      <x:c r="K312" s="133" t="inlineStr">
        <x:is>
          <x:t xml:space="preserve">13G-10</x:t>
        </x:is>
      </x:c>
      <x:c r="L312" s="133" t="str"/>
      <x:c r="M312" s="133" t="str">
        <x:v>PASS / PROCUREMENT CENTER LANDING UPGRADE PUBLISHED — Commit f6e84ce88e0ca00ca74a1bea894a76c735b26419 changes exactly one authorized file: src/app/rfq/page.tsx. The Procurement Center landing now reuses the Executive Design System for hero, operating snapshot, pipeline, RFQ cards, invitation handoff and empty state while preserving the authoritative marketplace view model and procurement access semantics.</x:v>
      </x:c>
      <x:c r="N312" s="249" t="n"/>
      <x:c r="O312" s="249" t="n">
        <x:v>46296</x:v>
      </x:c>
      <x:c r="P312" s="135" t="str">
        <x:v>Validation before publication: focused tests PASS, lint PASS, build PASS, git diff --check PASS; desktop/tablet/mobile visual verification reported PASS; accessibility PASS; no horizontal overflow reported. Remote verification confirmed parent 06c8aaa36728f2694a139e8039d7f67db6116cb1 and exactly one changed file: src/app/rfq/page.tsx. Buyer/issuer and supplier/respondent experiences remain upstream-driven by buildProcurementMarketplaceViewModel; status/scope/sourcing metrics, RFQ card semantics, Commercially Sealed budget behavior, network invitation routing hooks/statuses, Create RFQ authorization and routes/hrefs remain semantically unchanged. Shared ExecutivePanel/ExecutiveMetricCard/ExecutiveBadge/button/empty-state contracts replaced page-specific colors/radii/shadows without creating a new primitive. No business logic, authorization, data loading, view-model, database/API/auth or unrelated change was introduced. Implementation visual rescore reported 9.4/10 overall. Next executable canonical task: 13H-03 — Upgrade RFQ Drafting &amp; Configuration.</x:v>
      </x:c>
    </x:row>
    <x:row r="313">
      <x:c r="A313" s="133" t="str">
        <x:v>✓</x:v>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str">
        <x:v>Completed</x:v>
      </x:c>
      <x:c r="I313" s="133" t="str">
        <x:v>Project Owner / Product / Engineering</x:v>
      </x:c>
      <x:c r="J313" s="133" t="str"/>
      <x:c r="K313" s="133" t="inlineStr">
        <x:is>
          <x:t xml:space="preserve">13G-10</x:t>
        </x:is>
      </x:c>
      <x:c r="L313" s="133" t="str"/>
      <x:c r="M313" s="133" t="str">
        <x:v>PASS / RFQ DRAFTING &amp; CONFIGURATION UPGRADE PUBLISHED — Commit e9a710ea187e6dccacab2432a3ab94b0bc9886f0 changes exactly one authorized file: src/app/rfq/new/page.tsx. The RFQ drafting wizard now reuses shared Executive panels, badges, metric cards, form, stepper, dialog, feedback and progress contracts while preserving authoritative drafting, completeness, deadline, autosave and publication logic.</x:v>
      </x:c>
      <x:c r="N313" s="249" t="n"/>
      <x:c r="O313" s="249" t="n">
        <x:v>46296</x:v>
      </x:c>
      <x:c r="P313" s="135" t="str">
        <x:v>Validation before publication: focused tests PASS, lint PASS, build PASS, git diff --check PASS; desktop/tablet/mobile visual verification reported PASS; accessibility PASS; no horizontal overflow reported. Remote verification confirmed parent 818d57e9fa7429b34bfcf04aff79de034446a9a5 and exactly one changed file: src/app/rfq/new/page.tsx. Project/scope drafting, procurement strategy and evaluation semantics, RFI deadline/timezone behavior, requirements completeness, scope review, publication acknowledgement, autosave, replacement procurement lineage, POST payload, publish timers and redirect destination remain unchanged. Shared Executive Design System primitives replaced local duplicate panel/badge/form/stepper/dialog styling; no new page-specific primitive, validation/business/data/API/database/auth change, or unrelated hunk was introduced. Duplicate success-overlay UI blocks were removed without changing publication sequencing. Implementation visual rescore reported 9.4/10 overall. Next executable canonical task: 13H-04 — Upgrade Market Engagement &amp; Publishing.</x:v>
      </x:c>
    </x:row>
    <x:row r="314">
      <x:c r="A314" s="133" t="str">
        <x:v>✓</x:v>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str">
        <x:v>Completed</x:v>
      </x:c>
      <x:c r="I314" s="133" t="str">
        <x:v>Project Owner / Product / Engineering</x:v>
      </x:c>
      <x:c r="J314" s="133" t="str"/>
      <x:c r="K314" s="133" t="inlineStr">
        <x:is>
          <x:t xml:space="preserve">13G-10</x:t>
        </x:is>
      </x:c>
      <x:c r="L314" s="133" t="str"/>
      <x:c r="M314" s="133" t="str">
        <x:v>PASS / MARKET ENGAGEMENT &amp; PUBLISHING UPGRADE PUBLISHED — Commit c21d2f045112bdd0af9b5acc363bedfe5a1d6648 changes exactly four authorized files: src/components/invite-vendor-form.tsx, src/components/rfq-workspace/supplier-avl-panel.tsx, src/components/rfq-workspace/supplier-invitation-delivery.tsx, and src/components/rfq-workspace/supplier-invitation-result.tsx. Supplier invitation, AVL selection, delivery feedback, and secure invite-link presentation now reuse shared Executive Design System contracts while preserving invitation and communication truthfulness.</x:v>
      </x:c>
      <x:c r="N314" s="249" t="n"/>
      <x:c r="O314" s="249" t="n">
        <x:v>46296</x:v>
      </x:c>
      <x:c r="P314" s="135" t="str">
        <x:v>Validation before publication: focused tests PASS, lint PASS, build PASS, git diff --check PASS; desktop/tablet/mobile visual verification reported PASS; accessibility PASS; no horizontal overflow reported. Remote verification confirmed parent 511ab8d42d8429c29d7f6bea4b925e40afec4ac5 and exactly four changed files, all within the authorized supplier engagement stack. RFQ Supplier Invitation remained distinct from Workspace Membership; invitation creation/reuse logic, email sent/skipped/failed distinctions, secure invite-link fallback, AVL availability/selection semantics and direct-email governance fallback were preserved. No participation was inferred from invitations; quotation/award, parent RFQ page, RFI/Addenda, API/email/auth/data/database logic remained unchanged. Shared Executive primitives/form/feedback/button/empty-state contracts replaced local styling; no new page-specific primitive or business logic change was introduced. Implementation visual rescore reported 9.4/10 overall. Next executable canonical task: 13H-05 — Upgrade Issuer RFI / Addenda Management.</x:v>
      </x:c>
    </x:row>
    <x:row r="315">
      <x:c r="A315" s="133" t="str">
        <x:v>✓</x:v>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str">
        <x:v>Completed</x:v>
      </x:c>
      <x:c r="I315" s="133" t="str">
        <x:v>Project Owner / Product / Engineering</x:v>
      </x:c>
      <x:c r="J315" s="133" t="str"/>
      <x:c r="K315" s="133" t="inlineStr">
        <x:is>
          <x:t xml:space="preserve">13G-10</x:t>
        </x:is>
      </x:c>
      <x:c r="L315" s="133" t="str"/>
      <x:c r="M315" s="133" t="str">
        <x:v>PASS / ISSUER RFI &amp; ADDENDA MANAGEMENT UPGRADE PUBLISHED — Commit 74cdae5f556fb1c276ee430a1adc4b5a7d42ec05 changes exactly three authorized files: src/components/rfq-workspace/rfq-rfi-workspace.tsx, src/components/rfq-addenda-manager.tsx, and src/components/rfq-addendum-acknowledgement-center.tsx. Private RFI, governed Addenda, publication communication, and acknowledgement surfaces now reuse shared Executive Design System contracts while preserving confidentiality, package-change governance, notification truthfulness, and quote-blocking acknowledgement semantics.</x:v>
      </x:c>
      <x:c r="N315" s="249" t="n"/>
      <x:c r="O315" s="249" t="n">
        <x:v>46296</x:v>
      </x:c>
      <x:c r="P315" s="135" t="str">
        <x:v>Validation before publication: focused tests PASS (93/93), lint PASS, build PASS, git diff --check PASS; desktop/tablet/mobile visual verification reported PASS; accessibility PASS; no horizontal overflow reported. Remote verification confirmed branch commit 74cdae5f556fb1c276ee430a1adc4b5a7d42ec05 and exactly three changed files, all within the authorized RFI/Addenda/Acknowledgement presentation scope. Private RFI confidentiality, deadline/submission/issuer-response behavior, governed package-change detection, amendment-reason gate, RFQ_GOVERNED_REQUIREMENT_HANDOFF_EVENT handoff, explicit downstream issuer action, ordinary Addendum path and affectedDocuments POST semantics remained unchanged. Addendum numbering, sent/skipped/failed notification truthfulness, acknowledgement requirement, Clear/Blocked calculation and acknowledgement POST behavior remained unchanged. No Document Requirements, parent RFQ page, API/email/data/database, quotation/evaluation/award, market-engagement invitation, schema/RLS/RPC/migration or unrelated change was introduced. Implementation visual rescore reported 9.35/10 overall. Issuer Addenda create/governed handoff interaction remained contract/code verified rather than live-mutated because the visual QA fixture mounts canManage=false. Prerequisite governed package-change cluster was separately completed and published at commit 466b0ee1c8845a2e930a23c816a9a618814ebfd6 before this presentation upgrade. Next executable canonical task: 13H-06 — Upgrade Response Evaluation &amp; Award.</x:v>
      </x:c>
    </x:row>
    <x:row r="316">
      <x:c r="A316" s="133" t="str">
        <x:v>✓</x:v>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str">
        <x:v>Completed</x:v>
      </x:c>
      <x:c r="I316" s="133" t="str">
        <x:v>Project Owner / Product / Engineering</x:v>
      </x:c>
      <x:c r="J316" s="133" t="str"/>
      <x:c r="K316" s="133" t="inlineStr">
        <x:is>
          <x:t xml:space="preserve">13G-10</x:t>
        </x:is>
      </x:c>
      <x:c r="L316" s="133" t="str"/>
      <x:c r="M316" s="133" t="str">
        <x:v>PASS / RESPONSE EVALUATION &amp; AWARD UPGRADE PUBLISHED — Commit 2d8f4ae948eedbca4bc6bbd61f4c592499ff9e4a changes exactly three authorized files: src/components/rfq-workspace/rfq-quote-comparison.tsx, src/components/rfq-workspace/rfq-recommended-award-path.tsx, and src/components/award-contract-button.tsx. Comparison, exception/risk, recommendation, and award presentation now reuse shared Executive Design System contracts while preserving commercial confidentiality, ranking/scoring, material-revalidation gating, recommendation non-binding semantics, and consequential award confirmation.</x:v>
      </x:c>
      <x:c r="N316" s="249" t="n"/>
      <x:c r="O316" s="249" t="n">
        <x:v>46296</x:v>
      </x:c>
      <x:c r="P316" s="135" t="str">
        <x:v>Validation before publication: focused tests PASS, lint PASS, build PASS, git diff --check PASS; desktop/tablet/mobile visual verification reported PASS; accessibility PASS; no horizontal overflow reported. Remote verification confirmed branch commit 2d8f4ae948eedbca4bc6bbd61f4c592499ff9e4a and exactly three changed files, all within the authorized evaluation/award presentation scope. Commercial-opening confidentiality, deferred respondent search, 12-row pagination, container-gated table/card architecture, scores/rankings, risk and exception semantics, material-revalidation award block, quote.canAward authority, recommendation metrics and non-binding wording remained unchanged. AwardContractButton preserved POST /api/award-contract with { quoteId }, mandatory ExecutiveConfirmDialog, rejection/award side-effect warning, award lock/loading, redirects, focus restoration and internal error sanitization. No parent RFQ page, owner quote mapping, Executive Decision Center, API/auth/confidentiality/data/database, schema/RLS/RPC/migration or unrelated change was introduced. Implementation visual rescore reported 9.34/10 overall. Recommended Award Path was code/contract verified because the visual-QA fixture does not mount it. Next executable canonical task: 13H-07 — Upgrade Respondent RFQ Review &amp; Scoping.</x:v>
      </x:c>
    </x:row>
    <x:row r="317">
      <x:c r="A317" s="133" t="str">
        <x:v>✓</x:v>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str">
        <x:v>Completed</x:v>
      </x:c>
      <x:c r="I317" s="133" t="str">
        <x:v>Project Owner / Product / Engineering</x:v>
      </x:c>
      <x:c r="J317" s="133" t="str"/>
      <x:c r="K317" s="133" t="inlineStr">
        <x:is>
          <x:t xml:space="preserve">13G-10</x:t>
        </x:is>
      </x:c>
      <x:c r="L317" s="133" t="str"/>
      <x:c r="M317" s="133" t="str">
        <x:v>PASS / RESPONDENT RFQ REVIEW &amp; SCOPING UPGRADE PUBLISHED — Commit 5de338c618ce9d227654e1b744e591c362fad3bb changes exactly three authorized files: src/components/rfq-workspace/rfq-procurement-context.tsx, src/components/rfq-workspace/rfq-governance-controls.tsx, and src/components/rfq-workspace/rfq-document-requirements.tsx. Respondent procurement-model, governance/confidentiality, and required-document review surfaces now reuse shared Executive Design System contracts while preserving read-only access, governed requirement mutation boundaries, safe aggregate confidentiality, and respondent commercial agency.</x:v>
      </x:c>
      <x:c r="N317" s="249" t="n"/>
      <x:c r="O317" s="249" t="n">
        <x:v>46296</x:v>
      </x:c>
      <x:c r="P317" s="135" t="str">
        <x:v>Validation before publication: focused tests PASS (89/89), lint PASS, build PASS, git diff --check PASS; accessibility PASS; no horizontal overflow reported. Visual verification was PARTIAL because respondent Document Requirements was exercised at desktop/tablet/mobile while Procurement Context and Governance Notices are not mounted in the visual-QA fixture; those surfaces were code/contract verified. Remote verification confirmed branch commit 5de338c618ce9d227654e1b744e591c362fad3bb and exactly three changed files, all within the authorized respondent review/scoping presentation scope. Procurement context, sourcing/framework and commercial-control semantics, buyer reservation rights, confidentiality/anti-collusion, blind-bidding controls and safe aggregate quote-count semantics remained unchanged. Document requirement Complete/Incomplete/No Requirements Declared, Required Present/Missing/Not Declared and unavailable-state semantics remained unchanged. Respondent mode remained read-only; issuer mutation controls, governed package-change events/focus/API behavior remained unchanged. No automated bid/no-bid recommendation, new ambiguity/risk score, buyer-only intelligence exposure, business/auth/API/data/database, parent RFQ page, ScopeReview, respondent RFI, quote-submission or unrelated change was introduced. Implementation visual rescore reported 9.34/10 overall. Next executable canonical task: 13H-08 — Upgrade Respondent RFI &amp; Clarifications.</x:v>
      </x:c>
    </x:row>
    <x:row r="318">
      <x:c r="A318" s="133" t="str">
        <x:v>✓</x:v>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str">
        <x:v>Completed</x:v>
      </x:c>
      <x:c r="I318" s="133" t="str">
        <x:v>Project Owner / Product / Engineering</x:v>
      </x:c>
      <x:c r="J318" s="133" t="str"/>
      <x:c r="K318" s="133" t="inlineStr">
        <x:is>
          <x:t xml:space="preserve">13G-10</x:t>
        </x:is>
      </x:c>
      <x:c r="L318" s="133" t="str"/>
      <x:c r="M318" s="133" t="str">
        <x:v>PASS / RESPONDENT RFI &amp; CLARIFICATIONS UPGRADE PUBLISHED — Commit b31effc48c13f6fbc8a5d972747acfd7e0cd2e1a changes exactly one authorized file: src/components/rfq-workspace/rfq-document-workspace.tsx. The respondent Clarifications &amp; Addenda wrapper is now role-aware, removing issuer-authority language while preserving the already-completed Private RFI, issuer-response, Addendum-impact and acknowledgement presentation from 13H-05.</x:v>
      </x:c>
      <x:c r="N318" s="249" t="n"/>
      <x:c r="O318" s="249" t="n">
        <x:v>46296</x:v>
      </x:c>
      <x:c r="P318" s="135" t="str">
        <x:v>Acceptance gate classified PATH B: existing 13H-05 implementation already satisfied RFI creation, response/update visibility, confidentiality, RFI-vs-Addendum distinction, Addendum impact and acknowledgement semantics. A genuine wrapper-copy gap remained because respondent-facing text said 'manage issued addenda'. The one-file fix used existing isOwner context to make the Clarifications &amp; Addenda introduction role-aware without changing child composition, props, permissions, APIs, quote submission, RFI logic, Addendum logic or acknowledgement logic. Focused tests PASS (62/62), lint PASS, build PASS, git diff --check PASS; desktop/tablet/mobile visual verification PASS; no horizontal overflow reported. Remote verification confirmed branch commit b31effc48c13f6fbc8a5d972747acfd7e0cd2e1a and exactly one changed file. Frozen 13H-05 components were not reopened. Next executable canonical task: 13H-09 — Upgrade Quote &amp; Proposal Preparation.</x:v>
      </x:c>
    </x:row>
    <x:row r="319">
      <x:c r="A319" s="133" t="str">
        <x:v>✓</x:v>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str">
        <x:v>Completed</x:v>
      </x:c>
      <x:c r="I319" s="133" t="str">
        <x:v>Project Owner / Product / Engineering</x:v>
      </x:c>
      <x:c r="J319" s="133" t="str"/>
      <x:c r="K319" s="133" t="inlineStr">
        <x:is>
          <x:t xml:space="preserve">13G-10</x:t>
        </x:is>
      </x:c>
      <x:c r="L319" s="133" t="str"/>
      <x:c r="M319" s="133" t="str">
        <x:v>PASS / QUOTE &amp; PROPOSAL PREPARATION UPGRADE PUBLISHED — Commit 1d92ab206de37f51b1608ddb7626f88f2802e41c changes exactly one authorized file: src/components/rfq-workspace/rfq-submit-workspace.tsx. Pricing, commercial terms, completeness, readiness, deadline-risk, material revalidation and submission-action presentation now reuse shared Executive Design System contracts while preserving all quote business logic, access boundaries, API payloads and redirect behavior.</x:v>
      </x:c>
      <x:c r="N319" s="249" t="n"/>
      <x:c r="O319" s="249" t="n">
        <x:v>46296</x:v>
      </x:c>
      <x:c r="P319" s="135" t="str">
        <x:v>Validation before publication: focused tests PASS, lint PASS, build PASS, git diff --check PASS; accessibility PASS; no horizontal overflow reported. Visual verification was PARTIAL because the static visual-QA fixture does not mount the live submit workspace; safe live-page inspection was used where available without mutating RFQ governance. Remote verification confirmed branch commit 1d92ab206de37f51b1608ddb7626f88f2802e41c and exactly one changed file. Pricing/currency, timeline/commercial-note, quote-validity, completeness/readiness, deadline-risk, material-revalidation, required-Addenda acknowledgement gate, reconfirm-vs-resubmit distinction, POST/PATCH quote payloads, error sanitization and success redirect behavior remained unchanged. No submit page, invitation entry page, RFI/Addenda, evaluation/award, API/auth/data/database, schema/RLS/RPC/migration or unrelated change was introduced. Implementation visual rescore reported 9.4/10 overall. Next executable canonical task: 13H-10 — Upgrade Submission &amp; Award Tracking.</x:v>
      </x:c>
    </x:row>
    <x:row r="320">
      <x:c r="A320" s="133" t="str">
        <x:v>✓</x:v>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str">
        <x:v>Completed</x:v>
      </x:c>
      <x:c r="I320" s="133" t="str">
        <x:v>Project Owner / Product / Engineering</x:v>
      </x:c>
      <x:c r="J320" s="133" t="str"/>
      <x:c r="K320" s="133" t="inlineStr">
        <x:is>
          <x:t xml:space="preserve">13G-10</x:t>
        </x:is>
      </x:c>
      <x:c r="L320" s="133" t="str"/>
      <x:c r="M320" s="133" t="str">
        <x:v>PASS / SUBMISSION &amp; AWARD TRACKING UPGRADE PUBLISHED — Commit 4f0340ed8074028e3cfee407f3e04054a3ecbc17 changes exactly two authorized files: src/components/rfq-workspace/rfq-quote-workspace.tsx and src/components/rfq-workspace/rfq-supplier-quotes.tsx. Respondent tracking now presents own submission state, confidentiality, material-amendment review, commercial terms and recorded outcome with clearer Executive Design System hierarchy while preserving all security, confidentiality, revalidation, deadline and outcome semantics.</x:v>
      </x:c>
      <x:c r="N320" s="249" t="n"/>
      <x:c r="O320" s="249" t="n">
        <x:v>46296</x:v>
      </x:c>
      <x:c r="P320" s="135" t="str">
        <x:v>Validation before publication: focused tests PASS, lint PASS, build PASS, git diff --check PASS; desktop/tablet/mobile visual verification PASS; deadline-context verification PASS; accessibility PASS; no horizontal overflow reported. Remote verification confirmed branch commit 4f0340ed8074028e3cfee407f3e04054a3ecbc17 and exactly two changed files, both within the authorized submission/award tracking presentation scope. Respondent own-quote isolation, competitor confidentiality, commercial-read authorization, issuer pre-opening lockbox, safe aggregate count, submission status mapping, Approved-vs-Awarded distinction, material revalidation, closed-state CTA gating and own outcome semantics remained unchanged. No deadline duplication, parent/Command Center change, submit/award redirect change, security-helper change, API/data/database, owner quote mapping, evaluation/award component, submit-workspace or unrelated change was introduced. Implementation visual rescore reported 9.4/10 overall. Requires Review / Approved / Rejected fixture states were contract-tested rather than live-mutated. Prerequisite security remediation was separately completed and published at commit 530dbae552f51c63f75e596850374d2d41179d20, which aligned application commercial-read authorization with RLS, fail-closed RFQ detail/compare commercial data access, preserved respondent isolation, and separated commercial read from owner/admin award authority. Next executable canonical task: 13H-11 — Upgrade Activity Center.</x:v>
      </x:c>
    </x:row>
    <x:row r="321">
      <x:c r="A321" s="133" t="str"/>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str">
        <x:v>Blocked</x:v>
      </x:c>
      <x:c r="I321" s="133" t="str">
        <x:v>Project Owner / Product / Engineering</x:v>
      </x:c>
      <x:c r="J321" s="133" t="str"/>
      <x:c r="K321" s="133" t="inlineStr">
        <x:is>
          <x:t xml:space="preserve">13G-10</x:t>
        </x:is>
      </x:c>
      <x:c r="L321" s="133" t="str"/>
      <x:c r="M321" s="133" t="str">
        <x:v>BLOCKED / MY TASKS DATA MODEL NOT AVAILABLE — Activity Center currently has a launch-frozen company-scoped taxonomy of Needs Attention, Updates, and History only. Repository contracts explicitly prohibit rendering My Tasks or deriving personal tasks from notification title/message or compatibility fields. Existing notifications have no assignee/recipient-user/due-date/task-status/completion model, so implementing My Tasks would require a new data/ownership contract outside the presentation-only scope of 13H-11.</x:v>
      </x:c>
      <x:c r="N321" s="249" t="n"/>
      <x:c r="O321" s="249" t="n">
        <x:v>46296</x:v>
      </x:c>
      <x:c r="P321" s="135" t="str">
        <x:v>Evidence: src/lib/launch/procurement-activity-event-writers-contract.test.ts explicitly asserts Activity Center does not render 'My Tasks' or personal task derivation and locks exact Attention/Updates taxonomy. src/lib/procurement/activity-center-prioritization.ts defines only attention/updates/history; no task classification exists. Company-scoped notification query, source-link authorization, attention prioritization, Updates and History remain valid and unchanged. No code, API, DB, RLS, notification-generation or taxonomy change was made. Focused tests/lint/build/diff-check PASS; responsive review PARTIAL with no horizontal overflow; current page visual quality remains below 13H acceptance because the mandatory My Tasks requirement cannot be truthfully implemented. Resolution requires an approved My Tasks data/ownership model or explicit change to Master Plan acceptance. Until then 13H-11 remains BLOCKED. Next dependency-independent executable canonical task: 13H-12 — Upgrade Project Portfolio.</x:v>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661935eef1194a11"/>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a99272c89501422e"/>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337</x:v>
      </x:c>
      <x:c r="D6" s="133" t="inlineStr">
        <x:is>
          <x:t xml:space="preserve">G0A — Corporate platform architecture ready</x:t>
        </x:is>
      </x:c>
      <x:c r="E6" s="32" t="str">
        <x:f>'03 Launch Gates'!D20</x:f>
        <x:v>Completed</x:v>
      </x:c>
      <x:c r="G6" t="inlineStr">
        <x:is>
          <x:t xml:space="preserve">UI Tasks Complete</x:t>
        </x:is>
      </x:c>
      <x:c r="H6" t="n">
        <x:f>SUM(B36:B46)</x:f>
        <x:v>115</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7</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0.9182561307901907</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0.9454545454545454</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3</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14</x:v>
      </x:c>
      <x:c r="C42" s="133" t="n">
        <x:f>COUNTIFS('01 Master Plan'!C$5:C$383,A42,'01 Master Plan'!H$5:H$383,"In Progress")</x:f>
        <x:v>0</x:v>
      </x:c>
      <x:c r="D42" s="133" t="n">
        <x:f>COUNTIFS('01 Master Plan'!C$5:C$383,A42,'01 Master Plan'!H$5:H$383,"Not Started")</x:f>
        <x:v>0</x:v>
      </x:c>
      <x:c r="E42" s="133" t="n">
        <x:f>COUNTIFS('01 Master Plan'!C$5:C$383,A42,'01 Master Plan'!H$5:H$383,"Blocked")</x:f>
        <x:v>0</x:v>
      </x:c>
      <x:c r="F42" s="133" t="n">
        <x:f>COUNTIFS('01 Master Plan'!C$5:C$383,A42,'01 Master Plan'!H$5:H$383,"Deferred")</x:f>
        <x:v>0</x:v>
      </x:c>
      <x:c r="G42" s="255" t="n">
        <x:f>IFERROR(B42/(B42+C42+D42+E42),0)</x:f>
        <x:v>1</x:v>
      </x:c>
    </x:row>
    <x:row r="43">
      <x:c r="A43" s="162" t="inlineStr">
        <x:is>
          <x:t xml:space="preserve">13G Ask Nexus Interactive Help</x:t>
        </x:is>
      </x:c>
      <x:c r="B43" s="162" t="n">
        <x:f>COUNTIFS('01 Master Plan'!C$5:C$383,A43,'01 Master Plan'!H$5:H$383,"Completed")+COUNTIFS('01 Master Plan'!C$5:C$383,A43,'01 Master Plan'!H$5:H$383,"Complete")</x:f>
        <x:v>10</x:v>
      </x:c>
      <x:c r="C43" s="162" t="n">
        <x:f>COUNTIFS('01 Master Plan'!C$5:C$383,A43,'01 Master Plan'!H$5:H$383,"In Progress")</x:f>
        <x:v>0</x:v>
      </x:c>
      <x:c r="D43" s="162" t="n">
        <x:f>COUNTIFS('01 Master Plan'!C$5:C$383,A43,'01 Master Plan'!H$5:H$383,"Not Started")</x:f>
        <x:v>0</x:v>
      </x:c>
      <x:c r="E43" s="162" t="n">
        <x:f>COUNTIFS('01 Master Plan'!C$5:C$383,A43,'01 Master Plan'!H$5:H$383,"Blocked")</x:f>
        <x:v>0</x:v>
      </x:c>
      <x:c r="F43" s="162" t="n">
        <x:f>COUNTIFS('01 Master Plan'!C$5:C$383,A43,'01 Master Plan'!H$5:H$383,"Deferred")</x:f>
        <x:v>0</x:v>
      </x:c>
      <x:c r="G43" s="257" t="n">
        <x:f>IFERROR(B43/(B43+C43+D43+E43),0)</x:f>
        <x:v>1</x:v>
      </x:c>
    </x:row>
    <x:row r="44">
      <x:c r="A44" s="28" t="inlineStr">
        <x:is>
          <x:t xml:space="preserve">13H Page-by-Page UI Upgrade</x:t>
        </x:is>
      </x:c>
      <x:c r="B44" s="28" t="n">
        <x:f>COUNTIFS('01 Master Plan'!C$5:C$383,A44,'01 Master Plan'!H$5:H$383,"Completed")+COUNTIFS('01 Master Plan'!C$5:C$383,A44,'01 Master Plan'!H$5:H$383,"Complete")</x:f>
        <x:v>10</x:v>
      </x:c>
      <x:c r="C44" s="28" t="n">
        <x:f>COUNTIFS('01 Master Plan'!C$5:C$383,A44,'01 Master Plan'!H$5:H$383,"In Progress")</x:f>
        <x:v>0</x:v>
      </x:c>
      <x:c r="D44" s="28" t="n">
        <x:f>COUNTIFS('01 Master Plan'!C$5:C$383,A44,'01 Master Plan'!H$5:H$383,"Not Started")</x:f>
        <x:v>9</x:v>
      </x:c>
      <x:c r="E44" s="28" t="n">
        <x:f>COUNTIFS('01 Master Plan'!C$5:C$383,A44,'01 Master Plan'!H$5:H$383,"Blocked")</x:f>
        <x:v>1</x:v>
      </x:c>
      <x:c r="F44" s="28" t="n">
        <x:f>COUNTIFS('01 Master Plan'!C$5:C$383,A44,'01 Master Plan'!H$5:H$383,"Deferred")</x:f>
        <x:v>0</x:v>
      </x:c>
      <x:c r="G44" s="258" t="n">
        <x:f>IFERROR(B44/(B44+C44+D44+E44),0)</x:f>
        <x:v>0.5</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2ff3317762e04406"/>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195e8d5f49694dba"/>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816efc81364d436e"/>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9094275c0f394f89"/>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6ba4e0ec19f04225"/>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5c5145c32e9140ae"/>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row r="1243">
      <x:c r="A1243" t="n">
        <x:v>46296</x:v>
      </x:c>
      <x:c r="B1243" t="str">
        <x:v>Phase 13F / 13F-03</x:v>
      </x:c>
      <x:c r="C1243" t="str">
        <x:v>13F-03 Executive Guidance Frequency Controls Published</x:v>
      </x:c>
      <x:c r="D1243" t="str">
        <x:v>executive-benchmark-engine</x:v>
      </x:c>
      <x:c r="E1243" t="str">
        <x:v>b94f88cf7c1d713310ed582b6f048beaa0839362</x:v>
      </x:c>
      <x:c r="F1243" t="str">
        <x:v>Published the pure domain-neutral page-load frequency contract for contextual guidance.</x:v>
      </x:c>
      <x:c r="G1243" t="str">
        <x:v>Exactly two files changed: executive-guidance-frequency.ts and executive-guidance-frequency.test.ts. Focused tests 7 PASS; lint/build/diff-check PASS; boundary review CLEAN-SCOPE.</x:v>
      </x:c>
      <x:c r="H1243" t="str">
        <x:v>PASS / 13F-03 CLOSED / PUBLISHED</x:v>
      </x:c>
      <x:c r="I1243" t="str">
        <x:v>One proactive guidance item per page load is enforced; REQUESTED is quota-independent; dismissed/completed anchored coachmarks are blocked from caller state. Unknown/ineligible contexts are blocked. No persistent memory/browser storage/database/runtime ownership was introduced.</x:v>
      </x:c>
      <x:c r="J1243" t="str">
        <x:v>Next executable canonical task: Phase 13F / 13F-04 — Implement seen/dismissed/snoozed guidance memory.</x:v>
      </x:c>
    </x:row>
    <x:row r="1244">
      <x:c r="A1244" t="n">
        <x:v>46296</x:v>
      </x:c>
      <x:c r="B1244" t="str">
        <x:v>Phase 13F / 13F-04</x:v>
      </x:c>
      <x:c r="C1244" t="str">
        <x:v>13F-04 Executive Guidance Memory Contract Published</x:v>
      </x:c>
      <x:c r="D1244" t="str">
        <x:v>executive-benchmark-engine</x:v>
      </x:c>
      <x:c r="E1244" t="str">
        <x:v>61e8f84005b4884d96b18a00df476038ea6dead7</x:v>
      </x:c>
      <x:c r="F1244" t="str">
        <x:v>Published the pure caller-owned memory-state contract for seen/dismissed/snoozed/completed guidance behavior.</x:v>
      </x:c>
      <x:c r="G1244" t="str">
        <x:v>Exactly two files changed: executive-guidance-memory.ts and executive-guidance-memory.test.ts. Focused tests 6 PASS; lint/build/diff-check PASS; boundary review CLEAN-SCOPE.</x:v>
      </x:c>
      <x:c r="H1244" t="str">
        <x:v>PASS / 13F-04 CLOSED / PUBLISHED</x:v>
      </x:c>
      <x:c r="I1244" t="str">
        <x:v>Five canonical memory states are defined. Seen remains reconsiderable; dismissed/completed suppress repeats; active snooze suppresses only until caller-provided snoozedUntil. Remind Me Later maps to snoozed. No storage backend, database persistence, hidden clock, React/UI/API/auth or product integration was introduced.</x:v>
      </x:c>
      <x:c r="J1244" t="str">
        <x:v>Next executable canonical task: Phase 13F / 13F-05 — Create inline hint component.</x:v>
      </x:c>
    </x:row>
    <x:row r="1245">
      <x:c r="A1245" t="n">
        <x:v>46296</x:v>
      </x:c>
      <x:c r="B1245" t="str">
        <x:v>Phase 13F / 13F-05</x:v>
      </x:c>
      <x:c r="C1245" t="str">
        <x:v>13F-05 Executive Inline Hint Component Published</x:v>
      </x:c>
      <x:c r="D1245" t="str">
        <x:v>executive-benchmark-engine</x:v>
      </x:c>
      <x:c r="E1245" t="str">
        <x:v>d1793c8253449ad4d71aedf6908e44daf057461c</x:v>
      </x:c>
      <x:c r="F1245" t="str">
        <x:v>Published the reusable L1 ExecutiveInlineHint presentation primitive for compact contextual explanations.</x:v>
      </x:c>
      <x:c r="G1245" t="str">
        <x:v>Exactly two files changed: executive-inline-hint.tsx and executive-inline-hint.test.ts. Focused tests 5 PASS; lint/build/diff-check PASS; boundary review CLEAN-SCOPE.</x:v>
      </x:c>
      <x:c r="H1245" t="str">
        <x:v>PASS / 13F-05 CLOSED / PUBLISHED</x:v>
      </x:c>
      <x:c r="I1245" t="str">
        <x:v>Reuses EXECUTIVE_FORM_HELPER; supports caller-provided id for aria-describedby; responsive long-text wrapping; no interactive behavior, live regions, state/hooks, eligibility/frequency/memory logic, product integration or procurement-specific semantics.</x:v>
      </x:c>
      <x:c r="J1245" t="str">
        <x:v>Next executable canonical task: Phase 13F / 13F-06 — Create contextual guidance card.</x:v>
      </x:c>
    </x:row>
    <x:row r="1246">
      <x:c r="A1246" t="n">
        <x:v>46296</x:v>
      </x:c>
      <x:c r="B1246" t="str">
        <x:v>Phase 13F / 13F-06</x:v>
      </x:c>
      <x:c r="C1246" t="str">
        <x:v>13F-06 Executive Contextual Guidance Card Published</x:v>
      </x:c>
      <x:c r="D1246" t="str">
        <x:v>executive-benchmark-engine</x:v>
      </x:c>
      <x:c r="E1246" t="str">
        <x:v>f90844661a664a12354c2a239c6aec9c3ce2ab0e</x:v>
      </x:c>
      <x:c r="F1246" t="str">
        <x:v>Published the reusable L2 ExecutiveGuidanceCard for embedded needs-attention guidance with caller-owned Review/Dismiss actions.</x:v>
      </x:c>
      <x:c r="G1246" t="str">
        <x:v>Exactly two files changed: executive-guidance-card.tsx and executive-guidance-card.test.ts. Focused tests 6 PASS; lint/build/diff-check PASS; boundary review CLEAN-SCOPE.</x:v>
      </x:c>
      <x:c r="H1246" t="str">
        <x:v>PASS / 13F-06 CLOSED / PUBLISHED</x:v>
      </x:c>
      <x:c r="I1246" t="str">
        <x:v>Reuses ExecutivePanel and shared executive button contracts; actions are optional and caller-owned; embedded/non-modal/non-blocking; no state, persistence, eligibility/frequency/memory ownership, routing/API/database/auth, new design tokens or procurement-specific product integration.</x:v>
      </x:c>
      <x:c r="J1246" t="str">
        <x:v>Next executable canonical task: Phase 13F / 13F-07 — Create anchored first-use coachmark.</x:v>
      </x:c>
    </x:row>
    <x:row r="1247">
      <x:c r="A1247" t="n">
        <x:v>46296</x:v>
      </x:c>
      <x:c r="B1247" t="str">
        <x:v>Phase 13F / 13F-07</x:v>
      </x:c>
      <x:c r="C1247" t="str">
        <x:v>13F-07 Executive Anchored Coachmark Published</x:v>
      </x:c>
      <x:c r="D1247" t="str">
        <x:v>executive-benchmark-engine</x:v>
      </x:c>
      <x:c r="E1247" t="str">
        <x:v>397bbfcfaecaec1c34c19f3a1863b983ff55f75a</x:v>
      </x:c>
      <x:c r="F1247" t="str">
        <x:v>Published the reusable L3 ExecutiveCoachmark anchored to caller-provided real UI controls.</x:v>
      </x:c>
      <x:c r="G1247" t="str">
        <x:v>Exactly two files changed: executive-coachmark.tsx and executive-coachmark.test.ts. Focused tests 7 PASS; lint/build/diff-check PASS; boundary review CLEAN-SCOPE.</x:v>
      </x:c>
      <x:c r="H1247" t="str">
        <x:v>PASS / 13F-07 CLOSED / PUBLISHED</x:v>
      </x:c>
      <x:c r="I1247" t="str">
        <x:v>Reuses shared popover/motion and executive button contracts; preserves anchor behavior; caller controls open/replay/action/dismiss state; non-modal with no overlay/portal/focus trap. No persistence, Help system, guidance-state ownership, routing/API/auth or procurement-specific product integration.</x:v>
      </x:c>
      <x:c r="J1247" t="str">
        <x:v>Next executable canonical task: Phase 13F / 13F-08 — Create Nexus Guide side panel.</x:v>
      </x:c>
    </x:row>
    <x:row r="1248">
      <x:c r="A1248" t="n">
        <x:v>46296</x:v>
      </x:c>
      <x:c r="B1248" t="str">
        <x:v>Phase 13F / 13F-08</x:v>
      </x:c>
      <x:c r="C1248" t="str">
        <x:v>13F-08 Executive Nexus Guide Side Panel Published</x:v>
      </x:c>
      <x:c r="D1248" t="str">
        <x:v>executive-benchmark-engine</x:v>
      </x:c>
      <x:c r="E1248" t="str">
        <x:v>aa358c01d7f4869a5ae2e77cb00ea62bc85478b4</x:v>
      </x:c>
      <x:c r="F1248" t="str">
        <x:v>Published the reusable ExecutiveNexusGuide side panel using the shared executive drawer contracts.</x:v>
      </x:c>
      <x:c r="G1248" t="str">
        <x:v>Exactly two files changed: executive-nexus-guide.tsx and executive-nexus-guide.test.ts. Focused tests 6 PASS; lint/build/diff-check PASS; boundary review CLEAN-SCOPE.</x:v>
      </x:c>
      <x:c r="H1248" t="str">
        <x:v>PASS / 13F-08 CLOSED / PUBLISHED</x:v>
      </x:c>
      <x:c r="I1248" t="str">
        <x:v>Panel is caller-controlled and presentation-only; displays supplied workflow/readiness/attention/next-step context and optional actions, omits empty sections, and owns no AI/inference/data loading/guidance-state persistence/routing/API/auth or procurement-specific product behavior.</x:v>
      </x:c>
      <x:c r="J1248" t="str">
        <x:v>Next executable canonical task: Phase 13F / 13F-09 — Add RFI/clarification contextual guidance.</x:v>
      </x:c>
    </x:row>
    <x:row r="1249">
      <x:c r="A1249" t="n">
        <x:v>46296</x:v>
      </x:c>
      <x:c r="B1249" t="str">
        <x:v>Phase 13F / 13F-09</x:v>
      </x:c>
      <x:c r="C1249" t="str">
        <x:v>13F-09 RFI / Clarification Contextual Guidance Published</x:v>
      </x:c>
      <x:c r="D1249" t="str">
        <x:v>executive-benchmark-engine</x:v>
      </x:c>
      <x:c r="E1249" t="str">
        <x:v>0bc78e96f7dcbe425f27548f964f10e4e7c31477</x:v>
      </x:c>
      <x:c r="F1249" t="str">
        <x:v>Published truthful RFI contextual guidance using a pure resolver plus a single shared ExecutiveGuidanceCard integration in RFQRfiWorkspace.</x:v>
      </x:c>
      <x:c r="G1249" t="str">
        <x:v>Exactly four authorized files changed. Focused tests 9 PASS; lint/build/diff-check PASS; boundary review CLEAN-SCOPE.</x:v>
      </x:c>
      <x:c r="H1249" t="str">
        <x:v>PASS / 13F-09 CLOSED / PUBLISHED</x:v>
      </x:c>
      <x:c r="I1249" t="str">
        <x:v>Approaching deadline and owner/open-RFI guidance use existing state; ambiguity/Addendum impact require explicit caller signals. No text inference, AI analysis, RFI API behavior change, Addendum workflow change, database/auth/RLS change or confidentiality regression.</x:v>
      </x:c>
      <x:c r="J1249" t="str">
        <x:v>Next executable canonical task: Phase 13F / 13F-10 — Add proposal readiness contextual guidance.</x:v>
      </x:c>
    </x:row>
    <x:row r="1250">
      <x:c r="A1250" t="n">
        <x:v>46296</x:v>
      </x:c>
      <x:c r="B1250" t="str">
        <x:v>Phase 13F / 13F-10</x:v>
      </x:c>
      <x:c r="C1250" t="str">
        <x:v>13F-10 Quotation Readiness Contextual Guidance Published</x:v>
      </x:c>
      <x:c r="D1250" t="str">
        <x:v>executive-benchmark-engine</x:v>
      </x:c>
      <x:c r="E1250" t="str">
        <x:v>b553b9758ae99f802a96688ef34bf48af6efc130</x:v>
      </x:c>
      <x:c r="F1250" t="str">
        <x:v>Published truthful quotation readiness contextual guidance using a pure resolver plus one shared ExecutiveGuidanceCard integration in RfqSubmitWorkspace.</x:v>
      </x:c>
      <x:c r="G1250" t="str">
        <x:v>Exactly four authorized files changed. Focused tests 18 PASS; lint/build/diff-check PASS; boundary review CLEAN-SCOPE.</x:v>
      </x:c>
      <x:c r="H1250" t="str">
        <x:v>PASS / 13F-10 CLOSED / PUBLISHED</x:v>
      </x:c>
      <x:c r="I1250" t="str">
        <x:v>Outstanding Addendum acknowledgement is highest priority; missing amount/timeline/commercial-note evidence is combined into one item. Compliance/documents require explicit caller signals and are not inferred. Submit/reconfirm/resubmit/API/data/auth behavior remains unchanged.</x:v>
      </x:c>
      <x:c r="J1250" t="str">
        <x:v>Next executable canonical task: Phase 13F / 13F-11 — Add evaluation exception guidance.</x:v>
      </x:c>
    </x:row>
    <x:row r="1251">
      <x:c r="A1251" t="n">
        <x:v>46296</x:v>
      </x:c>
      <x:c r="B1251" t="str">
        <x:v>Phase 13F / 13F-11</x:v>
      </x:c>
      <x:c r="C1251" t="str">
        <x:v>13F-11 Evaluation Exception Guidance Published</x:v>
      </x:c>
      <x:c r="D1251" t="str">
        <x:v>executive-benchmark-engine</x:v>
      </x:c>
      <x:c r="E1251" t="str">
        <x:v>53911307de96669fd5091f92375b2015301536b4</x:v>
      </x:c>
      <x:c r="F1251" t="str">
        <x:v>Published evidence-backed evaluation exception guidance using a pure resolver plus one shared ExecutiveGuidanceCard integration in RfqQuoteComparison.</x:v>
      </x:c>
      <x:c r="G1251" t="str">
        <x:v>Exactly four authorized files changed. Focused tests 14 PASS; lint/build/diff-check PASS; boundary review CLEAN-SCOPE.</x:v>
      </x:c>
      <x:c r="H1251" t="str">
        <x:v>PASS / 13F-11 CLOSED / PUBLISHED</x:v>
      </x:c>
      <x:c r="I1251" t="str">
        <x:v>Material revalidation is highest priority; high-risk and highest-price evidence reuse existing comparison fields only. No new thresholds, data loading, lifecycle bypass, issuer authorization, scoring/ranking/recommendation or award behavior changes.</x:v>
      </x:c>
      <x:c r="J1251" t="str">
        <x:v>Next executable canonical task: Phase 13F / 13F-12 — Add attention guidance to Activity Center.</x:v>
      </x:c>
    </x:row>
    <x:row r="1252">
      <x:c r="A1252" t="n">
        <x:v>46296</x:v>
      </x:c>
      <x:c r="B1252" t="str">
        <x:v>Phase 13F / 13F-12</x:v>
      </x:c>
      <x:c r="C1252" t="str">
        <x:v>13F-12 Activity Center Attention Guidance Published</x:v>
      </x:c>
      <x:c r="D1252" t="str">
        <x:v>executive-benchmark-engine</x:v>
      </x:c>
      <x:c r="E1252" t="str">
        <x:v>9d2060830c903e6bb184197b3bae78571aa05b7b</x:v>
      </x:c>
      <x:c r="F1252" t="str">
        <x:v>Published concise Needs Attention guidance for supported Activity Center events with authorization-aware RFQ source navigation.</x:v>
      </x:c>
      <x:c r="G1252" t="str">
        <x:v>Exactly four authorized files changed. Focused tests 11 PASS; lint/build/diff-check PASS; boundary review CLEAN-SCOPE.</x:v>
      </x:c>
      <x:c r="H1252" t="str">
        <x:v>PASS / 13F-12 CLOSED / PUBLISHED</x:v>
      </x:c>
      <x:c r="I1252" t="str">
        <x:v>Guidance is event-type-based only; source links use existing resolveRfqSourceHref results. Priority ordering, Updates/History behavior, company scoping, source authorization and data access remain unchanged.</x:v>
      </x:c>
      <x:c r="J1252" t="str">
        <x:v>Next executable canonical task: Phase 13F / 13F-13 — Standardize guidance writing tone.</x:v>
      </x:c>
    </x:row>
    <x:row r="1253">
      <x:c r="A1253" t="n">
        <x:v>46296</x:v>
      </x:c>
      <x:c r="B1253" t="str">
        <x:v>Phase 13F / 13F-13</x:v>
      </x:c>
      <x:c r="C1253" t="str">
        <x:v>13F-13 Guidance Writing Tone Standardized</x:v>
      </x:c>
      <x:c r="D1253" t="str">
        <x:v>executive-benchmark-engine</x:v>
      </x:c>
      <x:c r="E1253" t="str">
        <x:v>9324616d59d52f4b614c8cc3712e1f4caa87caef</x:v>
      </x:c>
      <x:c r="F1253" t="str">
        <x:v>Standardized Phase 13F guidance copy across RFI, quotation readiness, evaluation exceptions and Activity attention.</x:v>
      </x:c>
      <x:c r="G1253" t="str">
        <x:v>Exactly eight authorized source/test files changed. Focused tests 27 PASS; lint/build/diff-check PASS; boundary review CLEAN-SCOPE.</x:v>
      </x:c>
      <x:c r="H1253" t="str">
        <x:v>PASS / 13F-13 CLOSED / PUBLISHED</x:v>
      </x:c>
      <x:c r="I1253" t="str">
        <x:v>Copy-only standardization: concise, professional, procurement-accurate, non-patronizing, action-oriented. Resolver logic/priorities, UI/product code, lifecycle/authorization, routing/API/data and guidance-state rules remain unchanged.</x:v>
      </x:c>
      <x:c r="J1253" t="str">
        <x:v>Next executable canonical task: Phase 13F / 13F-14 — Guidance annoyance review.</x:v>
      </x:c>
    </x:row>
    <x:row r="1254">
      <x:c r="A1254" t="n">
        <x:v>46296</x:v>
      </x:c>
      <x:c r="B1254" t="str">
        <x:v>Phase 13F / 13F-14</x:v>
      </x:c>
      <x:c r="C1254" t="str">
        <x:v>13F-14 Guidance Annoyance Review Blocked by QA Access</x:v>
      </x:c>
      <x:c r="D1254" t="str">
        <x:v>executive-benchmark-engine</x:v>
      </x:c>
      <x:c r="E1254" t="str">
        <x:v>81f73b3b47e242c27ec775e0a85a0f1534734683</x:v>
      </x:c>
      <x:c r="F1254" t="str">
        <x:v>Performed read-only guidance annoyance walkthrough. Quote Comparison verified PASS; remaining authenticated product surfaces could not be live-walked with the current local session.</x:v>
      </x:c>
      <x:c r="G1254" t="str">
        <x:v>No code changed. Quote Comparison evidence: one guidance card max, no award/winner implication, evidence remains primary, empty/low-risk states quiet, desktop/mobile responsive PASS.</x:v>
      </x:c>
      <x:c r="H1254" t="str">
        <x:v>BLOCKED / QA ACCESS EVIDENCE GAP / NO VERIFIED PRODUCT DEFECT</x:v>
      </x:c>
      <x:c r="I1254" t="str">
        <x:v>Private RFI, Quotation Submit/Revalidation, and Activity Center Needs Attention remain unverified because authenticated routes were unreachable. This is not evidence of guidance failure.</x:v>
      </x:c>
      <x:c r="J1254" t="str">
        <x:v>Establish authorized local QA session, then rerun only unverified 13F-14 surfaces and global annoyance checks. Preserve 13F-01 through 13F-13 PASS/CLOSED.</x:v>
      </x:c>
    </x:row>
    <x:row r="1255">
      <x:c r="A1255" t="n">
        <x:v>46296</x:v>
      </x:c>
      <x:c r="B1255" t="str">
        <x:v>Phase 13F / 13F-14</x:v>
      </x:c>
      <x:c r="C1255" t="str">
        <x:v>13F-14 Authenticated QA Partial Pass</x:v>
      </x:c>
      <x:c r="D1255" t="str">
        <x:v>executive-benchmark-engine</x:v>
      </x:c>
      <x:c r="E1255" t="str">
        <x:v>a3a181a447fe431ea4e43cd1657669f20867a244</x:v>
      </x:c>
      <x:c r="F1255" t="str">
        <x:v>Established authorized local owner session and resumed read-only guidance annoyance QA. Private RFI and Activity Center now verified PASS; prior Quote Comparison PASS retained.</x:v>
      </x:c>
      <x:c r="G1255" t="str">
        <x:v>No code/database/auth changes. RFQ and Activity Center auth prerequisites PASS. Global annoyance checks PASS with no verified P0/P1 guidance defect.</x:v>
      </x:c>
      <x:c r="H1255" t="str">
        <x:v>BLOCKED / ONE EVIDENCE GAP REMAINS</x:v>
      </x:c>
      <x:c r="I1255" t="str">
        <x:v>Quotation Submit/Revalidation is still UNVERIFIED. All other integrated 13F guidance surfaces now have PASS evidence.</x:v>
      </x:c>
      <x:c r="J1255" t="str">
        <x:v>Walk only Quotation Submit/Revalidation with existing authorized session/data. If all readiness-annoyance checks PASS, close 13F-14 and Phase 13F.</x:v>
      </x:c>
    </x:row>
    <x:row r="1256">
      <x:c r="A1256" t="n">
        <x:v>46296</x:v>
      </x:c>
      <x:c r="B1256" t="str">
        <x:v>Phase 13F / 13F-14</x:v>
      </x:c>
      <x:c r="C1256" t="str">
        <x:v>13F-14 Guidance Annoyance Review Completed</x:v>
      </x:c>
      <x:c r="D1256" t="str">
        <x:v>executive-benchmark-engine</x:v>
      </x:c>
      <x:c r="E1256" t="str">
        <x:v>e94e48429f8252cc0af7e72152788ae7d040dfd4</x:v>
      </x:c>
      <x:c r="F1256" t="str">
        <x:v>Completed the final respondent-side Quotation Submit/Revalidation annoyance QA using an existing authorized supplier session and existing Development evidence.</x:v>
      </x:c>
      <x:c r="G1256" t="str">
        <x:v>All 13F integrated guidance surfaces now have PASS evidence. No code/database/auth-data changes; no fixture/data mutation; no verified P0/P1 guidance defect.</x:v>
      </x:c>
      <x:c r="H1256" t="str">
        <x:v>PASS / 13F-14 CLOSED / PHASE 13F CLOSED</x:v>
      </x:c>
      <x:c r="I1256" t="str">
        <x:v>Outstanding Addendum readiness guidance and complete/quiet quotation states both PASS; responsive checks PASS; prior Quote Comparison, Private RFI, Activity Center and global annoyance PASS evidence retained.</x:v>
      </x:c>
      <x:c r="J1256" t="str">
        <x:v>Proceed to the next canonical Master Plan task after Phase 13F.</x:v>
      </x:c>
    </x:row>
    <x:row r="1257">
      <x:c r="A1257" t="n">
        <x:v>46296</x:v>
      </x:c>
      <x:c r="B1257" t="str">
        <x:v>Phase 13G / 13G-01</x:v>
      </x:c>
      <x:c r="C1257" t="str">
        <x:v>13G-01 Ask Nexus Trust Boundaries Published</x:v>
      </x:c>
      <x:c r="D1257" t="str">
        <x:v>executive-benchmark-engine</x:v>
      </x:c>
      <x:c r="E1257" t="str">
        <x:v>f0681a33374947f1fe0ff5063c8d248d0f905f9a</x:v>
      </x:c>
      <x:c r="F1257" t="str">
        <x:v>Published a pure domain-neutral Ask Nexus trust policy separating informational, navigation, advisory, and consequential-action interaction states.</x:v>
      </x:c>
      <x:c r="G1257" t="str">
        <x:v>Exactly two authorized files changed. Focused tests 14 PASS; lint/build/diff-check PASS; boundary review CLEAN-SCOPE.</x:v>
      </x:c>
      <x:c r="H1257" t="str">
        <x:v>PASS / 13G-01 CLOSED / PUBLISHED</x:v>
      </x:c>
      <x:c r="I1257" t="str">
        <x:v>No execution, route synthesis, AI permission inference, UI/API/data access, or duplicated business-domain authorization logic. Consequential action eligibility still requires execution-time authorization revalidation.</x:v>
      </x:c>
      <x:c r="J1257" t="str">
        <x:v>Next executable canonical task: Phase 13G / 13G-02 — Pass authorized page/workflow context to help.</x:v>
      </x:c>
    </x:row>
    <x:row r="1258">
      <x:c r="A1258" t="n">
        <x:v>46296</x:v>
      </x:c>
      <x:c r="B1258" t="str">
        <x:v>Phase 13G / 13G-02</x:v>
      </x:c>
      <x:c r="C1258" t="str">
        <x:v>13G-02 Ask Nexus Authorized Context Published</x:v>
      </x:c>
      <x:c r="D1258" t="str">
        <x:v>executive-benchmark-engine</x:v>
      </x:c>
      <x:c r="E1258" t="str">
        <x:v>81ce911695fa88340b142a044cbca7c9dfe0e898</x:v>
      </x:c>
      <x:c r="F1258" t="str">
        <x:v>Published a pure caller-authorized Ask Nexus page/workflow context contract with isolated company, project, RFQ and normalized fact context.</x:v>
      </x:c>
      <x:c r="G1258" t="str">
        <x:v>Exactly two authorized files changed. Focused tests 19 PASS; lint/build/diff-check PASS; boundary review CLEAN-SCOPE.</x:v>
      </x:c>
      <x:c r="H1258" t="str">
        <x:v>PASS / 13G-02 CLOSED / PUBLISHED</x:v>
      </x:c>
      <x:c r="I1258" t="str">
        <x:v>No hidden privilege elevation, route synthesis, role/procurement inference, broad repository dependency, permission fields, or data/API/database access.</x:v>
      </x:c>
      <x:c r="J1258" t="str">
        <x:v>Next executable canonical task: Phase 13G / 13G-03 — Add context-specific suggested questions.</x:v>
      </x:c>
    </x:row>
    <x:row r="1259">
      <x:c r="A1259" t="n">
        <x:v>46296</x:v>
      </x:c>
      <x:c r="B1259" t="str">
        <x:v>Phase 13G / 13G-03</x:v>
      </x:c>
      <x:c r="C1259" t="str">
        <x:v>13G-03 Ask Nexus Suggested Questions Published</x:v>
      </x:c>
      <x:c r="D1259" t="str">
        <x:v>executive-benchmark-engine</x:v>
      </x:c>
      <x:c r="E1259" t="str">
        <x:v>4305f500996a9849a08c654872e6503db675b730</x:v>
      </x:c>
      <x:c r="F1259" t="str">
        <x:v>Published deterministic context-specific Ask Nexus suggested questions derived only from the existing authorized context envelope.</x:v>
      </x:c>
      <x:c r="G1259" t="str">
        <x:v>Exactly two authorized files changed. Focused tests 16 PASS; lint/build/diff-check PASS; boundary review CLEAN-SCOPE.</x:v>
      </x:c>
      <x:c r="H1259" t="str">
        <x:v>PASS / 13G-03 CLOSED / PUBLISHED</x:v>
      </x:c>
      <x:c r="I1259" t="str">
        <x:v>Maximum four suggestions with stable ordering and RFQ/project/company specificity. No route synthesis, permission inference, fact-value parsing, AI/data access or consequential-action phrasing.</x:v>
      </x:c>
      <x:c r="J1259" t="str">
        <x:v>Next executable canonical task: Phase 13G / 13G-04 — Add Guide This Page mode.</x:v>
      </x:c>
    </x:row>
    <x:row r="1260">
      <x:c r="A1260" t="n">
        <x:v>46296</x:v>
      </x:c>
      <x:c r="B1260" t="str">
        <x:v>Phase 13G / 13G-04</x:v>
      </x:c>
      <x:c r="C1260" t="str">
        <x:v>13G-04 Guide This Page Replay Mode Published</x:v>
      </x:c>
      <x:c r="D1260" t="str">
        <x:v>executive-benchmark-engine</x:v>
      </x:c>
      <x:c r="E1260" t="str">
        <x:v>6cd8ab4178274169bba26e6f3953d3c364480e15</x:v>
      </x:c>
      <x:c r="F1260" t="str">
        <x:v>Published an explicit user-invoked Guide This Page replay controller that reuses ExecutiveCoachmark and keeps active-step state caller-owned.</x:v>
      </x:c>
      <x:c r="G1260" t="str">
        <x:v>Exactly two authorized files changed. Focused tests 15 PASS; lint/build/diff-check PASS; boundary review CLEAN-SCOPE.</x:v>
      </x:c>
      <x:c r="H1260" t="str">
        <x:v>PASS / 13G-04 CLOSED / PUBLISHED</x:v>
      </x:c>
      <x:c r="I1260" t="str">
        <x:v>No auto-open, recurrence, persistence, hidden memory, DOM anchor lookup, focus/scroll takeover, routing, data/API/AI access or consequential action behavior.</x:v>
      </x:c>
      <x:c r="J1260" t="str">
        <x:v>Next executable canonical task: Phase 13G / 13G-05 — Support safe deep-link navigation actions.</x:v>
      </x:c>
    </x:row>
    <x:row r="1261">
      <x:c r="A1261" t="n">
        <x:v>46296</x:v>
      </x:c>
      <x:c r="B1261" t="str">
        <x:v>Phase 13G / 13G-05</x:v>
      </x:c>
      <x:c r="C1261" t="str">
        <x:v>13G-05 Safe Ask Nexus Deep Links Published</x:v>
      </x:c>
      <x:c r="D1261" t="str">
        <x:v>executive-benchmark-engine</x:v>
      </x:c>
      <x:c r="E1261" t="str">
        <x:v>6755bf19b4a8a2417e92e2c6993b5d14e791fc34</x:v>
      </x:c>
      <x:c r="F1261" t="str">
        <x:v>Published a pure safe deep-link action resolver that passes caller-authorized destinations through the canonical Ask Nexus trust policy and returns navigation-ready metadata only.</x:v>
      </x:c>
      <x:c r="G1261" t="str">
        <x:v>Exactly two authorized files changed. Focused tests 13 PASS; lint/build/diff-check PASS; boundary review CLEAN-SCOPE.</x:v>
      </x:c>
      <x:c r="H1261" t="str">
        <x:v>PASS / 13G-05 CLOSED / PUBLISHED</x:v>
      </x:c>
      <x:c r="I1261" t="str">
        <x:v>No route synthesis, application-nav dependency, role/procurement inference, navigation execution, mutations, consequential actions, or AI/data/API/database access.</x:v>
      </x:c>
      <x:c r="J1261" t="str">
        <x:v>Next executable canonical task: Phase 13G / 13G-06 — Support Why is this flagged? evidence view.</x:v>
      </x:c>
    </x:row>
    <x:row r="1262">
      <x:c r="A1262" t="n">
        <x:v>46296</x:v>
      </x:c>
      <x:c r="B1262" t="str">
        <x:v>Phase 13G / 13G-06</x:v>
      </x:c>
      <x:c r="C1262" t="str">
        <x:v>13G-06 Ask Nexus Evidence View Published</x:v>
      </x:c>
      <x:c r="D1262" t="str">
        <x:v>executive-benchmark-engine</x:v>
      </x:c>
      <x:c r="E1262" t="str">
        <x:v>972e3fc398429ec3d8609cfc0c39c5dcfef33de7</x:v>
      </x:c>
      <x:c r="F1262" t="str">
        <x:v>Published a pure Why-is-this-flagged evidence projection using caller-supplied claims, explanations, evidence sources, limitations, and trust-policy-gated source links.</x:v>
      </x:c>
      <x:c r="G1262" t="str">
        <x:v>Exactly two authorized files changed. Focused tests 12 PASS; lint/build/diff-check PASS; boundary review CLEAN-SCOPE.</x:v>
      </x:c>
      <x:c r="H1262" t="str">
        <x:v>PASS / 13G-06 CLOSED / PUBLISHED</x:v>
      </x:c>
      <x:c r="I1262" t="str">
        <x:v>No evidence discovery, scoring/risk/readiness logic, business-text inference, authorization inference, mutation, or AI/data/API/database access.</x:v>
      </x:c>
      <x:c r="J1262" t="str">
        <x:v>Next executable canonical task: Phase 13G / 13G-07 — Require confirmation for consequential assistant actions.</x:v>
      </x:c>
    </x:row>
    <x:row r="1263">
      <x:c r="A1263" t="n">
        <x:v>46296</x:v>
      </x:c>
      <x:c r="B1263" t="str">
        <x:v>Phase 13G / 13G-07</x:v>
      </x:c>
      <x:c r="C1263" t="str">
        <x:v>13G-07 Ask Nexus Consequential Confirmation Gate Published</x:v>
      </x:c>
      <x:c r="D1263" t="str">
        <x:v>executive-benchmark-engine</x:v>
      </x:c>
      <x:c r="E1263" t="str">
        <x:v>262b8975cbe9343cefd12412fa99e815f15b6ce8</x:v>
      </x:c>
      <x:c r="F1263" t="str">
        <x:v>Published a pure consequential-action confirmation contract that reuses the canonical Ask Nexus trust policy and requires permission plus explicit confirmation before execution eligibility.</x:v>
      </x:c>
      <x:c r="G1263" t="str">
        <x:v>Exactly two authorized files changed. Focused tests 12 PASS; lint/build/diff-check PASS; boundary review CLEAN-SCOPE.</x:v>
      </x:c>
      <x:c r="H1263" t="str">
        <x:v>PASS / 13G-07 CLOSED / PUBLISHED</x:v>
      </x:c>
      <x:c r="I1263" t="str">
        <x:v>No execution, mutation, domain authorization duplication, navigation, persistence, UI/dialog integration, or API/data/database access. Execution-time authorization revalidation remains mandatory.</x:v>
      </x:c>
      <x:c r="J1263" t="str">
        <x:v>Next executable canonical task: Phase 13G / 13G-08 — Test Ask Nexus permission inheritance.</x:v>
      </x:c>
    </x:row>
    <x:row r="1264">
      <x:c r="A1264" t="n">
        <x:v>46296</x:v>
      </x:c>
      <x:c r="B1264" t="str">
        <x:v>Phase 13G / 13G-08</x:v>
      </x:c>
      <x:c r="C1264" t="str">
        <x:v>13G-08 Ask Nexus RFQ Permission Scope Published</x:v>
      </x:c>
      <x:c r="D1264" t="str">
        <x:v>executive-benchmark-engine</x:v>
      </x:c>
      <x:c r="E1264" t="str">
        <x:v>3faecacf079c33323801f1fb020b21e7b065b4eb</x:v>
      </x:c>
      <x:c r="F1264" t="str">
        <x:v>Published a narrow Ask Nexus RFQ permission projection over authoritative RfqCapabilities with explicit fail-closed respondent behavior and no generic competitor-data scope.</x:v>
      </x:c>
      <x:c r="G1264" t="str">
        <x:v>Exactly two authorized files changed. Focused tests 10 PASS; lint/build/diff-check PASS; boundary review CLEAN-SCOPE.</x:v>
      </x:c>
      <x:c r="H1264" t="str">
        <x:v>PASS / 13G-08 CLOSED / PUBLISHED</x:v>
      </x:c>
      <x:c r="I1264" t="str">
        <x:v>Respondent issuer-only intelligence/commercial/recommendation scopes remain blocked even under malformed capability payloads; issuer scopes never widen beyond authoritative capability booleans.</x:v>
      </x:c>
      <x:c r="J1264" t="str">
        <x:v>Next executable canonical task: Phase 13G / 13G-09 — Define safe unavailable/low-confidence behavior.</x:v>
      </x:c>
    </x:row>
    <x:row r="1265">
      <x:c r="A1265" t="n">
        <x:v>46296</x:v>
      </x:c>
      <x:c r="B1265" t="str">
        <x:v>Phase 13G / 13G-09</x:v>
      </x:c>
      <x:c r="C1265" t="str">
        <x:v>13G-09 Ask Nexus Safe Availability Fallback Published</x:v>
      </x:c>
      <x:c r="D1265" t="str">
        <x:v>executive-benchmark-engine</x:v>
      </x:c>
      <x:c r="E1265" t="str">
        <x:v>58961e78cc2ae77720c07b98f2d59353f34c18da</x:v>
      </x:c>
      <x:c r="F1265" t="str">
        <x:v>Published a pure availability/low-confidence fallback contract that propagates caller-supplied uncertainty and prevents Ask Nexus from fabricating certainty.</x:v>
      </x:c>
      <x:c r="G1265" t="str">
        <x:v>Exactly two authorized files changed. Focused tests 10 PASS; lint/build/diff-check PASS; boundary review CLEAN-SCOPE.</x:v>
      </x:c>
      <x:c r="H1265" t="str">
        <x:v>PASS / 13G-09 CLOSED / PUBLISHED</x:v>
      </x:c>
      <x:c r="I1265" t="str">
        <x:v>Unavailable/limited evidence overrides confidence; malformed runtime states fail closed; no scoring, evidence discovery, business inference, execution, navigation or UI behavior.</x:v>
      </x:c>
      <x:c r="J1265" t="str">
        <x:v>Next executable canonical task: Phase 13G / 13G-10 — Lazy-load help/intelligence panel.</x:v>
      </x:c>
    </x:row>
    <x:row r="1266">
      <x:c r="A1266" t="n">
        <x:v>46296</x:v>
      </x:c>
      <x:c r="B1266" t="str">
        <x:v>Phase 13G / 13G-10</x:v>
      </x:c>
      <x:c r="C1266" t="str">
        <x:v>13G-10 Ask Nexus Lazy Performance Boundary Published / Phase 13G Closed</x:v>
      </x:c>
      <x:c r="D1266" t="str">
        <x:v>executive-benchmark-engine</x:v>
      </x:c>
      <x:c r="E1266" t="str">
        <x:v>35c81262a20beb7bfc8c8e0df9a051daa45d1497</x:v>
      </x:c>
      <x:c r="F1266" t="str">
        <x:v>Published a reusable next/dynamic wrapper for ExecutiveNexusGuide so closed help remains off the normal render path and the interactive drawer stays behind a client-only dynamic boundary.</x:v>
      </x:c>
      <x:c r="G1266" t="str">
        <x:v>Exactly two authorized files changed. Focused tests 7 PASS; lint/build/dynamic-boundary/diff-check PASS; boundary review CLEAN-SCOPE.</x:v>
      </x:c>
      <x:c r="H1266" t="str">
        <x:v>PASS / 13G-10 CLOSED / PUBLISHED / PHASE 13G 10 OF 10 CLOSED</x:v>
      </x:c>
      <x:c r="I1266" t="str">
        <x:v>No static runtime guide import, auto-prefetch/preload, local state ownership, Ask Nexus business logic, data/API/database/AI access, duplicated drawer UI, or page/layout change.</x:v>
      </x:c>
      <x:c r="J1266" t="str">
        <x:v>Next executable canonical task: Phase 13H / 13H-01 — Upgrade Executive Overview.</x:v>
      </x:c>
    </x:row>
    <x:row r="1267">
      <x:c r="A1267" t="n">
        <x:v>46296</x:v>
      </x:c>
      <x:c r="B1267" t="str">
        <x:v>Phase 13H / 13H-01</x:v>
      </x:c>
      <x:c r="C1267" t="str">
        <x:v>13H-01 Executive Overview Upgrade Published</x:v>
      </x:c>
      <x:c r="D1267" t="str">
        <x:v>executive-benchmark-engine</x:v>
      </x:c>
      <x:c r="E1267" t="str">
        <x:v>dfd7700c25f270a381d3fa81ec87a4911b346cf2</x:v>
      </x:c>
      <x:c r="F1267" t="str">
        <x:v>Published presentation-only upgrades to Executive Decision Context, Action Queue, and Portfolio Snapshot using existing executive primitives and tokens.</x:v>
      </x:c>
      <x:c r="G1267" t="str">
        <x:v>Exactly three authorized component files changed. Focused tests/lint/build/diff-check PASS; responsive/accessibility visual verification reported PASS; implementation visual rescore 9.4/10.</x:v>
      </x:c>
      <x:c r="H1267" t="str">
        <x:v>PASS / 13H-01 CLOSED / PUBLISHED</x:v>
      </x:c>
      <x:c r="I1267" t="str">
        <x:v>Dashboard page and golden test remained outside the commit; no business/data/procurement/confidentiality/route/design-system-source changes or new metrics/claims.</x:v>
      </x:c>
      <x:c r="J1267" t="str">
        <x:v>Next executable canonical task: Phase 13H / 13H-02 — Upgrade Procurement Center landing.</x:v>
      </x:c>
    </x:row>
    <x:row r="1268">
      <x:c r="A1268" t="n">
        <x:v>46296</x:v>
      </x:c>
      <x:c r="B1268" t="str">
        <x:v>Phase 13H / 13H-02</x:v>
      </x:c>
      <x:c r="C1268" t="str">
        <x:v>13H-02 Procurement Center Landing Upgrade Published</x:v>
      </x:c>
      <x:c r="D1268" t="str">
        <x:v>executive-benchmark-engine</x:v>
      </x:c>
      <x:c r="E1268" t="str">
        <x:v>f6e84ce88e0ca00ca74a1bea894a76c735b26419</x:v>
      </x:c>
      <x:c r="F1268" t="str">
        <x:v>Published a presentation-only Procurement Center landing upgrade using shared Executive Design System panels, metrics, badges, buttons and empty-state contracts.</x:v>
      </x:c>
      <x:c r="G1268" t="str">
        <x:v>Exactly one authorized file changed. Focused tests/lint/build/diff-check PASS; responsive/accessibility visual verification reported PASS; implementation visual rescore 9.4/10.</x:v>
      </x:c>
      <x:c r="H1268" t="str">
        <x:v>PASS / 13H-02 CLOSED / PUBLISHED</x:v>
      </x:c>
      <x:c r="I1268" t="str">
        <x:v>Marketplace view model, procurement authorization/data loading, sealed-budget behavior, invitation routing semantics and buyer/respondent modes remained unchanged.</x:v>
      </x:c>
      <x:c r="J1268" t="str">
        <x:v>Next executable canonical task: Phase 13H / 13H-03 — Upgrade RFQ Drafting &amp; Configuration.</x:v>
      </x:c>
    </x:row>
    <x:row r="1269">
      <x:c r="A1269" t="n">
        <x:v>46296</x:v>
      </x:c>
      <x:c r="B1269" t="str">
        <x:v>Phase 13H / 13H-03</x:v>
      </x:c>
      <x:c r="C1269" t="str">
        <x:v>13H-03 RFQ Drafting &amp; Configuration Upgrade Published</x:v>
      </x:c>
      <x:c r="D1269" t="str">
        <x:v>executive-benchmark-engine</x:v>
      </x:c>
      <x:c r="E1269" t="str">
        <x:v>e9a710ea187e6dccacab2432a3ab94b0bc9886f0</x:v>
      </x:c>
      <x:c r="F1269" t="str">
        <x:v>Published a presentation-only RFQ drafting/configuration upgrade using shared Executive Design System form, stepper, panel, dialog, progress and feedback contracts.</x:v>
      </x:c>
      <x:c r="G1269" t="str">
        <x:v>Exactly one authorized file changed. Focused tests/lint/build/diff-check PASS; responsive/accessibility visual verification reported PASS; implementation visual rescore 9.4/10.</x:v>
      </x:c>
      <x:c r="H1269" t="str">
        <x:v>PASS / 13H-03 CLOSED / PUBLISHED</x:v>
      </x:c>
      <x:c r="I1269" t="str">
        <x:v>Completeness, scope review, deadlines, autosave, acknowledgement gate, POST payload, replacement lineage, timers and redirect behavior remained unchanged; duplicate success UI was removed.</x:v>
      </x:c>
      <x:c r="J1269" t="str">
        <x:v>Next executable canonical task: Phase 13H / 13H-04 — Upgrade Market Engagement &amp; Publishing.</x:v>
      </x:c>
    </x:row>
    <x:row r="1270">
      <x:c r="A1270" t="n">
        <x:v>46296</x:v>
      </x:c>
      <x:c r="B1270" t="str">
        <x:v>Phase 13H / 13H-04</x:v>
      </x:c>
      <x:c r="C1270" t="str">
        <x:v>13H-04 Market Engagement &amp; Publishing Upgrade Published</x:v>
      </x:c>
      <x:c r="D1270" t="str">
        <x:v>executive-benchmark-engine</x:v>
      </x:c>
      <x:c r="E1270" t="str">
        <x:v>c21d2f045112bdd0af9b5acc363bedfe5a1d6648</x:v>
      </x:c>
      <x:c r="F1270" t="str">
        <x:v>Published a presentation-only RFQ market-engagement upgrade across the supplier invitation, AVL selection, delivery and result surfaces using shared Executive Design System contracts.</x:v>
      </x:c>
      <x:c r="G1270" t="str">
        <x:v>Exactly four authorized files changed. Focused tests/lint/build/diff-check PASS; responsive/accessibility visual verification reported PASS; implementation visual rescore 9.4/10.</x:v>
      </x:c>
      <x:c r="H1270" t="str">
        <x:v>PASS / 13H-04 CLOSED / PUBLISHED</x:v>
      </x:c>
      <x:c r="I1270" t="str">
        <x:v>Invitation/reuse/delivery truthfulness, secure invite-link fallback, AVL availability/selection and RFQ-vs-Workspace domain separation remained unchanged. No participation inference, quotation/award scope, parent RFQ page, RFI/Addenda, API/email/auth/data/database change.</x:v>
      </x:c>
      <x:c r="J1270" t="str">
        <x:v>Next executable canonical task: Phase 13H / 13H-05 — Upgrade Issuer RFI / Addenda Management.</x:v>
      </x:c>
    </x:row>
    <x:row r="1271">
      <x:c r="A1271" t="n">
        <x:v>46296</x:v>
      </x:c>
      <x:c r="B1271" t="str">
        <x:v>Phase 13H / 13H-05</x:v>
      </x:c>
      <x:c r="C1271" t="str">
        <x:v>13H-05 Issuer RFI / Addenda Management Upgrade Published</x:v>
      </x:c>
      <x:c r="D1271" t="str">
        <x:v>executive-benchmark-engine</x:v>
      </x:c>
      <x:c r="E1271" t="str">
        <x:v>74cdae5f556fb1c276ee430a1adc4b5a7d42ec05</x:v>
      </x:c>
      <x:c r="F1271" t="str">
        <x:v>Published presentation-only upgrades to Private RFI, governed Addenda management, and Addendum acknowledgement surfaces using shared Executive Design System contracts after first stabilizing the prerequisite governed package-change cluster.</x:v>
      </x:c>
      <x:c r="G1271" t="str">
        <x:v>Exactly three authorized UI files changed. Focused tests 93/93 PASS; lint/build/diff-check PASS; responsive/accessibility visual verification reported PASS; implementation visual rescore 9.35/10.</x:v>
      </x:c>
      <x:c r="H1271" t="str">
        <x:v>PASS / 13H-05 CLOSED / PUBLISHED</x:v>
      </x:c>
      <x:c r="I1271" t="str">
        <x:v>Private RFI confidentiality, governed package-change handoff, ordinary Addendum semantics, notification truthfulness and acknowledgement Clear/Blocked behavior remained unchanged. Prerequisite governance cluster published separately at 466b0ee1c8845a2e930a23c816a9a618814ebfd6.</x:v>
      </x:c>
      <x:c r="J1271" t="str">
        <x:v>Next executable canonical task: Phase 13H / 13H-06 — Upgrade Response Evaluation &amp; Award.</x:v>
      </x:c>
    </x:row>
    <x:row r="1272">
      <x:c r="A1272" t="n">
        <x:v>46296</x:v>
      </x:c>
      <x:c r="B1272" t="str">
        <x:v>Phase 13H / 13H-06</x:v>
      </x:c>
      <x:c r="C1272" t="str">
        <x:v>13H-06 Response Evaluation &amp; Award Upgrade Published</x:v>
      </x:c>
      <x:c r="D1272" t="str">
        <x:v>executive-benchmark-engine</x:v>
      </x:c>
      <x:c r="E1272" t="str">
        <x:v>2d8f4ae948eedbca4bc6bbd61f4c592499ff9e4a</x:v>
      </x:c>
      <x:c r="F1272" t="str">
        <x:v>Published presentation-only upgrades to RFQ quote comparison, recommended award path, and consequential award action using shared Executive Design System contracts.</x:v>
      </x:c>
      <x:c r="G1272" t="str">
        <x:v>Exactly three authorized files changed. Focused tests/lint/build/diff-check PASS; responsive/accessibility visual verification reported PASS; implementation visual rescore 9.34/10.</x:v>
      </x:c>
      <x:c r="H1272" t="str">
        <x:v>PASS / 13H-06 CLOSED / PUBLISHED</x:v>
      </x:c>
      <x:c r="I1272" t="str">
        <x:v>Commercial confidentiality, scoring/ranking, material-revalidation award gating, recommendation non-binding semantics, award API/confirmation/redirect/error-sanitization behavior remained unchanged.</x:v>
      </x:c>
      <x:c r="J1272" t="str">
        <x:v>Next executable canonical task: Phase 13H / 13H-07 — Upgrade Respondent RFQ Review &amp; Scoping.</x:v>
      </x:c>
    </x:row>
    <x:row r="1273">
      <x:c r="A1273" t="n">
        <x:v>46296</x:v>
      </x:c>
      <x:c r="B1273" t="str">
        <x:v>Phase 13H / 13H-07</x:v>
      </x:c>
      <x:c r="C1273" t="str">
        <x:v>13H-07 Respondent RFQ Review &amp; Scoping Upgrade Published</x:v>
      </x:c>
      <x:c r="D1273" t="str">
        <x:v>executive-benchmark-engine</x:v>
      </x:c>
      <x:c r="E1273" t="str">
        <x:v>5de338c618ce9d227654e1b744e591c362fad3bb</x:v>
      </x:c>
      <x:c r="F1273" t="str">
        <x:v>Published presentation-only upgrades to respondent procurement context, governance/confidentiality notices, and required-document review surfaces using shared Executive Design System contracts.</x:v>
      </x:c>
      <x:c r="G1273" t="str">
        <x:v>Exactly three authorized files changed. Focused tests 89/89 PASS; lint/build/diff-check PASS; accessibility PASS; respondent Document Requirements responsive QA passed with remaining surfaces code/contract verified.</x:v>
      </x:c>
      <x:c r="H1273" t="str">
        <x:v>PASS / 13H-07 CLOSED / PUBLISHED</x:v>
      </x:c>
      <x:c r="I1273" t="str">
        <x:v>Respondent read-only behavior, confidentiality/safe aggregate semantics, governed requirement mutation and handoff contracts, and commercial agency remained unchanged. No automated bid/no-bid recommendation or buyer-only intelligence was introduced.</x:v>
      </x:c>
      <x:c r="J1273" t="str">
        <x:v>Next executable canonical task: Phase 13H / 13H-08 — Upgrade Respondent RFI &amp; Clarifications.</x:v>
      </x:c>
    </x:row>
    <x:row r="1274">
      <x:c r="A1274" t="n">
        <x:v>46296</x:v>
      </x:c>
      <x:c r="B1274" t="str">
        <x:v>Phase 13H / 13H-08</x:v>
      </x:c>
      <x:c r="C1274" t="str">
        <x:v>13H-08 Respondent RFI &amp; Clarifications Upgrade Published</x:v>
      </x:c>
      <x:c r="D1274" t="str">
        <x:v>executive-benchmark-engine</x:v>
      </x:c>
      <x:c r="E1274" t="str">
        <x:v>b31effc48c13f6fbc8a5d972747acfd7e0cd2e1a</x:v>
      </x:c>
      <x:c r="F1274" t="str">
        <x:v>Closed 13H-08 with a one-file role-aware wrapper clarification after confirming the core respondent RFI/Addendum experience was already satisfied by the published 13H-05 implementation.</x:v>
      </x:c>
      <x:c r="G1274" t="str">
        <x:v>Exactly one authorized file changed. Focused tests 62/62 PASS; lint/build/diff-check PASS; desktop/tablet/mobile visual verification PASS; no horizontal overflow.</x:v>
      </x:c>
      <x:c r="H1274" t="str">
        <x:v>PASS / 13H-08 CLOSED / PUBLISHED</x:v>
      </x:c>
      <x:c r="I1274" t="str">
        <x:v>Private RFI creation, issuer response visibility, Addendum impact, acknowledgement Clear/Blocked semantics and all frozen 13H-05 component behavior remained unchanged. Respondent issuer-authority implication was removed from wrapper copy only.</x:v>
      </x:c>
      <x:c r="J1274" t="str">
        <x:v>Next executable canonical task: Phase 13H / 13H-09 — Upgrade Quote &amp; Proposal Preparation.</x:v>
      </x:c>
    </x:row>
    <x:row r="1275">
      <x:c r="A1275" t="n">
        <x:v>46296</x:v>
      </x:c>
      <x:c r="B1275" t="str">
        <x:v>Phase 13H / 13H-09</x:v>
      </x:c>
      <x:c r="C1275" t="str">
        <x:v>13H-09 Quote &amp; Proposal Preparation Upgrade Published</x:v>
      </x:c>
      <x:c r="D1275" t="str">
        <x:v>executive-benchmark-engine</x:v>
      </x:c>
      <x:c r="E1275" t="str">
        <x:v>1d92ab206de37f51b1608ddb7626f88f2802e41c</x:v>
      </x:c>
      <x:c r="F1275" t="str">
        <x:v>Published a one-file presentation-only upgrade to the respondent quote/proposal preparation workspace using shared Executive Design System contracts.</x:v>
      </x:c>
      <x:c r="G1275" t="str">
        <x:v>Exactly one authorized file changed. Focused tests/lint/build/diff-check PASS; accessibility PASS; no horizontal overflow; visual QA PARTIAL due fixture coverage limits.</x:v>
      </x:c>
      <x:c r="H1275" t="str">
        <x:v>PASS / 13H-09 CLOSED / PUBLISHED</x:v>
      </x:c>
      <x:c r="I1275" t="str">
        <x:v>Pricing, completeness/readiness, deadline risk, material revalidation, acknowledgement gating, reconfirm/resubmit semantics, quote API payloads and success redirect behavior remained unchanged.</x:v>
      </x:c>
      <x:c r="J1275" t="str">
        <x:v>Next executable canonical task: Phase 13H / 13H-10 — Upgrade Submission &amp; Award Tracking.</x:v>
      </x:c>
    </x:row>
    <x:row r="1276">
      <x:c r="A1276" t="n">
        <x:v>46296</x:v>
      </x:c>
      <x:c r="B1276" t="str">
        <x:v>Phase 13H / 13H-10</x:v>
      </x:c>
      <x:c r="C1276" t="str">
        <x:v>13H-10 Submission &amp; Award Tracking Upgrade Published</x:v>
      </x:c>
      <x:c r="D1276" t="str">
        <x:v>executive-benchmark-engine</x:v>
      </x:c>
      <x:c r="E1276" t="str">
        <x:v>4f0340ed8074028e3cfee407f3e04054a3ecbc17</x:v>
      </x:c>
      <x:c r="F1276" t="str">
        <x:v>Published a two-file presentation-only upgrade to respondent submission/outcome tracking after first closing the commercial-read and award-gating security prerequisite.</x:v>
      </x:c>
      <x:c r="G1276" t="str">
        <x:v>Exactly two authorized files changed. Focused tests/lint/build/diff-check PASS; desktop/tablet/mobile/deadline-context/accessibility verification PASS; visual rescore 9.4/10.</x:v>
      </x:c>
      <x:c r="H1276" t="str">
        <x:v>PASS / 13H-10 CLOSED / PUBLISHED</x:v>
      </x:c>
      <x:c r="I1276" t="str">
        <x:v>Own-quote isolation, competitor confidentiality, commercial-read authorization, pre-opening lockbox, status mapping, Approved/Awarded distinction, material revalidation, closed-state gating and outcome semantics remained unchanged. Security prerequisite published separately at 530dbae552f51c63f75e596850374d2d41179d20.</x:v>
      </x:c>
      <x:c r="J1276" t="str">
        <x:v>Next executable canonical task: Phase 13H / 13H-11 — Upgrade Activity Center.</x:v>
      </x:c>
    </x:row>
    <x:row r="1277">
      <x:c r="A1277" t="n">
        <x:v>46296</x:v>
      </x:c>
      <x:c r="B1277" t="str">
        <x:v>Phase 13H / 13H-11</x:v>
      </x:c>
      <x:c r="C1277" t="str">
        <x:v>13H-11 Activity Center Blocked — My Tasks Contract Missing</x:v>
      </x:c>
      <x:c r="D1277" t="str">
        <x:v>executive-benchmark-engine</x:v>
      </x:c>
      <x:c r="E1277" t="str">
        <x:v>c22ea4b1d111e061001372c5cb4442895919de50</x:v>
      </x:c>
      <x:c r="F1277" t="str">
        <x:v>Recorded a governed blocker after proving that the launch-frozen Activity Center supports Needs Attention, Updates and History only and explicitly forbids personal My Tasks derivation.</x:v>
      </x:c>
      <x:c r="G1277" t="str">
        <x:v>No code changes. Existing company-scoped notification query, RFQ source authorization, attention prioritization, Updates and History remain intact. Focused tests/lint/build/diff-check PASS; no horizontal overflow; visual acceptance cannot complete because required My Tasks semantics are not backed by an approved data/ownership model.</x:v>
      </x:c>
      <x:c r="H1277" t="str">
        <x:v>BLOCKED / 13H-11 OPEN</x:v>
      </x:c>
      <x:c r="I1277" t="str">
        <x:v>Resolution requires an approved task ownership/assignment contract or explicit Master Plan acceptance change. No new table/API/event taxonomy was invented.</x:v>
      </x:c>
      <x:c r="J1277" t="str">
        <x:v>Continue with dependency-independent Phase 13H / 13H-12 — Upgrade Project Portfolio; return to 13H-11 when the blocker is resolved.</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bc8a2c27f2504672"/>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9f9c181c6c124e3e"/>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Completed</x:v>
      </x:c>
      <x:c r="J10"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str">
        <x:v>Completed</x:v>
      </x:c>
      <x:c r="J11" s="133" t="str">
        <x:v>U6 / Phase 13G CLOSED — 13G-01 through 13G-10 PASS/CLOSED/PUBLISHED. Ask Nexus now has trust boundaries, authorized context, suggested questions, Guide This Page replay, safe deep links, evidence views, consequential-action confirmation, RFQ permission inheritance, safe unavailable/low-confidence fallbacks, and a lazy ExecutiveNexusGuide performance boundary. Next executable canonical task: 13H-01 Upgrade Executive Overview.</x:v>
      </x:c>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str">
        <x:v>In Progress</x:v>
      </x:c>
      <x:c r="J12" s="133" t="str">
        <x:v>U7 / Phase 13H IN PROGRESS — 13H-01 through 13H-10 PASS/CLOSED/PUBLISHED; 13H-11 BLOCKED because the Master Plan requires My Tasks while the launch-frozen Activity Center contract explicitly supports only Needs Attention, Updates, and History and forbids personal task derivation. No fake task model was introduced. Next dependency-independent executable canonical task: 13H-12 Upgrade Project Portfolio.</x:v>
      </x:c>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74526852955b4243"/>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85cb4184b1174c86"/>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bc4b48afb9e14475"/>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78cb5f033720400b"/>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