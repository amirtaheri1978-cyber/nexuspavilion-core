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d0ae63b1654910" /></Relationships>
</file>

<file path=xl/workbook.xml><?xml version="1.0" encoding="utf-8"?>
<x:workbook xmlns:x="http://schemas.openxmlformats.org/spreadsheetml/2006/main">
  <x:sheets>
    <x:sheet xmlns:r="http://schemas.openxmlformats.org/officeDocument/2006/relationships" name="01 Master Plan" sheetId="1" r:id="R8c3791df22b747df"/>
    <x:sheet xmlns:r="http://schemas.openxmlformats.org/officeDocument/2006/relationships" name="03 Launch Gates" sheetId="2" r:id="R26f60a154d8047fd"/>
    <x:sheet xmlns:r="http://schemas.openxmlformats.org/officeDocument/2006/relationships" name="00 Dashboard" sheetId="3" r:id="Rdc40f70a2d2b4ffc"/>
    <x:sheet xmlns:r="http://schemas.openxmlformats.org/officeDocument/2006/relationships" name="04 Cursor Tasks" sheetId="4" r:id="Ra686df4e42314c0d"/>
    <x:sheet xmlns:r="http://schemas.openxmlformats.org/officeDocument/2006/relationships" name="05 UAT Matrix" sheetId="5" r:id="R6f684b0629c942e7"/>
    <x:sheet xmlns:r="http://schemas.openxmlformats.org/officeDocument/2006/relationships" name="06 Security Matrix" sheetId="6" r:id="R7cd8db9300e540be"/>
    <x:sheet xmlns:r="http://schemas.openxmlformats.org/officeDocument/2006/relationships" name="07 Risks" sheetId="7" r:id="R3c53325f9da24c72"/>
    <x:sheet xmlns:r="http://schemas.openxmlformats.org/officeDocument/2006/relationships" name="08 Architecture" sheetId="8" r:id="R2640ef5f4fbc4c44"/>
    <x:sheet xmlns:r="http://schemas.openxmlformats.org/officeDocument/2006/relationships" name="09 Release Checklist" sheetId="9" r:id="Ra56fb00c7a51496f"/>
    <x:sheet xmlns:r="http://schemas.openxmlformats.org/officeDocument/2006/relationships" name="10 Change Log" sheetId="10" r:id="Re75f7612a21c4a98"/>
    <x:sheet xmlns:r="http://schemas.openxmlformats.org/officeDocument/2006/relationships" name="11 Scope &amp; Roadmap" sheetId="11" r:id="Re51ddf0723e04f8c"/>
    <x:sheet xmlns:r="http://schemas.openxmlformats.org/officeDocument/2006/relationships" name="12 How to Use" sheetId="12" r:id="R046cae82cf554764"/>
    <x:sheet xmlns:r="http://schemas.openxmlformats.org/officeDocument/2006/relationships" name="13 UI Program" sheetId="13" r:id="R1c466150522540d7"/>
    <x:sheet xmlns:r="http://schemas.openxmlformats.org/officeDocument/2006/relationships" name="14 UI Scorecard" sheetId="14" r:id="Rfe48a713593c4981"/>
    <x:sheet xmlns:r="http://schemas.openxmlformats.org/officeDocument/2006/relationships" name="15 Motion Guidance" sheetId="15" r:id="R3b35a118149947a8"/>
    <x:sheet xmlns:r="http://schemas.openxmlformats.org/officeDocument/2006/relationships" name="16 Design Standards" sheetId="16" r:id="Ra59946efd7364f72"/>
    <x:sheet xmlns:r="http://schemas.openxmlformats.org/officeDocument/2006/relationships" name="17 Corporate Platform" sheetId="17" r:id="R96cc32e1c2524599"/>
    <x:sheet xmlns:r="http://schemas.openxmlformats.org/officeDocument/2006/relationships" name="18 Analytics Reuse Map" sheetId="18" r:id="Rc21d357a374e4e5e"/>
    <x:sheet xmlns:r="http://schemas.openxmlformats.org/officeDocument/2006/relationships" name="19 Executive Insights Discovery" sheetId="19" r:id="R0eccb83c29494266"/>
    <x:sheet xmlns:r="http://schemas.openxmlformats.org/officeDocument/2006/relationships" name="20 Procurement Insights Discovery" sheetId="20" r:id="R0ed29ee1c7954537"/>
    <x:sheet xmlns:r="http://schemas.openxmlformats.org/officeDocument/2006/relationships" name="21 Commercial Insights Discovery" sheetId="21" r:id="R11e8b41901194829"/>
    <x:sheet xmlns:r="http://schemas.openxmlformats.org/officeDocument/2006/relationships" name="22 Project Insights Discovery" sheetId="22" r:id="R5686aaba16c6417e"/>
    <x:sheet xmlns:r="http://schemas.openxmlformats.org/officeDocument/2006/relationships" name="23 Performance Discovery" sheetId="23" r:id="Re3f3fc18fc664044"/>
    <x:sheet xmlns:r="http://schemas.openxmlformats.org/officeDocument/2006/relationships" name="24 Risk Compliance Discovery" sheetId="24" r:id="R8dda9fd0abc24db1"/>
    <x:sheet xmlns:r="http://schemas.openxmlformats.org/officeDocument/2006/relationships" name="25 Commercial Handoff" sheetId="25" r:id="R91e9bbf647c34914"/>
    <x:sheet xmlns:r="http://schemas.openxmlformats.org/officeDocument/2006/relationships" name="26 RFQ Governance" sheetId="26" r:id="Ra39fa653c1f84bd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1c683da8db648ad" /><Relationship Type="http://schemas.openxmlformats.org/officeDocument/2006/relationships/theme" Target="/xl/theme/theme1.xml" Id="R61d6e975a82c411f" /><Relationship Type="http://schemas.openxmlformats.org/officeDocument/2006/relationships/sharedStrings" Target="/xl/sharedStrings.xml" Id="R415b39e0474042f3" /><Relationship Type="http://schemas.openxmlformats.org/officeDocument/2006/relationships/worksheet" Target="/xl/worksheets/sheet1.xml" Id="R8c3791df22b747df" /><Relationship Type="http://schemas.openxmlformats.org/officeDocument/2006/relationships/worksheet" Target="/xl/worksheets/sheet2.xml" Id="R26f60a154d8047fd" /><Relationship Type="http://schemas.openxmlformats.org/officeDocument/2006/relationships/worksheet" Target="/xl/worksheets/sheet3.xml" Id="Rdc40f70a2d2b4ffc" /><Relationship Type="http://schemas.openxmlformats.org/officeDocument/2006/relationships/worksheet" Target="/xl/worksheets/sheet4.xml" Id="Ra686df4e42314c0d" /><Relationship Type="http://schemas.openxmlformats.org/officeDocument/2006/relationships/worksheet" Target="/xl/worksheets/sheet5.xml" Id="R6f684b0629c942e7" /><Relationship Type="http://schemas.openxmlformats.org/officeDocument/2006/relationships/worksheet" Target="/xl/worksheets/sheet6.xml" Id="R7cd8db9300e540be" /><Relationship Type="http://schemas.openxmlformats.org/officeDocument/2006/relationships/worksheet" Target="/xl/worksheets/sheet7.xml" Id="R3c53325f9da24c72" /><Relationship Type="http://schemas.openxmlformats.org/officeDocument/2006/relationships/worksheet" Target="/xl/worksheets/sheet8.xml" Id="R2640ef5f4fbc4c44" /><Relationship Type="http://schemas.openxmlformats.org/officeDocument/2006/relationships/worksheet" Target="/xl/worksheets/sheet9.xml" Id="Ra56fb00c7a51496f" /><Relationship Type="http://schemas.openxmlformats.org/officeDocument/2006/relationships/worksheet" Target="/xl/worksheets/sheet10.xml" Id="Re75f7612a21c4a98" /><Relationship Type="http://schemas.openxmlformats.org/officeDocument/2006/relationships/worksheet" Target="/xl/worksheets/sheet11.xml" Id="Re51ddf0723e04f8c" /><Relationship Type="http://schemas.openxmlformats.org/officeDocument/2006/relationships/worksheet" Target="/xl/worksheets/sheet12.xml" Id="R046cae82cf554764" /><Relationship Type="http://schemas.openxmlformats.org/officeDocument/2006/relationships/worksheet" Target="/xl/worksheets/sheet13.xml" Id="R1c466150522540d7" /><Relationship Type="http://schemas.openxmlformats.org/officeDocument/2006/relationships/worksheet" Target="/xl/worksheets/sheet14.xml" Id="Rfe48a713593c4981" /><Relationship Type="http://schemas.openxmlformats.org/officeDocument/2006/relationships/worksheet" Target="/xl/worksheets/sheet15.xml" Id="R3b35a118149947a8" /><Relationship Type="http://schemas.openxmlformats.org/officeDocument/2006/relationships/worksheet" Target="/xl/worksheets/sheet16.xml" Id="Ra59946efd7364f72" /><Relationship Type="http://schemas.openxmlformats.org/officeDocument/2006/relationships/worksheet" Target="/xl/worksheets/sheet17.xml" Id="R96cc32e1c2524599" /><Relationship Type="http://schemas.openxmlformats.org/officeDocument/2006/relationships/worksheet" Target="/xl/worksheets/sheet18.xml" Id="Rc21d357a374e4e5e" /><Relationship Type="http://schemas.openxmlformats.org/officeDocument/2006/relationships/worksheet" Target="/xl/worksheets/sheet19.xml" Id="R0eccb83c29494266" /><Relationship Type="http://schemas.openxmlformats.org/officeDocument/2006/relationships/worksheet" Target="/xl/worksheets/sheet20.xml" Id="R0ed29ee1c7954537" /><Relationship Type="http://schemas.openxmlformats.org/officeDocument/2006/relationships/worksheet" Target="/xl/worksheets/sheet21.xml" Id="R11e8b41901194829" /><Relationship Type="http://schemas.openxmlformats.org/officeDocument/2006/relationships/worksheet" Target="/xl/worksheets/sheet22.xml" Id="R5686aaba16c6417e" /><Relationship Type="http://schemas.openxmlformats.org/officeDocument/2006/relationships/worksheet" Target="/xl/worksheets/sheet23.xml" Id="Re3f3fc18fc664044" /><Relationship Type="http://schemas.openxmlformats.org/officeDocument/2006/relationships/worksheet" Target="/xl/worksheets/sheet24.xml" Id="R8dda9fd0abc24db1" /><Relationship Type="http://schemas.openxmlformats.org/officeDocument/2006/relationships/worksheet" Target="/xl/worksheets/sheet25.xml" Id="R91e9bbf647c34914" /><Relationship Type="http://schemas.openxmlformats.org/officeDocument/2006/relationships/worksheet" Target="/xl/worksheets/sheet26.xml" Id="Ra39fa653c1f84bd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25dad053bca420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25dad053bca420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2fe9f937d249e2" /></Relationships>
</file>

<file path=xl/worksheets/_rels/sheet2.xml.rels>&#65279;<?xml version="1.0" encoding="utf-8"?><Relationships xmlns="http://schemas.openxmlformats.org/package/2006/relationships"><Relationship Type="http://schemas.openxmlformats.org/officeDocument/2006/relationships/table" Target="/xl/tables/table2.xml" Id="R4dd8c35901b243c5" /></Relationships>
</file>

<file path=xl/worksheets/_rels/sheet3.xml.rels>&#65279;<?xml version="1.0" encoding="utf-8"?><Relationships xmlns="http://schemas.openxmlformats.org/package/2006/relationships"><Relationship Type="http://schemas.openxmlformats.org/officeDocument/2006/relationships/drawing" Target="/xl/drawings/drawing1.xml" Id="R746b804be0034f19" /></Relationships>
</file>

<file path=xl/worksheets/_rels/sheet4.xml.rels>&#65279;<?xml version="1.0" encoding="utf-8"?><Relationships xmlns="http://schemas.openxmlformats.org/package/2006/relationships"><Relationship Type="http://schemas.openxmlformats.org/officeDocument/2006/relationships/table" Target="/xl/tables/table3.xml" Id="R08c0bc872d284d9d" /></Relationships>
</file>

<file path=xl/worksheets/_rels/sheet5.xml.rels>&#65279;<?xml version="1.0" encoding="utf-8"?><Relationships xmlns="http://schemas.openxmlformats.org/package/2006/relationships"><Relationship Type="http://schemas.openxmlformats.org/officeDocument/2006/relationships/table" Target="/xl/tables/table4.xml" Id="R02ec6ad4d0a84684" /></Relationships>
</file>

<file path=xl/worksheets/_rels/sheet6.xml.rels>&#65279;<?xml version="1.0" encoding="utf-8"?><Relationships xmlns="http://schemas.openxmlformats.org/package/2006/relationships"><Relationship Type="http://schemas.openxmlformats.org/officeDocument/2006/relationships/table" Target="/xl/tables/table5.xml" Id="Ra91aaca0425c4220" /></Relationships>
</file>

<file path=xl/worksheets/_rels/sheet7.xml.rels>&#65279;<?xml version="1.0" encoding="utf-8"?><Relationships xmlns="http://schemas.openxmlformats.org/package/2006/relationships"><Relationship Type="http://schemas.openxmlformats.org/officeDocument/2006/relationships/table" Target="/xl/tables/table6.xml" Id="Raeaf49c287b44eea" /></Relationships>
</file>

<file path=xl/worksheets/_rels/sheet9.xml.rels>&#65279;<?xml version="1.0" encoding="utf-8"?><Relationships xmlns="http://schemas.openxmlformats.org/package/2006/relationships"><Relationship Type="http://schemas.openxmlformats.org/officeDocument/2006/relationships/table" Target="/xl/tables/table7.xml" Id="R1544492833cc4b2d" /></Relationships>
</file>

<file path=xl/worksheets/_rels/sheet10.xml.rels>&#65279;<?xml version="1.0" encoding="utf-8"?><Relationships xmlns="http://schemas.openxmlformats.org/package/2006/relationships"><Relationship Type="http://schemas.openxmlformats.org/officeDocument/2006/relationships/table" Target="/xl/tables/table8.xml" Id="Rb83f706e428c46e5" /></Relationships>
</file>

<file path=xl/worksheets/_rels/sheet11.xml.rels>&#65279;<?xml version="1.0" encoding="utf-8"?><Relationships xmlns="http://schemas.openxmlformats.org/package/2006/relationships"><Relationship Type="http://schemas.openxmlformats.org/officeDocument/2006/relationships/table" Target="/xl/tables/table9.xml" Id="R9ba993c262084460" /></Relationships>
</file>

<file path=xl/worksheets/_rels/sheet13.xml.rels>&#65279;<?xml version="1.0" encoding="utf-8"?><Relationships xmlns="http://schemas.openxmlformats.org/package/2006/relationships"><Relationship Type="http://schemas.openxmlformats.org/officeDocument/2006/relationships/table" Target="/xl/tables/table10.xml" Id="Red5e422f0f054a22" /></Relationships>
</file>

<file path=xl/worksheets/_rels/sheet14.xml.rels>&#65279;<?xml version="1.0" encoding="utf-8"?><Relationships xmlns="http://schemas.openxmlformats.org/package/2006/relationships"><Relationship Type="http://schemas.openxmlformats.org/officeDocument/2006/relationships/table" Target="/xl/tables/table11.xml" Id="R6c16ca2a4a9a4ca5" /></Relationships>
</file>

<file path=xl/worksheets/_rels/sheet15.xml.rels>&#65279;<?xml version="1.0" encoding="utf-8"?><Relationships xmlns="http://schemas.openxmlformats.org/package/2006/relationships"><Relationship Type="http://schemas.openxmlformats.org/officeDocument/2006/relationships/table" Target="/xl/tables/table12.xml" Id="R4774912ef29c4370" /></Relationships>
</file>

<file path=xl/worksheets/_rels/sheet16.xml.rels>&#65279;<?xml version="1.0" encoding="utf-8"?><Relationships xmlns="http://schemas.openxmlformats.org/package/2006/relationships"><Relationship Type="http://schemas.openxmlformats.org/officeDocument/2006/relationships/table" Target="/xl/tables/table13.xml" Id="Rd478872c70a4413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52fe9f937d249e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dd8c35901b243c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315</x:v>
      </x:c>
      <x:c r="D6" s="133" t="inlineStr">
        <x:is>
          <x:t xml:space="preserve">G0A — Corporate platform architecture ready</x:t>
        </x:is>
      </x:c>
      <x:c r="E6" s="32" t="str">
        <x:f>'03 Launch Gates'!D20</x:f>
        <x:v>Completed</x:v>
      </x:c>
      <x:c r="G6" t="inlineStr">
        <x:is>
          <x:t xml:space="preserve">UI Tasks Complete</x:t>
        </x:is>
      </x:c>
      <x:c r="H6" t="n">
        <x:f>SUM(B36:B46)</x:f>
        <x:v>93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0.8583106267029973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0.8836363636363637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12</x:v>
      </x:c>
      <x:c r="C42" s="133" t="n">
        <x:f>COUNTIFS('01 Master Plan'!C$5:C$383,A42,'01 Master Plan'!H$5:H$383,"In Progress")</x:f>
        <x:v>0</x:v>
      </x:c>
      <x:c r="D42" s="133" t="n">
        <x:f>COUNTIFS('01 Master Plan'!C$5:C$383,A42,'01 Master Plan'!H$5:H$383,"Not Started")</x:f>
        <x:v>2</x:v>
      </x:c>
      <x:c r="E42" s="133" t="n">
        <x:f>COUNTIFS('01 Master Plan'!C$5:C$383,A42,'01 Master Plan'!H$5:H$383,"Blocked")</x:f>
        <x:v>0</x:v>
      </x:c>
      <x:c r="F42" s="133" t="n">
        <x:f>COUNTIFS('01 Master Plan'!C$5:C$383,A42,'01 Master Plan'!H$5:H$383,"Deferred")</x:f>
        <x:v>0</x:v>
      </x:c>
      <x:c r="G42" s="255" t="n">
        <x:f>IFERROR(B42/(B42+C42+D42+E42),0)</x:f>
        <x:v>0.8571428571428571</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46b804be0034f1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8c0bc872d284d9d"/>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2ec6ad4d0a8468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91aaca0425c422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eaf49c287b44ee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1544492833cc4b2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83f706e428c46e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ba993c26208446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13F-12 PASS/CLOSED/PUBLISHED. Activity Center attention guidance now explains why supported Needs Attention signals matter and deep-links only through existing authorization-aware RFQ source resolution. Next executable canonical task: 13F-13 Standardize guidance writing tone.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13F-12 PASS/CLOSED/PUBLISHED. Activity Center attention guidance now explains why supported Needs Attention signals matter and deep-links only through existing authorization-aware RFQ source resolution. Next executable canonical task: 13F-13 Standardize guidance writing tone.</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d5e422f0f054a22"/>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c16ca2a4a9a4ca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774912ef29c437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478872c70a4413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