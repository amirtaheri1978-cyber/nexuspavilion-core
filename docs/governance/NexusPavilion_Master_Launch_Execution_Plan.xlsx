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cddfe2bcd44467" /></Relationships>
</file>

<file path=xl/workbook.xml><?xml version="1.0" encoding="utf-8"?>
<x:workbook xmlns:x="http://schemas.openxmlformats.org/spreadsheetml/2006/main">
  <x:sheets>
    <x:sheet xmlns:r="http://schemas.openxmlformats.org/officeDocument/2006/relationships" name="01 Master Plan" sheetId="1" r:id="R607567a717234c9c"/>
    <x:sheet xmlns:r="http://schemas.openxmlformats.org/officeDocument/2006/relationships" name="03 Launch Gates" sheetId="2" r:id="Rcd7d13c23a104284"/>
    <x:sheet xmlns:r="http://schemas.openxmlformats.org/officeDocument/2006/relationships" name="00 Dashboard" sheetId="3" r:id="Rd816da8f2baf4556"/>
    <x:sheet xmlns:r="http://schemas.openxmlformats.org/officeDocument/2006/relationships" name="04 Cursor Tasks" sheetId="4" r:id="R79f86c106c194daf"/>
    <x:sheet xmlns:r="http://schemas.openxmlformats.org/officeDocument/2006/relationships" name="05 UAT Matrix" sheetId="5" r:id="R650038b651ae490d"/>
    <x:sheet xmlns:r="http://schemas.openxmlformats.org/officeDocument/2006/relationships" name="06 Security Matrix" sheetId="6" r:id="R6db67d73495840e6"/>
    <x:sheet xmlns:r="http://schemas.openxmlformats.org/officeDocument/2006/relationships" name="07 Risks" sheetId="7" r:id="R7c10c691adeb4d77"/>
    <x:sheet xmlns:r="http://schemas.openxmlformats.org/officeDocument/2006/relationships" name="08 Architecture" sheetId="8" r:id="Re03bd5f3a11e4c1d"/>
    <x:sheet xmlns:r="http://schemas.openxmlformats.org/officeDocument/2006/relationships" name="09 Release Checklist" sheetId="9" r:id="R9e4eea0d53c14012"/>
    <x:sheet xmlns:r="http://schemas.openxmlformats.org/officeDocument/2006/relationships" name="10 Change Log" sheetId="10" r:id="R5f01047aa1a647e8"/>
    <x:sheet xmlns:r="http://schemas.openxmlformats.org/officeDocument/2006/relationships" name="11 Scope &amp; Roadmap" sheetId="11" r:id="Ree200d0ef2954cbf"/>
    <x:sheet xmlns:r="http://schemas.openxmlformats.org/officeDocument/2006/relationships" name="12 How to Use" sheetId="12" r:id="R5c17ea1fcb2d469d"/>
    <x:sheet xmlns:r="http://schemas.openxmlformats.org/officeDocument/2006/relationships" name="13 UI Program" sheetId="13" r:id="Rf491df784dc54c8d"/>
    <x:sheet xmlns:r="http://schemas.openxmlformats.org/officeDocument/2006/relationships" name="14 UI Scorecard" sheetId="14" r:id="R5f411d0a33824cf5"/>
    <x:sheet xmlns:r="http://schemas.openxmlformats.org/officeDocument/2006/relationships" name="15 Motion Guidance" sheetId="15" r:id="R5cb29869e62f4602"/>
    <x:sheet xmlns:r="http://schemas.openxmlformats.org/officeDocument/2006/relationships" name="16 Design Standards" sheetId="16" r:id="R22c19ccbcba347cc"/>
    <x:sheet xmlns:r="http://schemas.openxmlformats.org/officeDocument/2006/relationships" name="17 Corporate Platform" sheetId="17" r:id="R474d10f7ae424713"/>
    <x:sheet xmlns:r="http://schemas.openxmlformats.org/officeDocument/2006/relationships" name="18 Analytics Reuse Map" sheetId="18" r:id="R772d40c12ff14b1e"/>
    <x:sheet xmlns:r="http://schemas.openxmlformats.org/officeDocument/2006/relationships" name="19 Executive Insights Discovery" sheetId="19" r:id="Rf9607e41f62045f7"/>
    <x:sheet xmlns:r="http://schemas.openxmlformats.org/officeDocument/2006/relationships" name="20 Procurement Insights Discovery" sheetId="20" r:id="R765c1c08e09d4e8c"/>
    <x:sheet xmlns:r="http://schemas.openxmlformats.org/officeDocument/2006/relationships" name="21 Commercial Insights Discovery" sheetId="21" r:id="Raa9167c134704570"/>
    <x:sheet xmlns:r="http://schemas.openxmlformats.org/officeDocument/2006/relationships" name="22 Project Insights Discovery" sheetId="22" r:id="Reffefffa10db4159"/>
    <x:sheet xmlns:r="http://schemas.openxmlformats.org/officeDocument/2006/relationships" name="23 Performance Discovery" sheetId="23" r:id="Rd4b8cf4429e94cde"/>
    <x:sheet xmlns:r="http://schemas.openxmlformats.org/officeDocument/2006/relationships" name="24 Risk Compliance Discovery" sheetId="24" r:id="R0c452ac8f8b14dc1"/>
    <x:sheet xmlns:r="http://schemas.openxmlformats.org/officeDocument/2006/relationships" name="25 Commercial Handoff" sheetId="25" r:id="R9c00e5383d7d40a8"/>
    <x:sheet xmlns:r="http://schemas.openxmlformats.org/officeDocument/2006/relationships" name="26 RFQ Governance" sheetId="26" r:id="R0fb989ee62094f5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9aee51847b34349" /><Relationship Type="http://schemas.openxmlformats.org/officeDocument/2006/relationships/theme" Target="/xl/theme/theme1.xml" Id="Rdd88a8e1907e491f" /><Relationship Type="http://schemas.openxmlformats.org/officeDocument/2006/relationships/sharedStrings" Target="/xl/sharedStrings.xml" Id="R7f9e2d52704e4fb5" /><Relationship Type="http://schemas.openxmlformats.org/officeDocument/2006/relationships/worksheet" Target="/xl/worksheets/sheet1.xml" Id="R607567a717234c9c" /><Relationship Type="http://schemas.openxmlformats.org/officeDocument/2006/relationships/worksheet" Target="/xl/worksheets/sheet2.xml" Id="Rcd7d13c23a104284" /><Relationship Type="http://schemas.openxmlformats.org/officeDocument/2006/relationships/worksheet" Target="/xl/worksheets/sheet3.xml" Id="Rd816da8f2baf4556" /><Relationship Type="http://schemas.openxmlformats.org/officeDocument/2006/relationships/worksheet" Target="/xl/worksheets/sheet4.xml" Id="R79f86c106c194daf" /><Relationship Type="http://schemas.openxmlformats.org/officeDocument/2006/relationships/worksheet" Target="/xl/worksheets/sheet5.xml" Id="R650038b651ae490d" /><Relationship Type="http://schemas.openxmlformats.org/officeDocument/2006/relationships/worksheet" Target="/xl/worksheets/sheet6.xml" Id="R6db67d73495840e6" /><Relationship Type="http://schemas.openxmlformats.org/officeDocument/2006/relationships/worksheet" Target="/xl/worksheets/sheet7.xml" Id="R7c10c691adeb4d77" /><Relationship Type="http://schemas.openxmlformats.org/officeDocument/2006/relationships/worksheet" Target="/xl/worksheets/sheet8.xml" Id="Re03bd5f3a11e4c1d" /><Relationship Type="http://schemas.openxmlformats.org/officeDocument/2006/relationships/worksheet" Target="/xl/worksheets/sheet9.xml" Id="R9e4eea0d53c14012" /><Relationship Type="http://schemas.openxmlformats.org/officeDocument/2006/relationships/worksheet" Target="/xl/worksheets/sheet10.xml" Id="R5f01047aa1a647e8" /><Relationship Type="http://schemas.openxmlformats.org/officeDocument/2006/relationships/worksheet" Target="/xl/worksheets/sheet11.xml" Id="Ree200d0ef2954cbf" /><Relationship Type="http://schemas.openxmlformats.org/officeDocument/2006/relationships/worksheet" Target="/xl/worksheets/sheet12.xml" Id="R5c17ea1fcb2d469d" /><Relationship Type="http://schemas.openxmlformats.org/officeDocument/2006/relationships/worksheet" Target="/xl/worksheets/sheet13.xml" Id="Rf491df784dc54c8d" /><Relationship Type="http://schemas.openxmlformats.org/officeDocument/2006/relationships/worksheet" Target="/xl/worksheets/sheet14.xml" Id="R5f411d0a33824cf5" /><Relationship Type="http://schemas.openxmlformats.org/officeDocument/2006/relationships/worksheet" Target="/xl/worksheets/sheet15.xml" Id="R5cb29869e62f4602" /><Relationship Type="http://schemas.openxmlformats.org/officeDocument/2006/relationships/worksheet" Target="/xl/worksheets/sheet16.xml" Id="R22c19ccbcba347cc" /><Relationship Type="http://schemas.openxmlformats.org/officeDocument/2006/relationships/worksheet" Target="/xl/worksheets/sheet17.xml" Id="R474d10f7ae424713" /><Relationship Type="http://schemas.openxmlformats.org/officeDocument/2006/relationships/worksheet" Target="/xl/worksheets/sheet18.xml" Id="R772d40c12ff14b1e" /><Relationship Type="http://schemas.openxmlformats.org/officeDocument/2006/relationships/worksheet" Target="/xl/worksheets/sheet19.xml" Id="Rf9607e41f62045f7" /><Relationship Type="http://schemas.openxmlformats.org/officeDocument/2006/relationships/worksheet" Target="/xl/worksheets/sheet20.xml" Id="R765c1c08e09d4e8c" /><Relationship Type="http://schemas.openxmlformats.org/officeDocument/2006/relationships/worksheet" Target="/xl/worksheets/sheet21.xml" Id="Raa9167c134704570" /><Relationship Type="http://schemas.openxmlformats.org/officeDocument/2006/relationships/worksheet" Target="/xl/worksheets/sheet22.xml" Id="Reffefffa10db4159" /><Relationship Type="http://schemas.openxmlformats.org/officeDocument/2006/relationships/worksheet" Target="/xl/worksheets/sheet23.xml" Id="Rd4b8cf4429e94cde" /><Relationship Type="http://schemas.openxmlformats.org/officeDocument/2006/relationships/worksheet" Target="/xl/worksheets/sheet24.xml" Id="R0c452ac8f8b14dc1" /><Relationship Type="http://schemas.openxmlformats.org/officeDocument/2006/relationships/worksheet" Target="/xl/worksheets/sheet25.xml" Id="R9c00e5383d7d40a8" /><Relationship Type="http://schemas.openxmlformats.org/officeDocument/2006/relationships/worksheet" Target="/xl/worksheets/sheet26.xml" Id="R0fb989ee62094f5a"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8a453b1c64433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8a453b1c64433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a655cc0dd8e4873" /></Relationships>
</file>

<file path=xl/worksheets/_rels/sheet2.xml.rels>&#65279;<?xml version="1.0" encoding="utf-8"?><Relationships xmlns="http://schemas.openxmlformats.org/package/2006/relationships"><Relationship Type="http://schemas.openxmlformats.org/officeDocument/2006/relationships/table" Target="/xl/tables/table2.xml" Id="Rccba02fb45454be4" /></Relationships>
</file>

<file path=xl/worksheets/_rels/sheet3.xml.rels>&#65279;<?xml version="1.0" encoding="utf-8"?><Relationships xmlns="http://schemas.openxmlformats.org/package/2006/relationships"><Relationship Type="http://schemas.openxmlformats.org/officeDocument/2006/relationships/drawing" Target="/xl/drawings/drawing1.xml" Id="R5e646f8ae2f24676" /></Relationships>
</file>

<file path=xl/worksheets/_rels/sheet4.xml.rels>&#65279;<?xml version="1.0" encoding="utf-8"?><Relationships xmlns="http://schemas.openxmlformats.org/package/2006/relationships"><Relationship Type="http://schemas.openxmlformats.org/officeDocument/2006/relationships/table" Target="/xl/tables/table3.xml" Id="R94854b00133f477d" /></Relationships>
</file>

<file path=xl/worksheets/_rels/sheet5.xml.rels>&#65279;<?xml version="1.0" encoding="utf-8"?><Relationships xmlns="http://schemas.openxmlformats.org/package/2006/relationships"><Relationship Type="http://schemas.openxmlformats.org/officeDocument/2006/relationships/table" Target="/xl/tables/table4.xml" Id="R0adc6e9da4f344e5" /></Relationships>
</file>

<file path=xl/worksheets/_rels/sheet6.xml.rels>&#65279;<?xml version="1.0" encoding="utf-8"?><Relationships xmlns="http://schemas.openxmlformats.org/package/2006/relationships"><Relationship Type="http://schemas.openxmlformats.org/officeDocument/2006/relationships/table" Target="/xl/tables/table5.xml" Id="Rf135284525d64b70" /></Relationships>
</file>

<file path=xl/worksheets/_rels/sheet7.xml.rels>&#65279;<?xml version="1.0" encoding="utf-8"?><Relationships xmlns="http://schemas.openxmlformats.org/package/2006/relationships"><Relationship Type="http://schemas.openxmlformats.org/officeDocument/2006/relationships/table" Target="/xl/tables/table6.xml" Id="R2aea18db0c55433b" /></Relationships>
</file>

<file path=xl/worksheets/_rels/sheet9.xml.rels>&#65279;<?xml version="1.0" encoding="utf-8"?><Relationships xmlns="http://schemas.openxmlformats.org/package/2006/relationships"><Relationship Type="http://schemas.openxmlformats.org/officeDocument/2006/relationships/table" Target="/xl/tables/table7.xml" Id="Rc403f0fd39814167" /></Relationships>
</file>

<file path=xl/worksheets/_rels/sheet10.xml.rels>&#65279;<?xml version="1.0" encoding="utf-8"?><Relationships xmlns="http://schemas.openxmlformats.org/package/2006/relationships"><Relationship Type="http://schemas.openxmlformats.org/officeDocument/2006/relationships/table" Target="/xl/tables/table8.xml" Id="R43b327ed18b84225" /></Relationships>
</file>

<file path=xl/worksheets/_rels/sheet11.xml.rels>&#65279;<?xml version="1.0" encoding="utf-8"?><Relationships xmlns="http://schemas.openxmlformats.org/package/2006/relationships"><Relationship Type="http://schemas.openxmlformats.org/officeDocument/2006/relationships/table" Target="/xl/tables/table9.xml" Id="R5fa197a7e85a4ccb" /></Relationships>
</file>

<file path=xl/worksheets/_rels/sheet13.xml.rels>&#65279;<?xml version="1.0" encoding="utf-8"?><Relationships xmlns="http://schemas.openxmlformats.org/package/2006/relationships"><Relationship Type="http://schemas.openxmlformats.org/officeDocument/2006/relationships/table" Target="/xl/tables/table10.xml" Id="R5426b059ea674316" /></Relationships>
</file>

<file path=xl/worksheets/_rels/sheet14.xml.rels>&#65279;<?xml version="1.0" encoding="utf-8"?><Relationships xmlns="http://schemas.openxmlformats.org/package/2006/relationships"><Relationship Type="http://schemas.openxmlformats.org/officeDocument/2006/relationships/table" Target="/xl/tables/table11.xml" Id="R1a04a6b5e5f543e1" /></Relationships>
</file>

<file path=xl/worksheets/_rels/sheet15.xml.rels>&#65279;<?xml version="1.0" encoding="utf-8"?><Relationships xmlns="http://schemas.openxmlformats.org/package/2006/relationships"><Relationship Type="http://schemas.openxmlformats.org/officeDocument/2006/relationships/table" Target="/xl/tables/table12.xml" Id="Rb29b1f6c4add4716" /></Relationships>
</file>

<file path=xl/worksheets/_rels/sheet16.xml.rels>&#65279;<?xml version="1.0" encoding="utf-8"?><Relationships xmlns="http://schemas.openxmlformats.org/package/2006/relationships"><Relationship Type="http://schemas.openxmlformats.org/officeDocument/2006/relationships/table" Target="/xl/tables/table13.xml" Id="Rf0bd5d1e6d874e4d"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ba655cc0dd8e487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cba02fb45454be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350</x:v>
      </x:c>
      <x:c r="D6" s="133" t="inlineStr">
        <x:is>
          <x:t xml:space="preserve">G0A — Corporate platform architecture ready</x:t>
        </x:is>
      </x:c>
      <x:c r="E6" s="32" t="str">
        <x:f>'03 Launch Gates'!D20</x:f>
        <x:v>Completed</x:v>
      </x:c>
      <x:c r="G6" t="inlineStr">
        <x:is>
          <x:t xml:space="preserve">UI Tasks Complete</x:t>
        </x:is>
      </x:c>
      <x:c r="H6" t="n">
        <x:f>SUM(B36:B46)</x:f>
        <x:v>128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0.9536784741144414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3</x:v>
      </x:c>
      <x:c r="C45" s="28" t="n">
        <x:f>COUNTIFS('01 Master Plan'!C$5:C$383,A45,'01 Master Plan'!H$5:H$383,"In Progress")</x:f>
        <x:v>0</x:v>
      </x:c>
      <x:c r="D45" s="28" t="n">
        <x:f>COUNTIFS('01 Master Plan'!C$5:C$383,A45,'01 Master Plan'!H$5:H$383,"Not Started")</x:f>
        <x:v>7</x:v>
      </x:c>
      <x:c r="E45" s="28" t="n">
        <x:f>COUNTIFS('01 Master Plan'!C$5:C$383,A45,'01 Master Plan'!H$5:H$383,"Blocked")</x:f>
        <x:v>0</x:v>
      </x:c>
      <x:c r="F45" s="28" t="n">
        <x:f>COUNTIFS('01 Master Plan'!C$5:C$383,A45,'01 Master Plan'!H$5:H$383,"Deferred")</x:f>
        <x:v>0</x:v>
      </x:c>
      <x:c r="G45" s="258" t="n">
        <x:f>IFERROR(B45/(B45+C45+D45+E45),0)</x:f>
        <x:v>0.3</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e646f8ae2f2467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4854b00133f477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adc6e9da4f344e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135284525d64b7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aea18db0c55433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403f0fd3981416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3b327ed18b8422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5fa197a7e85a4cc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closed with explicit issuer-surface waiver; 13I-02 PASS with no verified page below 9.0; 13I-03 PASS after explicit user-approved threshold revision from overall average ≥9.5 to ≥9.4. The verified 17-surface average is approximately 9.41/10; waived issuer-only surfaces remain unscored. Next canonical task: 13I-04 — dark-mode consistency audit.</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426b059ea674316"/>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a04a6b5e5f543e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29b1f6c4add471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0bd5d1e6d874e4d"/>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