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0be986a9f54ba3" /></Relationships>
</file>

<file path=xl/workbook.xml><?xml version="1.0" encoding="utf-8"?>
<x:workbook xmlns:x="http://schemas.openxmlformats.org/spreadsheetml/2006/main">
  <x:sheets>
    <x:sheet xmlns:r="http://schemas.openxmlformats.org/officeDocument/2006/relationships" name="01 Master Plan" sheetId="1" r:id="R34a08139734943af"/>
    <x:sheet xmlns:r="http://schemas.openxmlformats.org/officeDocument/2006/relationships" name="03 Launch Gates" sheetId="2" r:id="R135d19c4e25441c3"/>
    <x:sheet xmlns:r="http://schemas.openxmlformats.org/officeDocument/2006/relationships" name="00 Dashboard" sheetId="3" r:id="Rc458bd831ae94926"/>
    <x:sheet xmlns:r="http://schemas.openxmlformats.org/officeDocument/2006/relationships" name="04 Cursor Tasks" sheetId="4" r:id="R1aa6892695334590"/>
    <x:sheet xmlns:r="http://schemas.openxmlformats.org/officeDocument/2006/relationships" name="05 UAT Matrix" sheetId="5" r:id="R86382e2cb4d14360"/>
    <x:sheet xmlns:r="http://schemas.openxmlformats.org/officeDocument/2006/relationships" name="06 Security Matrix" sheetId="6" r:id="Rb5468d4f16954196"/>
    <x:sheet xmlns:r="http://schemas.openxmlformats.org/officeDocument/2006/relationships" name="07 Risks" sheetId="7" r:id="Rfcaf70c39c6348c0"/>
    <x:sheet xmlns:r="http://schemas.openxmlformats.org/officeDocument/2006/relationships" name="08 Architecture" sheetId="8" r:id="R5d6cb4b2487b4854"/>
    <x:sheet xmlns:r="http://schemas.openxmlformats.org/officeDocument/2006/relationships" name="09 Release Checklist" sheetId="9" r:id="R67faaa4e6a37424a"/>
    <x:sheet xmlns:r="http://schemas.openxmlformats.org/officeDocument/2006/relationships" name="10 Change Log" sheetId="10" r:id="Re866cfbc74e94b7a"/>
    <x:sheet xmlns:r="http://schemas.openxmlformats.org/officeDocument/2006/relationships" name="11 Scope &amp; Roadmap" sheetId="11" r:id="Rb51e6f895346463d"/>
    <x:sheet xmlns:r="http://schemas.openxmlformats.org/officeDocument/2006/relationships" name="12 How to Use" sheetId="12" r:id="R154697f2349a4e97"/>
    <x:sheet xmlns:r="http://schemas.openxmlformats.org/officeDocument/2006/relationships" name="13 UI Program" sheetId="13" r:id="R2d17b0f83cae4326"/>
    <x:sheet xmlns:r="http://schemas.openxmlformats.org/officeDocument/2006/relationships" name="14 UI Scorecard" sheetId="14" r:id="R9c9f7077de30497e"/>
    <x:sheet xmlns:r="http://schemas.openxmlformats.org/officeDocument/2006/relationships" name="15 Motion Guidance" sheetId="15" r:id="Rf9bfc7a3a4764070"/>
    <x:sheet xmlns:r="http://schemas.openxmlformats.org/officeDocument/2006/relationships" name="16 Design Standards" sheetId="16" r:id="Rfa0ce2fa9a98496a"/>
    <x:sheet xmlns:r="http://schemas.openxmlformats.org/officeDocument/2006/relationships" name="17 Corporate Platform" sheetId="17" r:id="Rcdfdeb86373f41b7"/>
    <x:sheet xmlns:r="http://schemas.openxmlformats.org/officeDocument/2006/relationships" name="18 Analytics Reuse Map" sheetId="18" r:id="Rdf76a3e8c6494b43"/>
    <x:sheet xmlns:r="http://schemas.openxmlformats.org/officeDocument/2006/relationships" name="19 Executive Insights Discovery" sheetId="19" r:id="Rfe949fcb46744bf0"/>
    <x:sheet xmlns:r="http://schemas.openxmlformats.org/officeDocument/2006/relationships" name="20 Procurement Insights Discovery" sheetId="20" r:id="R3b3c1dba4d254190"/>
    <x:sheet xmlns:r="http://schemas.openxmlformats.org/officeDocument/2006/relationships" name="21 Commercial Insights Discovery" sheetId="21" r:id="R01f88ec6f2aa42fc"/>
    <x:sheet xmlns:r="http://schemas.openxmlformats.org/officeDocument/2006/relationships" name="22 Project Insights Discovery" sheetId="22" r:id="R6bf0465280854334"/>
    <x:sheet xmlns:r="http://schemas.openxmlformats.org/officeDocument/2006/relationships" name="23 Performance Discovery" sheetId="23" r:id="R9a647315312445e0"/>
    <x:sheet xmlns:r="http://schemas.openxmlformats.org/officeDocument/2006/relationships" name="24 Risk Compliance Discovery" sheetId="24" r:id="R396aad6a9cc94af5"/>
    <x:sheet xmlns:r="http://schemas.openxmlformats.org/officeDocument/2006/relationships" name="25 Commercial Handoff" sheetId="25" r:id="R7b6d3a2ac2cf48b0"/>
    <x:sheet xmlns:r="http://schemas.openxmlformats.org/officeDocument/2006/relationships" name="26 RFQ Governance" sheetId="26" r:id="R335262aa26b14ec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ecf2055900c4485" /><Relationship Type="http://schemas.openxmlformats.org/officeDocument/2006/relationships/theme" Target="/xl/theme/theme1.xml" Id="Rdfe2f842bb424f0a" /><Relationship Type="http://schemas.openxmlformats.org/officeDocument/2006/relationships/sharedStrings" Target="/xl/sharedStrings.xml" Id="Rfb44ec10313548d5" /><Relationship Type="http://schemas.openxmlformats.org/officeDocument/2006/relationships/worksheet" Target="/xl/worksheets/sheet1.xml" Id="R34a08139734943af" /><Relationship Type="http://schemas.openxmlformats.org/officeDocument/2006/relationships/worksheet" Target="/xl/worksheets/sheet2.xml" Id="R135d19c4e25441c3" /><Relationship Type="http://schemas.openxmlformats.org/officeDocument/2006/relationships/worksheet" Target="/xl/worksheets/sheet3.xml" Id="Rc458bd831ae94926" /><Relationship Type="http://schemas.openxmlformats.org/officeDocument/2006/relationships/worksheet" Target="/xl/worksheets/sheet4.xml" Id="R1aa6892695334590" /><Relationship Type="http://schemas.openxmlformats.org/officeDocument/2006/relationships/worksheet" Target="/xl/worksheets/sheet5.xml" Id="R86382e2cb4d14360" /><Relationship Type="http://schemas.openxmlformats.org/officeDocument/2006/relationships/worksheet" Target="/xl/worksheets/sheet6.xml" Id="Rb5468d4f16954196" /><Relationship Type="http://schemas.openxmlformats.org/officeDocument/2006/relationships/worksheet" Target="/xl/worksheets/sheet7.xml" Id="Rfcaf70c39c6348c0" /><Relationship Type="http://schemas.openxmlformats.org/officeDocument/2006/relationships/worksheet" Target="/xl/worksheets/sheet8.xml" Id="R5d6cb4b2487b4854" /><Relationship Type="http://schemas.openxmlformats.org/officeDocument/2006/relationships/worksheet" Target="/xl/worksheets/sheet9.xml" Id="R67faaa4e6a37424a" /><Relationship Type="http://schemas.openxmlformats.org/officeDocument/2006/relationships/worksheet" Target="/xl/worksheets/sheet10.xml" Id="Re866cfbc74e94b7a" /><Relationship Type="http://schemas.openxmlformats.org/officeDocument/2006/relationships/worksheet" Target="/xl/worksheets/sheet11.xml" Id="Rb51e6f895346463d" /><Relationship Type="http://schemas.openxmlformats.org/officeDocument/2006/relationships/worksheet" Target="/xl/worksheets/sheet12.xml" Id="R154697f2349a4e97" /><Relationship Type="http://schemas.openxmlformats.org/officeDocument/2006/relationships/worksheet" Target="/xl/worksheets/sheet13.xml" Id="R2d17b0f83cae4326" /><Relationship Type="http://schemas.openxmlformats.org/officeDocument/2006/relationships/worksheet" Target="/xl/worksheets/sheet14.xml" Id="R9c9f7077de30497e" /><Relationship Type="http://schemas.openxmlformats.org/officeDocument/2006/relationships/worksheet" Target="/xl/worksheets/sheet15.xml" Id="Rf9bfc7a3a4764070" /><Relationship Type="http://schemas.openxmlformats.org/officeDocument/2006/relationships/worksheet" Target="/xl/worksheets/sheet16.xml" Id="Rfa0ce2fa9a98496a" /><Relationship Type="http://schemas.openxmlformats.org/officeDocument/2006/relationships/worksheet" Target="/xl/worksheets/sheet17.xml" Id="Rcdfdeb86373f41b7" /><Relationship Type="http://schemas.openxmlformats.org/officeDocument/2006/relationships/worksheet" Target="/xl/worksheets/sheet18.xml" Id="Rdf76a3e8c6494b43" /><Relationship Type="http://schemas.openxmlformats.org/officeDocument/2006/relationships/worksheet" Target="/xl/worksheets/sheet19.xml" Id="Rfe949fcb46744bf0" /><Relationship Type="http://schemas.openxmlformats.org/officeDocument/2006/relationships/worksheet" Target="/xl/worksheets/sheet20.xml" Id="R3b3c1dba4d254190" /><Relationship Type="http://schemas.openxmlformats.org/officeDocument/2006/relationships/worksheet" Target="/xl/worksheets/sheet21.xml" Id="R01f88ec6f2aa42fc" /><Relationship Type="http://schemas.openxmlformats.org/officeDocument/2006/relationships/worksheet" Target="/xl/worksheets/sheet22.xml" Id="R6bf0465280854334" /><Relationship Type="http://schemas.openxmlformats.org/officeDocument/2006/relationships/worksheet" Target="/xl/worksheets/sheet23.xml" Id="R9a647315312445e0" /><Relationship Type="http://schemas.openxmlformats.org/officeDocument/2006/relationships/worksheet" Target="/xl/worksheets/sheet24.xml" Id="R396aad6a9cc94af5" /><Relationship Type="http://schemas.openxmlformats.org/officeDocument/2006/relationships/worksheet" Target="/xl/worksheets/sheet25.xml" Id="R7b6d3a2ac2cf48b0" /><Relationship Type="http://schemas.openxmlformats.org/officeDocument/2006/relationships/worksheet" Target="/xl/worksheets/sheet26.xml" Id="R335262aa26b14e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7d92b576defa4d3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92b576defa4d3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52e3536a2194371" /></Relationships>
</file>

<file path=xl/worksheets/_rels/sheet2.xml.rels>&#65279;<?xml version="1.0" encoding="utf-8"?><Relationships xmlns="http://schemas.openxmlformats.org/package/2006/relationships"><Relationship Type="http://schemas.openxmlformats.org/officeDocument/2006/relationships/table" Target="/xl/tables/table2.xml" Id="Rc40894657d7a4e71" /></Relationships>
</file>

<file path=xl/worksheets/_rels/sheet3.xml.rels>&#65279;<?xml version="1.0" encoding="utf-8"?><Relationships xmlns="http://schemas.openxmlformats.org/package/2006/relationships"><Relationship Type="http://schemas.openxmlformats.org/officeDocument/2006/relationships/drawing" Target="/xl/drawings/drawing1.xml" Id="R86a9c434b3c44f1d" /></Relationships>
</file>

<file path=xl/worksheets/_rels/sheet4.xml.rels>&#65279;<?xml version="1.0" encoding="utf-8"?><Relationships xmlns="http://schemas.openxmlformats.org/package/2006/relationships"><Relationship Type="http://schemas.openxmlformats.org/officeDocument/2006/relationships/table" Target="/xl/tables/table3.xml" Id="Rf2f415aafbb84c23" /></Relationships>
</file>

<file path=xl/worksheets/_rels/sheet5.xml.rels>&#65279;<?xml version="1.0" encoding="utf-8"?><Relationships xmlns="http://schemas.openxmlformats.org/package/2006/relationships"><Relationship Type="http://schemas.openxmlformats.org/officeDocument/2006/relationships/table" Target="/xl/tables/table4.xml" Id="R0e1dfd0c56ee423d" /></Relationships>
</file>

<file path=xl/worksheets/_rels/sheet6.xml.rels>&#65279;<?xml version="1.0" encoding="utf-8"?><Relationships xmlns="http://schemas.openxmlformats.org/package/2006/relationships"><Relationship Type="http://schemas.openxmlformats.org/officeDocument/2006/relationships/table" Target="/xl/tables/table5.xml" Id="Rcb8a0e8c89ca4b61" /></Relationships>
</file>

<file path=xl/worksheets/_rels/sheet7.xml.rels>&#65279;<?xml version="1.0" encoding="utf-8"?><Relationships xmlns="http://schemas.openxmlformats.org/package/2006/relationships"><Relationship Type="http://schemas.openxmlformats.org/officeDocument/2006/relationships/table" Target="/xl/tables/table6.xml" Id="R0314541b6d8e4f2c" /></Relationships>
</file>

<file path=xl/worksheets/_rels/sheet9.xml.rels>&#65279;<?xml version="1.0" encoding="utf-8"?><Relationships xmlns="http://schemas.openxmlformats.org/package/2006/relationships"><Relationship Type="http://schemas.openxmlformats.org/officeDocument/2006/relationships/table" Target="/xl/tables/table7.xml" Id="R80cef15c52404f35" /></Relationships>
</file>

<file path=xl/worksheets/_rels/sheet10.xml.rels>&#65279;<?xml version="1.0" encoding="utf-8"?><Relationships xmlns="http://schemas.openxmlformats.org/package/2006/relationships"><Relationship Type="http://schemas.openxmlformats.org/officeDocument/2006/relationships/table" Target="/xl/tables/table8.xml" Id="Re3920fbad7d64503" /></Relationships>
</file>

<file path=xl/worksheets/_rels/sheet11.xml.rels>&#65279;<?xml version="1.0" encoding="utf-8"?><Relationships xmlns="http://schemas.openxmlformats.org/package/2006/relationships"><Relationship Type="http://schemas.openxmlformats.org/officeDocument/2006/relationships/table" Target="/xl/tables/table9.xml" Id="Rf4be0c9df71f4f3d" /></Relationships>
</file>

<file path=xl/worksheets/_rels/sheet13.xml.rels>&#65279;<?xml version="1.0" encoding="utf-8"?><Relationships xmlns="http://schemas.openxmlformats.org/package/2006/relationships"><Relationship Type="http://schemas.openxmlformats.org/officeDocument/2006/relationships/table" Target="/xl/tables/table10.xml" Id="R32ee19e375d64f73" /></Relationships>
</file>

<file path=xl/worksheets/_rels/sheet14.xml.rels>&#65279;<?xml version="1.0" encoding="utf-8"?><Relationships xmlns="http://schemas.openxmlformats.org/package/2006/relationships"><Relationship Type="http://schemas.openxmlformats.org/officeDocument/2006/relationships/table" Target="/xl/tables/table11.xml" Id="R3ed31a76d1c14c0e" /></Relationships>
</file>

<file path=xl/worksheets/_rels/sheet15.xml.rels>&#65279;<?xml version="1.0" encoding="utf-8"?><Relationships xmlns="http://schemas.openxmlformats.org/package/2006/relationships"><Relationship Type="http://schemas.openxmlformats.org/officeDocument/2006/relationships/table" Target="/xl/tables/table12.xml" Id="Ra1215eaba4c444b4" /></Relationships>
</file>

<file path=xl/worksheets/_rels/sheet16.xml.rels>&#65279;<?xml version="1.0" encoding="utf-8"?><Relationships xmlns="http://schemas.openxmlformats.org/package/2006/relationships"><Relationship Type="http://schemas.openxmlformats.org/officeDocument/2006/relationships/table" Target="/xl/tables/table13.xml" Id="Rde04337a6c9148a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52e3536a219437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40894657d7a4e7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335</x:v>
      </x:c>
      <x:c r="D6" s="133" t="inlineStr">
        <x:is>
          <x:t xml:space="preserve">G0A — Corporate platform architecture ready</x:t>
        </x:is>
      </x:c>
      <x:c r="E6" s="32" t="str">
        <x:f>'03 Launch Gates'!D20</x:f>
        <x:v>Completed</x:v>
      </x:c>
      <x:c r="G6" t="inlineStr">
        <x:is>
          <x:t xml:space="preserve">UI Tasks Complete</x:t>
        </x:is>
      </x:c>
      <x:c r="H6" t="n">
        <x:f>SUM(B36:B46)</x:f>
        <x:v>113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0.9128065395095368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0.9381818181818182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8</x:v>
      </x:c>
      <x:c r="C44" s="28" t="n">
        <x:f>COUNTIFS('01 Master Plan'!C$5:C$383,A44,'01 Master Plan'!H$5:H$383,"In Progress")</x:f>
        <x:v>0</x:v>
      </x:c>
      <x:c r="D44" s="28" t="n">
        <x:f>COUNTIFS('01 Master Plan'!C$5:C$383,A44,'01 Master Plan'!H$5:H$383,"Not Started")</x:f>
        <x:v>12</x:v>
      </x:c>
      <x:c r="E44" s="28" t="n">
        <x:f>COUNTIFS('01 Master Plan'!C$5:C$383,A44,'01 Master Plan'!H$5:H$383,"Blocked")</x:f>
        <x:v>0</x:v>
      </x:c>
      <x:c r="F44" s="28" t="n">
        <x:f>COUNTIFS('01 Master Plan'!C$5:C$383,A44,'01 Master Plan'!H$5:H$383,"Deferred")</x:f>
        <x:v>0</x:v>
      </x:c>
      <x:c r="G44" s="258" t="n">
        <x:f>IFERROR(B44/(B44+C44+D44+E44),0)</x:f>
        <x:v>0.4</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6a9c434b3c44f1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2f415aafbb84c2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e1dfd0c56ee423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b8a0e8c89ca4b6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314541b6d8e4f2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0cef15c52404f3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3920fbad7d6450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4be0c9df71f4f3d"/>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13H-08 PASS/CLOSED/PUBLISHED. Respondent review, scoping, Private RFI, issuer-response visibility, Addendum impact and acknowledgement surfaces now meet the shared Executive Design System and domain-separation standards without reopening completed 13H-05 work. Next executable canonical task: 13H-09 Upgrade Quote &amp; Proposal Preparation.</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2ee19e375d64f7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ed31a76d1c14c0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1215eaba4c444b4"/>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e04337a6c9148a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