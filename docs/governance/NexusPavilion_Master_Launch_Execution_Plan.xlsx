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98c54053194804" /></Relationships>
</file>

<file path=xl/workbook.xml><?xml version="1.0" encoding="utf-8"?>
<x:workbook xmlns:x="http://schemas.openxmlformats.org/spreadsheetml/2006/main">
  <x:sheets>
    <x:sheet xmlns:r="http://schemas.openxmlformats.org/officeDocument/2006/relationships" name="01 Master Plan" sheetId="1" r:id="R730cee2be9c5421d"/>
    <x:sheet xmlns:r="http://schemas.openxmlformats.org/officeDocument/2006/relationships" name="03 Launch Gates" sheetId="2" r:id="Ra9bbfdddf04a4b6e"/>
    <x:sheet xmlns:r="http://schemas.openxmlformats.org/officeDocument/2006/relationships" name="00 Dashboard" sheetId="3" r:id="R0d5a2efcbc054c2e"/>
    <x:sheet xmlns:r="http://schemas.openxmlformats.org/officeDocument/2006/relationships" name="04 Cursor Tasks" sheetId="4" r:id="Re9bf9a669a89466e"/>
    <x:sheet xmlns:r="http://schemas.openxmlformats.org/officeDocument/2006/relationships" name="05 UAT Matrix" sheetId="5" r:id="Rfd41bf316c7b4cd9"/>
    <x:sheet xmlns:r="http://schemas.openxmlformats.org/officeDocument/2006/relationships" name="06 Security Matrix" sheetId="6" r:id="R371f799dd3e44626"/>
    <x:sheet xmlns:r="http://schemas.openxmlformats.org/officeDocument/2006/relationships" name="07 Risks" sheetId="7" r:id="R6ca630f7ea674b09"/>
    <x:sheet xmlns:r="http://schemas.openxmlformats.org/officeDocument/2006/relationships" name="08 Architecture" sheetId="8" r:id="Rf21392d714724346"/>
    <x:sheet xmlns:r="http://schemas.openxmlformats.org/officeDocument/2006/relationships" name="09 Release Checklist" sheetId="9" r:id="R5a5b8e49b2074dd5"/>
    <x:sheet xmlns:r="http://schemas.openxmlformats.org/officeDocument/2006/relationships" name="10 Change Log" sheetId="10" r:id="R52e6df955f134036"/>
    <x:sheet xmlns:r="http://schemas.openxmlformats.org/officeDocument/2006/relationships" name="11 Scope &amp; Roadmap" sheetId="11" r:id="Rf8e21b3058f745eb"/>
    <x:sheet xmlns:r="http://schemas.openxmlformats.org/officeDocument/2006/relationships" name="12 How to Use" sheetId="12" r:id="R9f690522e2004d7c"/>
    <x:sheet xmlns:r="http://schemas.openxmlformats.org/officeDocument/2006/relationships" name="13 UI Program" sheetId="13" r:id="Rd5a06980cdc64112"/>
    <x:sheet xmlns:r="http://schemas.openxmlformats.org/officeDocument/2006/relationships" name="14 UI Scorecard" sheetId="14" r:id="Rf8a7c0bc52c447b6"/>
    <x:sheet xmlns:r="http://schemas.openxmlformats.org/officeDocument/2006/relationships" name="15 Motion Guidance" sheetId="15" r:id="Rd1178039eb9e4c83"/>
    <x:sheet xmlns:r="http://schemas.openxmlformats.org/officeDocument/2006/relationships" name="16 Design Standards" sheetId="16" r:id="R8de4af33e29c4075"/>
    <x:sheet xmlns:r="http://schemas.openxmlformats.org/officeDocument/2006/relationships" name="17 Corporate Platform" sheetId="17" r:id="R7b7f5e5a00aa4908"/>
    <x:sheet xmlns:r="http://schemas.openxmlformats.org/officeDocument/2006/relationships" name="18 Analytics Reuse Map" sheetId="18" r:id="R801bd6431a8d4ccc"/>
    <x:sheet xmlns:r="http://schemas.openxmlformats.org/officeDocument/2006/relationships" name="19 Executive Insights Discovery" sheetId="19" r:id="R8e09bc40ea444748"/>
    <x:sheet xmlns:r="http://schemas.openxmlformats.org/officeDocument/2006/relationships" name="20 Procurement Insights Discovery" sheetId="20" r:id="R0bc7657c318a4689"/>
    <x:sheet xmlns:r="http://schemas.openxmlformats.org/officeDocument/2006/relationships" name="21 Commercial Insights Discovery" sheetId="21" r:id="R76a078fc336e425f"/>
    <x:sheet xmlns:r="http://schemas.openxmlformats.org/officeDocument/2006/relationships" name="22 Project Insights Discovery" sheetId="22" r:id="Re72f6abb57fc45be"/>
    <x:sheet xmlns:r="http://schemas.openxmlformats.org/officeDocument/2006/relationships" name="23 Performance Discovery" sheetId="23" r:id="Rc6a27f926aed43fb"/>
    <x:sheet xmlns:r="http://schemas.openxmlformats.org/officeDocument/2006/relationships" name="24 Risk Compliance Discovery" sheetId="24" r:id="R3caa3b92017e4650"/>
    <x:sheet xmlns:r="http://schemas.openxmlformats.org/officeDocument/2006/relationships" name="25 Commercial Handoff" sheetId="25" r:id="R2555b2b1516347a7"/>
    <x:sheet xmlns:r="http://schemas.openxmlformats.org/officeDocument/2006/relationships" name="26 RFQ Governance" sheetId="26" r:id="R2c92834c3f0c4af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0acfc7be9534e5a" /><Relationship Type="http://schemas.openxmlformats.org/officeDocument/2006/relationships/theme" Target="/xl/theme/theme1.xml" Id="Re335dea830184662" /><Relationship Type="http://schemas.openxmlformats.org/officeDocument/2006/relationships/sharedStrings" Target="/xl/sharedStrings.xml" Id="R7801856b66484c26" /><Relationship Type="http://schemas.openxmlformats.org/officeDocument/2006/relationships/worksheet" Target="/xl/worksheets/sheet1.xml" Id="R730cee2be9c5421d" /><Relationship Type="http://schemas.openxmlformats.org/officeDocument/2006/relationships/worksheet" Target="/xl/worksheets/sheet2.xml" Id="Ra9bbfdddf04a4b6e" /><Relationship Type="http://schemas.openxmlformats.org/officeDocument/2006/relationships/worksheet" Target="/xl/worksheets/sheet3.xml" Id="R0d5a2efcbc054c2e" /><Relationship Type="http://schemas.openxmlformats.org/officeDocument/2006/relationships/worksheet" Target="/xl/worksheets/sheet4.xml" Id="Re9bf9a669a89466e" /><Relationship Type="http://schemas.openxmlformats.org/officeDocument/2006/relationships/worksheet" Target="/xl/worksheets/sheet5.xml" Id="Rfd41bf316c7b4cd9" /><Relationship Type="http://schemas.openxmlformats.org/officeDocument/2006/relationships/worksheet" Target="/xl/worksheets/sheet6.xml" Id="R371f799dd3e44626" /><Relationship Type="http://schemas.openxmlformats.org/officeDocument/2006/relationships/worksheet" Target="/xl/worksheets/sheet7.xml" Id="R6ca630f7ea674b09" /><Relationship Type="http://schemas.openxmlformats.org/officeDocument/2006/relationships/worksheet" Target="/xl/worksheets/sheet8.xml" Id="Rf21392d714724346" /><Relationship Type="http://schemas.openxmlformats.org/officeDocument/2006/relationships/worksheet" Target="/xl/worksheets/sheet9.xml" Id="R5a5b8e49b2074dd5" /><Relationship Type="http://schemas.openxmlformats.org/officeDocument/2006/relationships/worksheet" Target="/xl/worksheets/sheet10.xml" Id="R52e6df955f134036" /><Relationship Type="http://schemas.openxmlformats.org/officeDocument/2006/relationships/worksheet" Target="/xl/worksheets/sheet11.xml" Id="Rf8e21b3058f745eb" /><Relationship Type="http://schemas.openxmlformats.org/officeDocument/2006/relationships/worksheet" Target="/xl/worksheets/sheet12.xml" Id="R9f690522e2004d7c" /><Relationship Type="http://schemas.openxmlformats.org/officeDocument/2006/relationships/worksheet" Target="/xl/worksheets/sheet13.xml" Id="Rd5a06980cdc64112" /><Relationship Type="http://schemas.openxmlformats.org/officeDocument/2006/relationships/worksheet" Target="/xl/worksheets/sheet14.xml" Id="Rf8a7c0bc52c447b6" /><Relationship Type="http://schemas.openxmlformats.org/officeDocument/2006/relationships/worksheet" Target="/xl/worksheets/sheet15.xml" Id="Rd1178039eb9e4c83" /><Relationship Type="http://schemas.openxmlformats.org/officeDocument/2006/relationships/worksheet" Target="/xl/worksheets/sheet16.xml" Id="R8de4af33e29c4075" /><Relationship Type="http://schemas.openxmlformats.org/officeDocument/2006/relationships/worksheet" Target="/xl/worksheets/sheet17.xml" Id="R7b7f5e5a00aa4908" /><Relationship Type="http://schemas.openxmlformats.org/officeDocument/2006/relationships/worksheet" Target="/xl/worksheets/sheet18.xml" Id="R801bd6431a8d4ccc" /><Relationship Type="http://schemas.openxmlformats.org/officeDocument/2006/relationships/worksheet" Target="/xl/worksheets/sheet19.xml" Id="R8e09bc40ea444748" /><Relationship Type="http://schemas.openxmlformats.org/officeDocument/2006/relationships/worksheet" Target="/xl/worksheets/sheet20.xml" Id="R0bc7657c318a4689" /><Relationship Type="http://schemas.openxmlformats.org/officeDocument/2006/relationships/worksheet" Target="/xl/worksheets/sheet21.xml" Id="R76a078fc336e425f" /><Relationship Type="http://schemas.openxmlformats.org/officeDocument/2006/relationships/worksheet" Target="/xl/worksheets/sheet22.xml" Id="Re72f6abb57fc45be" /><Relationship Type="http://schemas.openxmlformats.org/officeDocument/2006/relationships/worksheet" Target="/xl/worksheets/sheet23.xml" Id="Rc6a27f926aed43fb" /><Relationship Type="http://schemas.openxmlformats.org/officeDocument/2006/relationships/worksheet" Target="/xl/worksheets/sheet24.xml" Id="R3caa3b92017e4650" /><Relationship Type="http://schemas.openxmlformats.org/officeDocument/2006/relationships/worksheet" Target="/xl/worksheets/sheet25.xml" Id="R2555b2b1516347a7" /><Relationship Type="http://schemas.openxmlformats.org/officeDocument/2006/relationships/worksheet" Target="/xl/worksheets/sheet26.xml" Id="R2c92834c3f0c4af2" /></Relationships>
</file>

<file path=xl/drawings/_rels/drawing1.xml.rels>&#65279;<?xml version="1.0" encoding="utf-8"?><Relationships xmlns="http://schemas.openxmlformats.org/package/2006/relationships"><Relationship Type="http://schemas.openxmlformats.org/officeDocument/2006/relationships/chart" Target="/xl/drawings/charts/chart1.xml" Id="R48c125db2ae34ca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8c125db2ae34ca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c3f51eeb884b99" /></Relationships>
</file>

<file path=xl/worksheets/_rels/sheet2.xml.rels>&#65279;<?xml version="1.0" encoding="utf-8"?><Relationships xmlns="http://schemas.openxmlformats.org/package/2006/relationships"><Relationship Type="http://schemas.openxmlformats.org/officeDocument/2006/relationships/table" Target="/xl/tables/table2.xml" Id="Rbd1672847ad743bb" /></Relationships>
</file>

<file path=xl/worksheets/_rels/sheet3.xml.rels>&#65279;<?xml version="1.0" encoding="utf-8"?><Relationships xmlns="http://schemas.openxmlformats.org/package/2006/relationships"><Relationship Type="http://schemas.openxmlformats.org/officeDocument/2006/relationships/drawing" Target="/xl/drawings/drawing1.xml" Id="Re6b92f0b13cd43a1" /></Relationships>
</file>

<file path=xl/worksheets/_rels/sheet4.xml.rels>&#65279;<?xml version="1.0" encoding="utf-8"?><Relationships xmlns="http://schemas.openxmlformats.org/package/2006/relationships"><Relationship Type="http://schemas.openxmlformats.org/officeDocument/2006/relationships/table" Target="/xl/tables/table3.xml" Id="Rb503cee0a6d547c1" /></Relationships>
</file>

<file path=xl/worksheets/_rels/sheet5.xml.rels>&#65279;<?xml version="1.0" encoding="utf-8"?><Relationships xmlns="http://schemas.openxmlformats.org/package/2006/relationships"><Relationship Type="http://schemas.openxmlformats.org/officeDocument/2006/relationships/table" Target="/xl/tables/table4.xml" Id="R6880a1be9d7b4ad1" /></Relationships>
</file>

<file path=xl/worksheets/_rels/sheet6.xml.rels>&#65279;<?xml version="1.0" encoding="utf-8"?><Relationships xmlns="http://schemas.openxmlformats.org/package/2006/relationships"><Relationship Type="http://schemas.openxmlformats.org/officeDocument/2006/relationships/table" Target="/xl/tables/table5.xml" Id="R5c9de3dee2db4585" /></Relationships>
</file>

<file path=xl/worksheets/_rels/sheet7.xml.rels>&#65279;<?xml version="1.0" encoding="utf-8"?><Relationships xmlns="http://schemas.openxmlformats.org/package/2006/relationships"><Relationship Type="http://schemas.openxmlformats.org/officeDocument/2006/relationships/table" Target="/xl/tables/table6.xml" Id="R28719004c51c48d0" /></Relationships>
</file>

<file path=xl/worksheets/_rels/sheet9.xml.rels>&#65279;<?xml version="1.0" encoding="utf-8"?><Relationships xmlns="http://schemas.openxmlformats.org/package/2006/relationships"><Relationship Type="http://schemas.openxmlformats.org/officeDocument/2006/relationships/table" Target="/xl/tables/table7.xml" Id="Rd5efafda71b140fc" /></Relationships>
</file>

<file path=xl/worksheets/_rels/sheet10.xml.rels>&#65279;<?xml version="1.0" encoding="utf-8"?><Relationships xmlns="http://schemas.openxmlformats.org/package/2006/relationships"><Relationship Type="http://schemas.openxmlformats.org/officeDocument/2006/relationships/table" Target="/xl/tables/table8.xml" Id="R2c0beb1ab5214346" /></Relationships>
</file>

<file path=xl/worksheets/_rels/sheet11.xml.rels>&#65279;<?xml version="1.0" encoding="utf-8"?><Relationships xmlns="http://schemas.openxmlformats.org/package/2006/relationships"><Relationship Type="http://schemas.openxmlformats.org/officeDocument/2006/relationships/table" Target="/xl/tables/table9.xml" Id="Rfa6526958d4d4b60" /></Relationships>
</file>

<file path=xl/worksheets/_rels/sheet13.xml.rels>&#65279;<?xml version="1.0" encoding="utf-8"?><Relationships xmlns="http://schemas.openxmlformats.org/package/2006/relationships"><Relationship Type="http://schemas.openxmlformats.org/officeDocument/2006/relationships/table" Target="/xl/tables/table10.xml" Id="R91f9353cfc804826" /></Relationships>
</file>

<file path=xl/worksheets/_rels/sheet14.xml.rels>&#65279;<?xml version="1.0" encoding="utf-8"?><Relationships xmlns="http://schemas.openxmlformats.org/package/2006/relationships"><Relationship Type="http://schemas.openxmlformats.org/officeDocument/2006/relationships/table" Target="/xl/tables/table11.xml" Id="Rcf42a4971ccc4218" /></Relationships>
</file>

<file path=xl/worksheets/_rels/sheet15.xml.rels>&#65279;<?xml version="1.0" encoding="utf-8"?><Relationships xmlns="http://schemas.openxmlformats.org/package/2006/relationships"><Relationship Type="http://schemas.openxmlformats.org/officeDocument/2006/relationships/table" Target="/xl/tables/table12.xml" Id="R6a7bb31a31fb415e" /></Relationships>
</file>

<file path=xl/worksheets/_rels/sheet16.xml.rels>&#65279;<?xml version="1.0" encoding="utf-8"?><Relationships xmlns="http://schemas.openxmlformats.org/package/2006/relationships"><Relationship Type="http://schemas.openxmlformats.org/officeDocument/2006/relationships/table" Target="/xl/tables/table13.xml" Id="Raf47321adcb34d5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5c3f51eeb884b9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d1672847ad743b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251</x:v>
      </x:c>
      <x:c r="D6" s="133" t="inlineStr">
        <x:is>
          <x:t xml:space="preserve">G0A — Corporate platform architecture ready</x:t>
        </x:is>
      </x:c>
      <x:c r="E6" s="32" t="str">
        <x:f>'03 Launch Gates'!D20</x:f>
        <x:v>Completed</x:v>
      </x:c>
      <x:c r="G6" t="inlineStr">
        <x:is>
          <x:t xml:space="preserve">UI Tasks Complete</x:t>
        </x:is>
      </x:c>
      <x:c r="H6" t="n">
        <x:f>SUM(B36:B46)</x:f>
        <x:v>29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0.6839237057220708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0.6981818181818182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4</x:v>
      </x:c>
      <x:c r="C36" s="133" t="n">
        <x:f>COUNTIFS('01 Master Plan'!C$5:C$383,A36,'01 Master Plan'!H$5:H$383,"In Progress")</x:f>
        <x:v>0</x:v>
      </x:c>
      <x:c r="D36" s="133" t="n">
        <x:f>COUNTIFS('01 Master Plan'!C$5:C$383,A36,'01 Master Plan'!H$5:H$383,"Not Started")</x:f>
        <x:v>6</x:v>
      </x:c>
      <x:c r="E36" s="133" t="n">
        <x:f>COUNTIFS('01 Master Plan'!C$5:C$383,A36,'01 Master Plan'!H$5:H$383,"Blocked")</x:f>
        <x:v>0</x:v>
      </x:c>
      <x:c r="F36" s="133" t="n">
        <x:f>COUNTIFS('01 Master Plan'!C$5:C$383,A36,'01 Master Plan'!H$5:H$383,"Deferred")</x:f>
        <x:v>0</x:v>
      </x:c>
      <x:c r="G36" s="255" t="n">
        <x:f>IFERROR(B36/(B36+C36+D36+E36),0)</x:f>
        <x:v>0.4</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6b92f0b13cd43a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503cee0a6d547c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880a1be9d7b4ad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c9de3dee2db458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8719004c51c48d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5efafda71b140f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c0beb1ab521434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a6526958d4d4b6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1f9353cfc804826"/>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f42a4971ccc421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a7bb31a31fb415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f47321adcb34d5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