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47b7942f440ec" /></Relationships>
</file>

<file path=xl/workbook.xml><?xml version="1.0" encoding="utf-8"?>
<x:workbook xmlns:x="http://schemas.openxmlformats.org/spreadsheetml/2006/main">
  <x:sheets>
    <x:sheet xmlns:r="http://schemas.openxmlformats.org/officeDocument/2006/relationships" name="01 Master Plan" sheetId="1" r:id="Rb25dac81b59d4af5"/>
    <x:sheet xmlns:r="http://schemas.openxmlformats.org/officeDocument/2006/relationships" name="03 Launch Gates" sheetId="2" r:id="Rbdbf6259725d4bd2"/>
    <x:sheet xmlns:r="http://schemas.openxmlformats.org/officeDocument/2006/relationships" name="00 Dashboard" sheetId="3" r:id="R45f52d6855784d27"/>
    <x:sheet xmlns:r="http://schemas.openxmlformats.org/officeDocument/2006/relationships" name="04 Cursor Tasks" sheetId="4" r:id="R6442587a2e464d1a"/>
    <x:sheet xmlns:r="http://schemas.openxmlformats.org/officeDocument/2006/relationships" name="05 UAT Matrix" sheetId="5" r:id="R5dfe850621704c01"/>
    <x:sheet xmlns:r="http://schemas.openxmlformats.org/officeDocument/2006/relationships" name="06 Security Matrix" sheetId="6" r:id="R4cd8250fc2744c71"/>
    <x:sheet xmlns:r="http://schemas.openxmlformats.org/officeDocument/2006/relationships" name="07 Risks" sheetId="7" r:id="Re9b1b3fa7aac46e2"/>
    <x:sheet xmlns:r="http://schemas.openxmlformats.org/officeDocument/2006/relationships" name="08 Architecture" sheetId="8" r:id="R210ef4f981c04c26"/>
    <x:sheet xmlns:r="http://schemas.openxmlformats.org/officeDocument/2006/relationships" name="09 Release Checklist" sheetId="9" r:id="R37d82d663e7e4b3a"/>
    <x:sheet xmlns:r="http://schemas.openxmlformats.org/officeDocument/2006/relationships" name="10 Change Log" sheetId="10" r:id="R2f18b68b7fb54ec0"/>
    <x:sheet xmlns:r="http://schemas.openxmlformats.org/officeDocument/2006/relationships" name="11 Scope &amp; Roadmap" sheetId="11" r:id="R6e55410847274c9b"/>
    <x:sheet xmlns:r="http://schemas.openxmlformats.org/officeDocument/2006/relationships" name="12 How to Use" sheetId="12" r:id="R2ac7d9c1423245e1"/>
    <x:sheet xmlns:r="http://schemas.openxmlformats.org/officeDocument/2006/relationships" name="13 UI Program" sheetId="13" r:id="R41c5bcd12c694e9f"/>
    <x:sheet xmlns:r="http://schemas.openxmlformats.org/officeDocument/2006/relationships" name="14 UI Scorecard" sheetId="14" r:id="R07981a88dbd94328"/>
    <x:sheet xmlns:r="http://schemas.openxmlformats.org/officeDocument/2006/relationships" name="15 Motion Guidance" sheetId="15" r:id="R51b97a12ab854a82"/>
    <x:sheet xmlns:r="http://schemas.openxmlformats.org/officeDocument/2006/relationships" name="16 Design Standards" sheetId="16" r:id="R214073ff11884a72"/>
    <x:sheet xmlns:r="http://schemas.openxmlformats.org/officeDocument/2006/relationships" name="17 Corporate Platform" sheetId="17" r:id="R01c07f7eca0a4e54"/>
    <x:sheet xmlns:r="http://schemas.openxmlformats.org/officeDocument/2006/relationships" name="18 Analytics Reuse Map" sheetId="18" r:id="R047d1bd1a9a84924"/>
    <x:sheet xmlns:r="http://schemas.openxmlformats.org/officeDocument/2006/relationships" name="19 Executive Insights Discovery" sheetId="19" r:id="R86da8b28b6534c5c"/>
    <x:sheet xmlns:r="http://schemas.openxmlformats.org/officeDocument/2006/relationships" name="20 Procurement Insights Discovery" sheetId="20" r:id="Rbfda41bdbb7c4398"/>
    <x:sheet xmlns:r="http://schemas.openxmlformats.org/officeDocument/2006/relationships" name="21 Commercial Insights Discovery" sheetId="21" r:id="R4b378d240c0243f2"/>
    <x:sheet xmlns:r="http://schemas.openxmlformats.org/officeDocument/2006/relationships" name="22 Project Insights Discovery" sheetId="22" r:id="R7d3e6cbc184f426d"/>
    <x:sheet xmlns:r="http://schemas.openxmlformats.org/officeDocument/2006/relationships" name="23 Performance Discovery" sheetId="23" r:id="R3449f63118bf43eb"/>
    <x:sheet xmlns:r="http://schemas.openxmlformats.org/officeDocument/2006/relationships" name="24 Risk Compliance Discovery" sheetId="24" r:id="Rdb6d90945ef74ab6"/>
    <x:sheet xmlns:r="http://schemas.openxmlformats.org/officeDocument/2006/relationships" name="25 Commercial Handoff" sheetId="25" r:id="R8866d0a969524e08"/>
    <x:sheet xmlns:r="http://schemas.openxmlformats.org/officeDocument/2006/relationships" name="26 RFQ Governance" sheetId="26" r:id="R876c48a0631a46b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7c1c3ca577642d4" /><Relationship Type="http://schemas.openxmlformats.org/officeDocument/2006/relationships/theme" Target="/xl/theme/theme1.xml" Id="R4d7d4cd7a02c4208" /><Relationship Type="http://schemas.openxmlformats.org/officeDocument/2006/relationships/sharedStrings" Target="/xl/sharedStrings.xml" Id="R61239b5db728458a" /><Relationship Type="http://schemas.openxmlformats.org/officeDocument/2006/relationships/worksheet" Target="/xl/worksheets/sheet1.xml" Id="Rb25dac81b59d4af5" /><Relationship Type="http://schemas.openxmlformats.org/officeDocument/2006/relationships/worksheet" Target="/xl/worksheets/sheet2.xml" Id="Rbdbf6259725d4bd2" /><Relationship Type="http://schemas.openxmlformats.org/officeDocument/2006/relationships/worksheet" Target="/xl/worksheets/sheet3.xml" Id="R45f52d6855784d27" /><Relationship Type="http://schemas.openxmlformats.org/officeDocument/2006/relationships/worksheet" Target="/xl/worksheets/sheet4.xml" Id="R6442587a2e464d1a" /><Relationship Type="http://schemas.openxmlformats.org/officeDocument/2006/relationships/worksheet" Target="/xl/worksheets/sheet5.xml" Id="R5dfe850621704c01" /><Relationship Type="http://schemas.openxmlformats.org/officeDocument/2006/relationships/worksheet" Target="/xl/worksheets/sheet6.xml" Id="R4cd8250fc2744c71" /><Relationship Type="http://schemas.openxmlformats.org/officeDocument/2006/relationships/worksheet" Target="/xl/worksheets/sheet7.xml" Id="Re9b1b3fa7aac46e2" /><Relationship Type="http://schemas.openxmlformats.org/officeDocument/2006/relationships/worksheet" Target="/xl/worksheets/sheet8.xml" Id="R210ef4f981c04c26" /><Relationship Type="http://schemas.openxmlformats.org/officeDocument/2006/relationships/worksheet" Target="/xl/worksheets/sheet9.xml" Id="R37d82d663e7e4b3a" /><Relationship Type="http://schemas.openxmlformats.org/officeDocument/2006/relationships/worksheet" Target="/xl/worksheets/sheet10.xml" Id="R2f18b68b7fb54ec0" /><Relationship Type="http://schemas.openxmlformats.org/officeDocument/2006/relationships/worksheet" Target="/xl/worksheets/sheet11.xml" Id="R6e55410847274c9b" /><Relationship Type="http://schemas.openxmlformats.org/officeDocument/2006/relationships/worksheet" Target="/xl/worksheets/sheet12.xml" Id="R2ac7d9c1423245e1" /><Relationship Type="http://schemas.openxmlformats.org/officeDocument/2006/relationships/worksheet" Target="/xl/worksheets/sheet13.xml" Id="R41c5bcd12c694e9f" /><Relationship Type="http://schemas.openxmlformats.org/officeDocument/2006/relationships/worksheet" Target="/xl/worksheets/sheet14.xml" Id="R07981a88dbd94328" /><Relationship Type="http://schemas.openxmlformats.org/officeDocument/2006/relationships/worksheet" Target="/xl/worksheets/sheet15.xml" Id="R51b97a12ab854a82" /><Relationship Type="http://schemas.openxmlformats.org/officeDocument/2006/relationships/worksheet" Target="/xl/worksheets/sheet16.xml" Id="R214073ff11884a72" /><Relationship Type="http://schemas.openxmlformats.org/officeDocument/2006/relationships/worksheet" Target="/xl/worksheets/sheet17.xml" Id="R01c07f7eca0a4e54" /><Relationship Type="http://schemas.openxmlformats.org/officeDocument/2006/relationships/worksheet" Target="/xl/worksheets/sheet18.xml" Id="R047d1bd1a9a84924" /><Relationship Type="http://schemas.openxmlformats.org/officeDocument/2006/relationships/worksheet" Target="/xl/worksheets/sheet19.xml" Id="R86da8b28b6534c5c" /><Relationship Type="http://schemas.openxmlformats.org/officeDocument/2006/relationships/worksheet" Target="/xl/worksheets/sheet20.xml" Id="Rbfda41bdbb7c4398" /><Relationship Type="http://schemas.openxmlformats.org/officeDocument/2006/relationships/worksheet" Target="/xl/worksheets/sheet21.xml" Id="R4b378d240c0243f2" /><Relationship Type="http://schemas.openxmlformats.org/officeDocument/2006/relationships/worksheet" Target="/xl/worksheets/sheet22.xml" Id="R7d3e6cbc184f426d" /><Relationship Type="http://schemas.openxmlformats.org/officeDocument/2006/relationships/worksheet" Target="/xl/worksheets/sheet23.xml" Id="R3449f63118bf43eb" /><Relationship Type="http://schemas.openxmlformats.org/officeDocument/2006/relationships/worksheet" Target="/xl/worksheets/sheet24.xml" Id="Rdb6d90945ef74ab6" /><Relationship Type="http://schemas.openxmlformats.org/officeDocument/2006/relationships/worksheet" Target="/xl/worksheets/sheet25.xml" Id="R8866d0a969524e08" /><Relationship Type="http://schemas.openxmlformats.org/officeDocument/2006/relationships/worksheet" Target="/xl/worksheets/sheet26.xml" Id="R876c48a0631a46bc" /></Relationships>
</file>

<file path=xl/drawings/_rels/drawing1.xml.rels>&#65279;<?xml version="1.0" encoding="utf-8"?><Relationships xmlns="http://schemas.openxmlformats.org/package/2006/relationships"><Relationship Type="http://schemas.openxmlformats.org/officeDocument/2006/relationships/chart" Target="/xl/drawings/charts/chart1.xml" Id="R3b11e10cd4204a3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b11e10cd4204a3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398cb06962c40cb" /></Relationships>
</file>

<file path=xl/worksheets/_rels/sheet2.xml.rels>&#65279;<?xml version="1.0" encoding="utf-8"?><Relationships xmlns="http://schemas.openxmlformats.org/package/2006/relationships"><Relationship Type="http://schemas.openxmlformats.org/officeDocument/2006/relationships/table" Target="/xl/tables/table2.xml" Id="Rb581baac4e9745e9" /></Relationships>
</file>

<file path=xl/worksheets/_rels/sheet3.xml.rels>&#65279;<?xml version="1.0" encoding="utf-8"?><Relationships xmlns="http://schemas.openxmlformats.org/package/2006/relationships"><Relationship Type="http://schemas.openxmlformats.org/officeDocument/2006/relationships/drawing" Target="/xl/drawings/drawing1.xml" Id="R6ae7fbf5fc994f29" /></Relationships>
</file>

<file path=xl/worksheets/_rels/sheet4.xml.rels>&#65279;<?xml version="1.0" encoding="utf-8"?><Relationships xmlns="http://schemas.openxmlformats.org/package/2006/relationships"><Relationship Type="http://schemas.openxmlformats.org/officeDocument/2006/relationships/table" Target="/xl/tables/table3.xml" Id="R4906c80951d64f82" /></Relationships>
</file>

<file path=xl/worksheets/_rels/sheet5.xml.rels>&#65279;<?xml version="1.0" encoding="utf-8"?><Relationships xmlns="http://schemas.openxmlformats.org/package/2006/relationships"><Relationship Type="http://schemas.openxmlformats.org/officeDocument/2006/relationships/table" Target="/xl/tables/table4.xml" Id="Rcbf479cbfa534797" /></Relationships>
</file>

<file path=xl/worksheets/_rels/sheet6.xml.rels>&#65279;<?xml version="1.0" encoding="utf-8"?><Relationships xmlns="http://schemas.openxmlformats.org/package/2006/relationships"><Relationship Type="http://schemas.openxmlformats.org/officeDocument/2006/relationships/table" Target="/xl/tables/table5.xml" Id="R4d81956918f546fc" /></Relationships>
</file>

<file path=xl/worksheets/_rels/sheet7.xml.rels>&#65279;<?xml version="1.0" encoding="utf-8"?><Relationships xmlns="http://schemas.openxmlformats.org/package/2006/relationships"><Relationship Type="http://schemas.openxmlformats.org/officeDocument/2006/relationships/table" Target="/xl/tables/table6.xml" Id="R9c222dbb83784ff3" /></Relationships>
</file>

<file path=xl/worksheets/_rels/sheet9.xml.rels>&#65279;<?xml version="1.0" encoding="utf-8"?><Relationships xmlns="http://schemas.openxmlformats.org/package/2006/relationships"><Relationship Type="http://schemas.openxmlformats.org/officeDocument/2006/relationships/table" Target="/xl/tables/table7.xml" Id="R0a0565b0670f4a5c" /></Relationships>
</file>

<file path=xl/worksheets/_rels/sheet10.xml.rels>&#65279;<?xml version="1.0" encoding="utf-8"?><Relationships xmlns="http://schemas.openxmlformats.org/package/2006/relationships"><Relationship Type="http://schemas.openxmlformats.org/officeDocument/2006/relationships/table" Target="/xl/tables/table8.xml" Id="R53dfca5166504f8c" /></Relationships>
</file>

<file path=xl/worksheets/_rels/sheet11.xml.rels>&#65279;<?xml version="1.0" encoding="utf-8"?><Relationships xmlns="http://schemas.openxmlformats.org/package/2006/relationships"><Relationship Type="http://schemas.openxmlformats.org/officeDocument/2006/relationships/table" Target="/xl/tables/table9.xml" Id="Ra71855abb8974525" /></Relationships>
</file>

<file path=xl/worksheets/_rels/sheet13.xml.rels>&#65279;<?xml version="1.0" encoding="utf-8"?><Relationships xmlns="http://schemas.openxmlformats.org/package/2006/relationships"><Relationship Type="http://schemas.openxmlformats.org/officeDocument/2006/relationships/table" Target="/xl/tables/table10.xml" Id="R9d24ae7687c64ca9" /></Relationships>
</file>

<file path=xl/worksheets/_rels/sheet14.xml.rels>&#65279;<?xml version="1.0" encoding="utf-8"?><Relationships xmlns="http://schemas.openxmlformats.org/package/2006/relationships"><Relationship Type="http://schemas.openxmlformats.org/officeDocument/2006/relationships/table" Target="/xl/tables/table11.xml" Id="Rf650e16d1ef74e45" /></Relationships>
</file>

<file path=xl/worksheets/_rels/sheet15.xml.rels>&#65279;<?xml version="1.0" encoding="utf-8"?><Relationships xmlns="http://schemas.openxmlformats.org/package/2006/relationships"><Relationship Type="http://schemas.openxmlformats.org/officeDocument/2006/relationships/table" Target="/xl/tables/table12.xml" Id="R0b444dd10e0548f9" /></Relationships>
</file>

<file path=xl/worksheets/_rels/sheet16.xml.rels>&#65279;<?xml version="1.0" encoding="utf-8"?><Relationships xmlns="http://schemas.openxmlformats.org/package/2006/relationships"><Relationship Type="http://schemas.openxmlformats.org/officeDocument/2006/relationships/table" Target="/xl/tables/table13.xml" Id="Rc4b35c5c550b4b2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1398cb06962c40c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581baac4e9745e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299</x:v>
      </x:c>
      <x:c r="D6" s="133" t="inlineStr">
        <x:is>
          <x:t xml:space="preserve">G0A — Corporate platform architecture ready</x:t>
        </x:is>
      </x:c>
      <x:c r="E6" s="32" t="str">
        <x:f>'03 Launch Gates'!D20</x:f>
        <x:v>Completed</x:v>
      </x:c>
      <x:c r="G6" t="inlineStr">
        <x:is>
          <x:t xml:space="preserve">UI Tasks Complete</x:t>
        </x:is>
      </x:c>
      <x:c r="H6" t="n">
        <x:f>SUM(B36:B46)</x:f>
        <x:v>77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0.8147138964577657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5</x:v>
      </x:c>
      <x:c r="C41" s="133" t="n">
        <x:f>COUNTIFS('01 Master Plan'!C$5:C$383,A41,'01 Master Plan'!H$5:H$383,"In Progress")</x:f>
        <x:v>0</x:v>
      </x:c>
      <x:c r="D41" s="133" t="n">
        <x:f>COUNTIFS('01 Master Plan'!C$5:C$383,A41,'01 Master Plan'!H$5:H$383,"Not Started")</x:f>
        <x:v>4</x:v>
      </x:c>
      <x:c r="E41" s="133" t="n">
        <x:f>COUNTIFS('01 Master Plan'!C$5:C$383,A41,'01 Master Plan'!H$5:H$383,"Blocked")</x:f>
        <x:v>4</x:v>
      </x:c>
      <x:c r="F41" s="133" t="n">
        <x:f>COUNTIFS('01 Master Plan'!C$5:C$383,A41,'01 Master Plan'!H$5:H$383,"Deferred")</x:f>
        <x:v>0</x:v>
      </x:c>
      <x:c r="G41" s="255" t="n">
        <x:f>IFERROR(B41/(B41+C41+D41+E41),0)</x:f>
        <x:v>0.38461538461538464</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ae7fbf5fc994f2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906c80951d64f8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cbf479cbfa53479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d81956918f546fc"/>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c222dbb83784ff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0a0565b0670f4a5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3dfca5166504f8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71855abb897452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13E-06 and 13E-09 PASS/CLOSED. 13E-02, 13E-03, 13E-07 and 13E-08 remain BLOCKED/Open because their current flows auto-navigate and expose no stable completion surface without changing navigation/state semantics. 13D-04 and 13D-05 remain BLOCKED/Open under their prior criteria. 13E-09 closed evidence-only because ExecutiveCompletionMoment already provides a caller-owned processing state with optional truthful progress, aria-busy/live-region semantics, reduced-motion support, and no timers/fake delays. Next executable canonical task: 13E-10 Standardize success animation.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13E-06 and 13E-09 PASS/CLOSED. 13E-02, 13E-03, 13E-07 and 13E-08 remain BLOCKED/Open because their current flows auto-navigate and expose no stable completion surface without changing navigation/state semantics. 13D-04 and 13D-05 remain BLOCKED/Open under their prior criteria. 13E-09 closed evidence-only because ExecutiveCompletionMoment already provides a caller-owned processing state with optional truthful progress, aria-busy/live-region semantics, reduced-motion support, and no timers/fake delays. Next executable canonical task: 13E-10 Standardize success animation.</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d24ae7687c64ca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650e16d1ef74e4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b444dd10e0548f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c4b35c5c550b4b2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