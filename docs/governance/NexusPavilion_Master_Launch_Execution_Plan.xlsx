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0af00774c24b77" /></Relationships>
</file>

<file path=xl/workbook.xml><?xml version="1.0" encoding="utf-8"?>
<x:workbook xmlns:x="http://schemas.openxmlformats.org/spreadsheetml/2006/main">
  <x:sheets>
    <x:sheet xmlns:r="http://schemas.openxmlformats.org/officeDocument/2006/relationships" name="01 Master Plan" sheetId="1" r:id="Rcc68a629a26b4337"/>
    <x:sheet xmlns:r="http://schemas.openxmlformats.org/officeDocument/2006/relationships" name="03 Launch Gates" sheetId="2" r:id="R8a269cb18dd34927"/>
    <x:sheet xmlns:r="http://schemas.openxmlformats.org/officeDocument/2006/relationships" name="00 Dashboard" sheetId="3" r:id="R010473f11b1f421d"/>
    <x:sheet xmlns:r="http://schemas.openxmlformats.org/officeDocument/2006/relationships" name="04 Cursor Tasks" sheetId="4" r:id="R9a2aa8cb16ad4ee0"/>
    <x:sheet xmlns:r="http://schemas.openxmlformats.org/officeDocument/2006/relationships" name="05 UAT Matrix" sheetId="5" r:id="R4d1d61d328864604"/>
    <x:sheet xmlns:r="http://schemas.openxmlformats.org/officeDocument/2006/relationships" name="06 Security Matrix" sheetId="6" r:id="Rd065900e9ba04e8c"/>
    <x:sheet xmlns:r="http://schemas.openxmlformats.org/officeDocument/2006/relationships" name="07 Risks" sheetId="7" r:id="R7a20dfe802ee43a9"/>
    <x:sheet xmlns:r="http://schemas.openxmlformats.org/officeDocument/2006/relationships" name="08 Architecture" sheetId="8" r:id="R638bb9f891da4b49"/>
    <x:sheet xmlns:r="http://schemas.openxmlformats.org/officeDocument/2006/relationships" name="09 Release Checklist" sheetId="9" r:id="Rf2c7c9253b2b441b"/>
    <x:sheet xmlns:r="http://schemas.openxmlformats.org/officeDocument/2006/relationships" name="10 Change Log" sheetId="10" r:id="R00abf6cf2d29438f"/>
    <x:sheet xmlns:r="http://schemas.openxmlformats.org/officeDocument/2006/relationships" name="11 Scope &amp; Roadmap" sheetId="11" r:id="R8440cabb35aa4ec4"/>
    <x:sheet xmlns:r="http://schemas.openxmlformats.org/officeDocument/2006/relationships" name="12 How to Use" sheetId="12" r:id="R4aa3f3271bcb4796"/>
    <x:sheet xmlns:r="http://schemas.openxmlformats.org/officeDocument/2006/relationships" name="13 UI Program" sheetId="13" r:id="R00c4f4bad51b4aed"/>
    <x:sheet xmlns:r="http://schemas.openxmlformats.org/officeDocument/2006/relationships" name="14 UI Scorecard" sheetId="14" r:id="Rcecefacfe77a4b44"/>
    <x:sheet xmlns:r="http://schemas.openxmlformats.org/officeDocument/2006/relationships" name="15 Motion Guidance" sheetId="15" r:id="R6d68698c97f14255"/>
    <x:sheet xmlns:r="http://schemas.openxmlformats.org/officeDocument/2006/relationships" name="16 Design Standards" sheetId="16" r:id="R0f0dc94a38fe4683"/>
    <x:sheet xmlns:r="http://schemas.openxmlformats.org/officeDocument/2006/relationships" name="17 Corporate Platform" sheetId="17" r:id="R7089aeef98944b89"/>
    <x:sheet xmlns:r="http://schemas.openxmlformats.org/officeDocument/2006/relationships" name="18 Analytics Reuse Map" sheetId="18" r:id="R675b32ba9f904cd4"/>
    <x:sheet xmlns:r="http://schemas.openxmlformats.org/officeDocument/2006/relationships" name="19 Executive Insights Discovery" sheetId="19" r:id="R7a08d8da0d6b4bf4"/>
    <x:sheet xmlns:r="http://schemas.openxmlformats.org/officeDocument/2006/relationships" name="20 Procurement Insights Discovery" sheetId="20" r:id="R37a5c44b690e491f"/>
    <x:sheet xmlns:r="http://schemas.openxmlformats.org/officeDocument/2006/relationships" name="21 Commercial Insights Discovery" sheetId="21" r:id="Rf192726539e54084"/>
    <x:sheet xmlns:r="http://schemas.openxmlformats.org/officeDocument/2006/relationships" name="22 Project Insights Discovery" sheetId="22" r:id="Rb8a4dbfcb17949cb"/>
    <x:sheet xmlns:r="http://schemas.openxmlformats.org/officeDocument/2006/relationships" name="23 Performance Discovery" sheetId="23" r:id="R4d7357186521421b"/>
    <x:sheet xmlns:r="http://schemas.openxmlformats.org/officeDocument/2006/relationships" name="24 Risk Compliance Discovery" sheetId="24" r:id="R9b7234252aee436a"/>
    <x:sheet xmlns:r="http://schemas.openxmlformats.org/officeDocument/2006/relationships" name="25 Commercial Handoff" sheetId="25" r:id="R53313eb52fad4375"/>
    <x:sheet xmlns:r="http://schemas.openxmlformats.org/officeDocument/2006/relationships" name="26 RFQ Governance" sheetId="26" r:id="R05ac98ddf36443c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67a55e9fc284737" /><Relationship Type="http://schemas.openxmlformats.org/officeDocument/2006/relationships/theme" Target="/xl/theme/theme1.xml" Id="Rfaa1d8c7ec384a67" /><Relationship Type="http://schemas.openxmlformats.org/officeDocument/2006/relationships/sharedStrings" Target="/xl/sharedStrings.xml" Id="R50e0f00111fd469e" /><Relationship Type="http://schemas.openxmlformats.org/officeDocument/2006/relationships/worksheet" Target="/xl/worksheets/sheet1.xml" Id="Rcc68a629a26b4337" /><Relationship Type="http://schemas.openxmlformats.org/officeDocument/2006/relationships/worksheet" Target="/xl/worksheets/sheet2.xml" Id="R8a269cb18dd34927" /><Relationship Type="http://schemas.openxmlformats.org/officeDocument/2006/relationships/worksheet" Target="/xl/worksheets/sheet3.xml" Id="R010473f11b1f421d" /><Relationship Type="http://schemas.openxmlformats.org/officeDocument/2006/relationships/worksheet" Target="/xl/worksheets/sheet4.xml" Id="R9a2aa8cb16ad4ee0" /><Relationship Type="http://schemas.openxmlformats.org/officeDocument/2006/relationships/worksheet" Target="/xl/worksheets/sheet5.xml" Id="R4d1d61d328864604" /><Relationship Type="http://schemas.openxmlformats.org/officeDocument/2006/relationships/worksheet" Target="/xl/worksheets/sheet6.xml" Id="Rd065900e9ba04e8c" /><Relationship Type="http://schemas.openxmlformats.org/officeDocument/2006/relationships/worksheet" Target="/xl/worksheets/sheet7.xml" Id="R7a20dfe802ee43a9" /><Relationship Type="http://schemas.openxmlformats.org/officeDocument/2006/relationships/worksheet" Target="/xl/worksheets/sheet8.xml" Id="R638bb9f891da4b49" /><Relationship Type="http://schemas.openxmlformats.org/officeDocument/2006/relationships/worksheet" Target="/xl/worksheets/sheet9.xml" Id="Rf2c7c9253b2b441b" /><Relationship Type="http://schemas.openxmlformats.org/officeDocument/2006/relationships/worksheet" Target="/xl/worksheets/sheet10.xml" Id="R00abf6cf2d29438f" /><Relationship Type="http://schemas.openxmlformats.org/officeDocument/2006/relationships/worksheet" Target="/xl/worksheets/sheet11.xml" Id="R8440cabb35aa4ec4" /><Relationship Type="http://schemas.openxmlformats.org/officeDocument/2006/relationships/worksheet" Target="/xl/worksheets/sheet12.xml" Id="R4aa3f3271bcb4796" /><Relationship Type="http://schemas.openxmlformats.org/officeDocument/2006/relationships/worksheet" Target="/xl/worksheets/sheet13.xml" Id="R00c4f4bad51b4aed" /><Relationship Type="http://schemas.openxmlformats.org/officeDocument/2006/relationships/worksheet" Target="/xl/worksheets/sheet14.xml" Id="Rcecefacfe77a4b44" /><Relationship Type="http://schemas.openxmlformats.org/officeDocument/2006/relationships/worksheet" Target="/xl/worksheets/sheet15.xml" Id="R6d68698c97f14255" /><Relationship Type="http://schemas.openxmlformats.org/officeDocument/2006/relationships/worksheet" Target="/xl/worksheets/sheet16.xml" Id="R0f0dc94a38fe4683" /><Relationship Type="http://schemas.openxmlformats.org/officeDocument/2006/relationships/worksheet" Target="/xl/worksheets/sheet17.xml" Id="R7089aeef98944b89" /><Relationship Type="http://schemas.openxmlformats.org/officeDocument/2006/relationships/worksheet" Target="/xl/worksheets/sheet18.xml" Id="R675b32ba9f904cd4" /><Relationship Type="http://schemas.openxmlformats.org/officeDocument/2006/relationships/worksheet" Target="/xl/worksheets/sheet19.xml" Id="R7a08d8da0d6b4bf4" /><Relationship Type="http://schemas.openxmlformats.org/officeDocument/2006/relationships/worksheet" Target="/xl/worksheets/sheet20.xml" Id="R37a5c44b690e491f" /><Relationship Type="http://schemas.openxmlformats.org/officeDocument/2006/relationships/worksheet" Target="/xl/worksheets/sheet21.xml" Id="Rf192726539e54084" /><Relationship Type="http://schemas.openxmlformats.org/officeDocument/2006/relationships/worksheet" Target="/xl/worksheets/sheet22.xml" Id="Rb8a4dbfcb17949cb" /><Relationship Type="http://schemas.openxmlformats.org/officeDocument/2006/relationships/worksheet" Target="/xl/worksheets/sheet23.xml" Id="R4d7357186521421b" /><Relationship Type="http://schemas.openxmlformats.org/officeDocument/2006/relationships/worksheet" Target="/xl/worksheets/sheet24.xml" Id="R9b7234252aee436a" /><Relationship Type="http://schemas.openxmlformats.org/officeDocument/2006/relationships/worksheet" Target="/xl/worksheets/sheet25.xml" Id="R53313eb52fad4375" /><Relationship Type="http://schemas.openxmlformats.org/officeDocument/2006/relationships/worksheet" Target="/xl/worksheets/sheet26.xml" Id="R05ac98ddf36443c7" /></Relationships>
</file>

<file path=xl/drawings/_rels/drawing1.xml.rels>&#65279;<?xml version="1.0" encoding="utf-8"?><Relationships xmlns="http://schemas.openxmlformats.org/package/2006/relationships"><Relationship Type="http://schemas.openxmlformats.org/officeDocument/2006/relationships/chart" Target="/xl/drawings/charts/chart1.xml" Id="Rfb6e4e31d85b4e1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b6e4e31d85b4e16"/>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0cedbf23af04716" /></Relationships>
</file>

<file path=xl/worksheets/_rels/sheet2.xml.rels>&#65279;<?xml version="1.0" encoding="utf-8"?><Relationships xmlns="http://schemas.openxmlformats.org/package/2006/relationships"><Relationship Type="http://schemas.openxmlformats.org/officeDocument/2006/relationships/table" Target="/xl/tables/table2.xml" Id="R738cee300daa4d5c" /></Relationships>
</file>

<file path=xl/worksheets/_rels/sheet3.xml.rels>&#65279;<?xml version="1.0" encoding="utf-8"?><Relationships xmlns="http://schemas.openxmlformats.org/package/2006/relationships"><Relationship Type="http://schemas.openxmlformats.org/officeDocument/2006/relationships/drawing" Target="/xl/drawings/drawing1.xml" Id="R2cccd3e32c4e4bf1" /></Relationships>
</file>

<file path=xl/worksheets/_rels/sheet4.xml.rels>&#65279;<?xml version="1.0" encoding="utf-8"?><Relationships xmlns="http://schemas.openxmlformats.org/package/2006/relationships"><Relationship Type="http://schemas.openxmlformats.org/officeDocument/2006/relationships/table" Target="/xl/tables/table3.xml" Id="R1ddc390e8d674765" /></Relationships>
</file>

<file path=xl/worksheets/_rels/sheet5.xml.rels>&#65279;<?xml version="1.0" encoding="utf-8"?><Relationships xmlns="http://schemas.openxmlformats.org/package/2006/relationships"><Relationship Type="http://schemas.openxmlformats.org/officeDocument/2006/relationships/table" Target="/xl/tables/table4.xml" Id="R98c5bbcbcd6d41bc" /></Relationships>
</file>

<file path=xl/worksheets/_rels/sheet6.xml.rels>&#65279;<?xml version="1.0" encoding="utf-8"?><Relationships xmlns="http://schemas.openxmlformats.org/package/2006/relationships"><Relationship Type="http://schemas.openxmlformats.org/officeDocument/2006/relationships/table" Target="/xl/tables/table5.xml" Id="Re7074d4208a141e9" /></Relationships>
</file>

<file path=xl/worksheets/_rels/sheet7.xml.rels>&#65279;<?xml version="1.0" encoding="utf-8"?><Relationships xmlns="http://schemas.openxmlformats.org/package/2006/relationships"><Relationship Type="http://schemas.openxmlformats.org/officeDocument/2006/relationships/table" Target="/xl/tables/table6.xml" Id="R894472fa24e74744" /></Relationships>
</file>

<file path=xl/worksheets/_rels/sheet9.xml.rels>&#65279;<?xml version="1.0" encoding="utf-8"?><Relationships xmlns="http://schemas.openxmlformats.org/package/2006/relationships"><Relationship Type="http://schemas.openxmlformats.org/officeDocument/2006/relationships/table" Target="/xl/tables/table7.xml" Id="Rec0f6a2b1eb84055" /></Relationships>
</file>

<file path=xl/worksheets/_rels/sheet10.xml.rels>&#65279;<?xml version="1.0" encoding="utf-8"?><Relationships xmlns="http://schemas.openxmlformats.org/package/2006/relationships"><Relationship Type="http://schemas.openxmlformats.org/officeDocument/2006/relationships/table" Target="/xl/tables/table8.xml" Id="R56974369d74646b2" /></Relationships>
</file>

<file path=xl/worksheets/_rels/sheet11.xml.rels>&#65279;<?xml version="1.0" encoding="utf-8"?><Relationships xmlns="http://schemas.openxmlformats.org/package/2006/relationships"><Relationship Type="http://schemas.openxmlformats.org/officeDocument/2006/relationships/table" Target="/xl/tables/table9.xml" Id="R06d2976f70f84973" /></Relationships>
</file>

<file path=xl/worksheets/_rels/sheet13.xml.rels>&#65279;<?xml version="1.0" encoding="utf-8"?><Relationships xmlns="http://schemas.openxmlformats.org/package/2006/relationships"><Relationship Type="http://schemas.openxmlformats.org/officeDocument/2006/relationships/table" Target="/xl/tables/table10.xml" Id="R2dfc145cbf6340b2" /></Relationships>
</file>

<file path=xl/worksheets/_rels/sheet14.xml.rels>&#65279;<?xml version="1.0" encoding="utf-8"?><Relationships xmlns="http://schemas.openxmlformats.org/package/2006/relationships"><Relationship Type="http://schemas.openxmlformats.org/officeDocument/2006/relationships/table" Target="/xl/tables/table11.xml" Id="Rc025ff863cb04be9" /></Relationships>
</file>

<file path=xl/worksheets/_rels/sheet15.xml.rels>&#65279;<?xml version="1.0" encoding="utf-8"?><Relationships xmlns="http://schemas.openxmlformats.org/package/2006/relationships"><Relationship Type="http://schemas.openxmlformats.org/officeDocument/2006/relationships/table" Target="/xl/tables/table12.xml" Id="Rad4a449cf2ca472e" /></Relationships>
</file>

<file path=xl/worksheets/_rels/sheet16.xml.rels>&#65279;<?xml version="1.0" encoding="utf-8"?><Relationships xmlns="http://schemas.openxmlformats.org/package/2006/relationships"><Relationship Type="http://schemas.openxmlformats.org/officeDocument/2006/relationships/table" Target="/xl/tables/table13.xml" Id="R3a79e84cfb34468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0cedbf23af0471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38cee300daa4d5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295</x:v>
      </x:c>
      <x:c r="D6" s="133" t="inlineStr">
        <x:is>
          <x:t xml:space="preserve">G0A — Corporate platform architecture ready</x:t>
        </x:is>
      </x:c>
      <x:c r="E6" s="32" t="str">
        <x:f>'03 Launch Gates'!D20</x:f>
        <x:v>Completed</x:v>
      </x:c>
      <x:c r="G6" t="inlineStr">
        <x:is>
          <x:t xml:space="preserve">UI Tasks Complete</x:t>
        </x:is>
      </x:c>
      <x:c r="H6" t="n">
        <x:f>SUM(B36:B46)</x:f>
        <x:v>73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0.8038147138964578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1</x:v>
      </x:c>
      <x:c r="C41" s="133" t="n">
        <x:f>COUNTIFS('01 Master Plan'!C$5:C$383,A41,'01 Master Plan'!H$5:H$383,"In Progress")</x:f>
        <x:v>0</x:v>
      </x:c>
      <x:c r="D41" s="133" t="n">
        <x:f>COUNTIFS('01 Master Plan'!C$5:C$383,A41,'01 Master Plan'!H$5:H$383,"Not Started")</x:f>
        <x:v>12</x:v>
      </x:c>
      <x:c r="E41" s="133" t="n">
        <x:f>COUNTIFS('01 Master Plan'!C$5:C$383,A41,'01 Master Plan'!H$5:H$383,"Blocked")</x:f>
        <x:v>0</x:v>
      </x:c>
      <x:c r="F41" s="133" t="n">
        <x:f>COUNTIFS('01 Master Plan'!C$5:C$383,A41,'01 Master Plan'!H$5:H$383,"Deferred")</x:f>
        <x:v>0</x:v>
      </x:c>
      <x:c r="G41" s="255" t="n">
        <x:f>IFERROR(B41/(B41+C41+D41+E41),0)</x:f>
        <x:v>0.07692307692307693</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cccd3e32c4e4bf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ddc390e8d67476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8c5bbcbcd6d41b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e7074d4208a141e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94472fa24e7474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ec0f6a2b1eb8405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6974369d74646b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6d2976f70f8497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PASS/CLOSED. Reusable ExecutiveCompletionMoment is now available as a presentation-only primitive for processing → confirmation → state change → next-best-action flows. Existing workflows remain unmigrated by design. 13D-04 and 13D-05 remain BLOCKED/Open under their prior unblock criteria. Next executable canonical task: 13E-02 Implement RFQ created completion moment.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dfc145cbf6340b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025ff863cb04be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d4a449cf2ca472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a79e84cfb34468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