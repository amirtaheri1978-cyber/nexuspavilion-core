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7f280bb8ea422c" /></Relationships>
</file>

<file path=xl/workbook.xml><?xml version="1.0" encoding="utf-8"?>
<x:workbook xmlns:x="http://schemas.openxmlformats.org/spreadsheetml/2006/main">
  <x:sheets>
    <x:sheet xmlns:r="http://schemas.openxmlformats.org/officeDocument/2006/relationships" name="01 Master Plan" sheetId="1" r:id="Rb500b97936bd4b6f"/>
    <x:sheet xmlns:r="http://schemas.openxmlformats.org/officeDocument/2006/relationships" name="03 Launch Gates" sheetId="2" r:id="R57e58619db264cb9"/>
    <x:sheet xmlns:r="http://schemas.openxmlformats.org/officeDocument/2006/relationships" name="00 Dashboard" sheetId="3" r:id="Re82ab09c56ea491e"/>
    <x:sheet xmlns:r="http://schemas.openxmlformats.org/officeDocument/2006/relationships" name="04 Cursor Tasks" sheetId="4" r:id="Raf198a937c0e498c"/>
    <x:sheet xmlns:r="http://schemas.openxmlformats.org/officeDocument/2006/relationships" name="05 UAT Matrix" sheetId="5" r:id="R504fae1e85a54ae2"/>
    <x:sheet xmlns:r="http://schemas.openxmlformats.org/officeDocument/2006/relationships" name="06 Security Matrix" sheetId="6" r:id="Rc2994764fdf943ee"/>
    <x:sheet xmlns:r="http://schemas.openxmlformats.org/officeDocument/2006/relationships" name="07 Risks" sheetId="7" r:id="Rde8ba4ebcca8470e"/>
    <x:sheet xmlns:r="http://schemas.openxmlformats.org/officeDocument/2006/relationships" name="08 Architecture" sheetId="8" r:id="R3eac8392954543b3"/>
    <x:sheet xmlns:r="http://schemas.openxmlformats.org/officeDocument/2006/relationships" name="09 Release Checklist" sheetId="9" r:id="R45ad7473941042f4"/>
    <x:sheet xmlns:r="http://schemas.openxmlformats.org/officeDocument/2006/relationships" name="10 Change Log" sheetId="10" r:id="R7959b79bcc6b485b"/>
    <x:sheet xmlns:r="http://schemas.openxmlformats.org/officeDocument/2006/relationships" name="11 Scope &amp; Roadmap" sheetId="11" r:id="R51417d5244234c29"/>
    <x:sheet xmlns:r="http://schemas.openxmlformats.org/officeDocument/2006/relationships" name="12 How to Use" sheetId="12" r:id="R7561ab6246d84bc8"/>
    <x:sheet xmlns:r="http://schemas.openxmlformats.org/officeDocument/2006/relationships" name="13 UI Program" sheetId="13" r:id="Rae45b6c1c3974228"/>
    <x:sheet xmlns:r="http://schemas.openxmlformats.org/officeDocument/2006/relationships" name="14 UI Scorecard" sheetId="14" r:id="R78b4a5e38a9348bd"/>
    <x:sheet xmlns:r="http://schemas.openxmlformats.org/officeDocument/2006/relationships" name="15 Motion Guidance" sheetId="15" r:id="Rc3818d142a634c69"/>
    <x:sheet xmlns:r="http://schemas.openxmlformats.org/officeDocument/2006/relationships" name="16 Design Standards" sheetId="16" r:id="Rca4d231452d34801"/>
    <x:sheet xmlns:r="http://schemas.openxmlformats.org/officeDocument/2006/relationships" name="17 Corporate Platform" sheetId="17" r:id="R6ca11a34548643aa"/>
    <x:sheet xmlns:r="http://schemas.openxmlformats.org/officeDocument/2006/relationships" name="18 Analytics Reuse Map" sheetId="18" r:id="Rd64164a4508b4d0d"/>
    <x:sheet xmlns:r="http://schemas.openxmlformats.org/officeDocument/2006/relationships" name="19 Executive Insights Discovery" sheetId="19" r:id="R1e02537aead04c5b"/>
    <x:sheet xmlns:r="http://schemas.openxmlformats.org/officeDocument/2006/relationships" name="20 Procurement Insights Discovery" sheetId="20" r:id="Rc48a4afb4886478a"/>
    <x:sheet xmlns:r="http://schemas.openxmlformats.org/officeDocument/2006/relationships" name="21 Commercial Insights Discovery" sheetId="21" r:id="R7aff8606970d4666"/>
    <x:sheet xmlns:r="http://schemas.openxmlformats.org/officeDocument/2006/relationships" name="22 Project Insights Discovery" sheetId="22" r:id="Rbcb553deb4164b28"/>
    <x:sheet xmlns:r="http://schemas.openxmlformats.org/officeDocument/2006/relationships" name="23 Performance Discovery" sheetId="23" r:id="Rfbf4bda8153340a4"/>
    <x:sheet xmlns:r="http://schemas.openxmlformats.org/officeDocument/2006/relationships" name="24 Risk Compliance Discovery" sheetId="24" r:id="R1e0cf5abfcce41bc"/>
    <x:sheet xmlns:r="http://schemas.openxmlformats.org/officeDocument/2006/relationships" name="25 Commercial Handoff" sheetId="25" r:id="Re993c3d489ef4356"/>
    <x:sheet xmlns:r="http://schemas.openxmlformats.org/officeDocument/2006/relationships" name="26 RFQ Governance" sheetId="26" r:id="Rb4973539d27547a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cac8aa6c3b84463" /><Relationship Type="http://schemas.openxmlformats.org/officeDocument/2006/relationships/theme" Target="/xl/theme/theme1.xml" Id="R52fe805dbf9642ef" /><Relationship Type="http://schemas.openxmlformats.org/officeDocument/2006/relationships/sharedStrings" Target="/xl/sharedStrings.xml" Id="R79f949a25ecc4b0f" /><Relationship Type="http://schemas.openxmlformats.org/officeDocument/2006/relationships/worksheet" Target="/xl/worksheets/sheet1.xml" Id="Rb500b97936bd4b6f" /><Relationship Type="http://schemas.openxmlformats.org/officeDocument/2006/relationships/worksheet" Target="/xl/worksheets/sheet2.xml" Id="R57e58619db264cb9" /><Relationship Type="http://schemas.openxmlformats.org/officeDocument/2006/relationships/worksheet" Target="/xl/worksheets/sheet3.xml" Id="Re82ab09c56ea491e" /><Relationship Type="http://schemas.openxmlformats.org/officeDocument/2006/relationships/worksheet" Target="/xl/worksheets/sheet4.xml" Id="Raf198a937c0e498c" /><Relationship Type="http://schemas.openxmlformats.org/officeDocument/2006/relationships/worksheet" Target="/xl/worksheets/sheet5.xml" Id="R504fae1e85a54ae2" /><Relationship Type="http://schemas.openxmlformats.org/officeDocument/2006/relationships/worksheet" Target="/xl/worksheets/sheet6.xml" Id="Rc2994764fdf943ee" /><Relationship Type="http://schemas.openxmlformats.org/officeDocument/2006/relationships/worksheet" Target="/xl/worksheets/sheet7.xml" Id="Rde8ba4ebcca8470e" /><Relationship Type="http://schemas.openxmlformats.org/officeDocument/2006/relationships/worksheet" Target="/xl/worksheets/sheet8.xml" Id="R3eac8392954543b3" /><Relationship Type="http://schemas.openxmlformats.org/officeDocument/2006/relationships/worksheet" Target="/xl/worksheets/sheet9.xml" Id="R45ad7473941042f4" /><Relationship Type="http://schemas.openxmlformats.org/officeDocument/2006/relationships/worksheet" Target="/xl/worksheets/sheet10.xml" Id="R7959b79bcc6b485b" /><Relationship Type="http://schemas.openxmlformats.org/officeDocument/2006/relationships/worksheet" Target="/xl/worksheets/sheet11.xml" Id="R51417d5244234c29" /><Relationship Type="http://schemas.openxmlformats.org/officeDocument/2006/relationships/worksheet" Target="/xl/worksheets/sheet12.xml" Id="R7561ab6246d84bc8" /><Relationship Type="http://schemas.openxmlformats.org/officeDocument/2006/relationships/worksheet" Target="/xl/worksheets/sheet13.xml" Id="Rae45b6c1c3974228" /><Relationship Type="http://schemas.openxmlformats.org/officeDocument/2006/relationships/worksheet" Target="/xl/worksheets/sheet14.xml" Id="R78b4a5e38a9348bd" /><Relationship Type="http://schemas.openxmlformats.org/officeDocument/2006/relationships/worksheet" Target="/xl/worksheets/sheet15.xml" Id="Rc3818d142a634c69" /><Relationship Type="http://schemas.openxmlformats.org/officeDocument/2006/relationships/worksheet" Target="/xl/worksheets/sheet16.xml" Id="Rca4d231452d34801" /><Relationship Type="http://schemas.openxmlformats.org/officeDocument/2006/relationships/worksheet" Target="/xl/worksheets/sheet17.xml" Id="R6ca11a34548643aa" /><Relationship Type="http://schemas.openxmlformats.org/officeDocument/2006/relationships/worksheet" Target="/xl/worksheets/sheet18.xml" Id="Rd64164a4508b4d0d" /><Relationship Type="http://schemas.openxmlformats.org/officeDocument/2006/relationships/worksheet" Target="/xl/worksheets/sheet19.xml" Id="R1e02537aead04c5b" /><Relationship Type="http://schemas.openxmlformats.org/officeDocument/2006/relationships/worksheet" Target="/xl/worksheets/sheet20.xml" Id="Rc48a4afb4886478a" /><Relationship Type="http://schemas.openxmlformats.org/officeDocument/2006/relationships/worksheet" Target="/xl/worksheets/sheet21.xml" Id="R7aff8606970d4666" /><Relationship Type="http://schemas.openxmlformats.org/officeDocument/2006/relationships/worksheet" Target="/xl/worksheets/sheet22.xml" Id="Rbcb553deb4164b28" /><Relationship Type="http://schemas.openxmlformats.org/officeDocument/2006/relationships/worksheet" Target="/xl/worksheets/sheet23.xml" Id="Rfbf4bda8153340a4" /><Relationship Type="http://schemas.openxmlformats.org/officeDocument/2006/relationships/worksheet" Target="/xl/worksheets/sheet24.xml" Id="R1e0cf5abfcce41bc" /><Relationship Type="http://schemas.openxmlformats.org/officeDocument/2006/relationships/worksheet" Target="/xl/worksheets/sheet25.xml" Id="Re993c3d489ef4356" /><Relationship Type="http://schemas.openxmlformats.org/officeDocument/2006/relationships/worksheet" Target="/xl/worksheets/sheet26.xml" Id="Rb4973539d27547ad" /></Relationships>
</file>

<file path=xl/drawings/_rels/drawing1.xml.rels>&#65279;<?xml version="1.0" encoding="utf-8"?><Relationships xmlns="http://schemas.openxmlformats.org/package/2006/relationships"><Relationship Type="http://schemas.openxmlformats.org/officeDocument/2006/relationships/chart" Target="/xl/drawings/charts/chart1.xml" Id="Rdedba9d0fa8b4516"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edba9d0fa8b4516"/>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cc04eef7cf74f58" /></Relationships>
</file>

<file path=xl/worksheets/_rels/sheet2.xml.rels>&#65279;<?xml version="1.0" encoding="utf-8"?><Relationships xmlns="http://schemas.openxmlformats.org/package/2006/relationships"><Relationship Type="http://schemas.openxmlformats.org/officeDocument/2006/relationships/table" Target="/xl/tables/table2.xml" Id="R8d57c6871edb437a" /></Relationships>
</file>

<file path=xl/worksheets/_rels/sheet3.xml.rels>&#65279;<?xml version="1.0" encoding="utf-8"?><Relationships xmlns="http://schemas.openxmlformats.org/package/2006/relationships"><Relationship Type="http://schemas.openxmlformats.org/officeDocument/2006/relationships/drawing" Target="/xl/drawings/drawing1.xml" Id="Rb81969deec7145ab" /></Relationships>
</file>

<file path=xl/worksheets/_rels/sheet4.xml.rels>&#65279;<?xml version="1.0" encoding="utf-8"?><Relationships xmlns="http://schemas.openxmlformats.org/package/2006/relationships"><Relationship Type="http://schemas.openxmlformats.org/officeDocument/2006/relationships/table" Target="/xl/tables/table3.xml" Id="R357207b9647b46d7" /></Relationships>
</file>

<file path=xl/worksheets/_rels/sheet5.xml.rels>&#65279;<?xml version="1.0" encoding="utf-8"?><Relationships xmlns="http://schemas.openxmlformats.org/package/2006/relationships"><Relationship Type="http://schemas.openxmlformats.org/officeDocument/2006/relationships/table" Target="/xl/tables/table4.xml" Id="Rb8a94fc5125242f1" /></Relationships>
</file>

<file path=xl/worksheets/_rels/sheet6.xml.rels>&#65279;<?xml version="1.0" encoding="utf-8"?><Relationships xmlns="http://schemas.openxmlformats.org/package/2006/relationships"><Relationship Type="http://schemas.openxmlformats.org/officeDocument/2006/relationships/table" Target="/xl/tables/table5.xml" Id="R8ba3d16b6f25442f" /></Relationships>
</file>

<file path=xl/worksheets/_rels/sheet7.xml.rels>&#65279;<?xml version="1.0" encoding="utf-8"?><Relationships xmlns="http://schemas.openxmlformats.org/package/2006/relationships"><Relationship Type="http://schemas.openxmlformats.org/officeDocument/2006/relationships/table" Target="/xl/tables/table6.xml" Id="R64b97c787af54f6f" /></Relationships>
</file>

<file path=xl/worksheets/_rels/sheet9.xml.rels>&#65279;<?xml version="1.0" encoding="utf-8"?><Relationships xmlns="http://schemas.openxmlformats.org/package/2006/relationships"><Relationship Type="http://schemas.openxmlformats.org/officeDocument/2006/relationships/table" Target="/xl/tables/table7.xml" Id="R33d9d970d9cd46bb" /></Relationships>
</file>

<file path=xl/worksheets/_rels/sheet10.xml.rels>&#65279;<?xml version="1.0" encoding="utf-8"?><Relationships xmlns="http://schemas.openxmlformats.org/package/2006/relationships"><Relationship Type="http://schemas.openxmlformats.org/officeDocument/2006/relationships/table" Target="/xl/tables/table8.xml" Id="R4e76cb23efd84106" /></Relationships>
</file>

<file path=xl/worksheets/_rels/sheet11.xml.rels>&#65279;<?xml version="1.0" encoding="utf-8"?><Relationships xmlns="http://schemas.openxmlformats.org/package/2006/relationships"><Relationship Type="http://schemas.openxmlformats.org/officeDocument/2006/relationships/table" Target="/xl/tables/table9.xml" Id="R6f9ba0ad21c44c60" /></Relationships>
</file>

<file path=xl/worksheets/_rels/sheet13.xml.rels>&#65279;<?xml version="1.0" encoding="utf-8"?><Relationships xmlns="http://schemas.openxmlformats.org/package/2006/relationships"><Relationship Type="http://schemas.openxmlformats.org/officeDocument/2006/relationships/table" Target="/xl/tables/table10.xml" Id="R3e69e8a8b60a409c" /></Relationships>
</file>

<file path=xl/worksheets/_rels/sheet14.xml.rels>&#65279;<?xml version="1.0" encoding="utf-8"?><Relationships xmlns="http://schemas.openxmlformats.org/package/2006/relationships"><Relationship Type="http://schemas.openxmlformats.org/officeDocument/2006/relationships/table" Target="/xl/tables/table11.xml" Id="Rc7b4460fd2c74e77" /></Relationships>
</file>

<file path=xl/worksheets/_rels/sheet15.xml.rels>&#65279;<?xml version="1.0" encoding="utf-8"?><Relationships xmlns="http://schemas.openxmlformats.org/package/2006/relationships"><Relationship Type="http://schemas.openxmlformats.org/officeDocument/2006/relationships/table" Target="/xl/tables/table12.xml" Id="Rb422c2821599401d" /></Relationships>
</file>

<file path=xl/worksheets/_rels/sheet16.xml.rels>&#65279;<?xml version="1.0" encoding="utf-8"?><Relationships xmlns="http://schemas.openxmlformats.org/package/2006/relationships"><Relationship Type="http://schemas.openxmlformats.org/officeDocument/2006/relationships/table" Target="/xl/tables/table13.xml" Id="R917f0b1b641c43a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cc04eef7cf74f58"/>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d57c6871edb437a"/>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281</x:v>
      </x:c>
      <x:c r="D6" s="133" t="inlineStr">
        <x:is>
          <x:t xml:space="preserve">G0A — Corporate platform architecture ready</x:t>
        </x:is>
      </x:c>
      <x:c r="E6" s="32" t="str">
        <x:f>'03 Launch Gates'!D20</x:f>
        <x:v>Completed</x:v>
      </x:c>
      <x:c r="G6" t="inlineStr">
        <x:is>
          <x:t xml:space="preserve">UI Tasks Complete</x:t>
        </x:is>
      </x:c>
      <x:c r="H6" t="n">
        <x:f>SUM(B36:B46)</x:f>
        <x:v>59</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0.7656675749318801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0.7963636363636364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12</x:v>
      </x:c>
      <x:c r="C38" s="133" t="n">
        <x:f>COUNTIFS('01 Master Plan'!C$5:C$383,A38,'01 Master Plan'!H$5:H$383,"In Progress")</x:f>
        <x:v>0</x:v>
      </x:c>
      <x:c r="D38" s="133" t="n">
        <x:f>COUNTIFS('01 Master Plan'!C$5:C$383,A38,'01 Master Plan'!H$5:H$383,"Not Started")</x:f>
        <x:v>5</x:v>
      </x:c>
      <x:c r="E38" s="133" t="n">
        <x:f>COUNTIFS('01 Master Plan'!C$5:C$383,A38,'01 Master Plan'!H$5:H$383,"Blocked")</x:f>
        <x:v>0</x:v>
      </x:c>
      <x:c r="F38" s="133" t="n">
        <x:f>COUNTIFS('01 Master Plan'!C$5:C$383,A38,'01 Master Plan'!H$5:H$383,"Deferred")</x:f>
        <x:v>0</x:v>
      </x:c>
      <x:c r="G38" s="255" t="n">
        <x:f>IFERROR(B38/(B38+C38+D38+E38),0)</x:f>
        <x:v>0.7058823529411765</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81969deec7145a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357207b9647b46d7"/>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b8a94fc5125242f1"/>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ba3d16b6f25442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4b97c787af54f6f"/>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33d9d970d9cd46bb"/>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e76cb23efd84106"/>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6f9ba0ad21c44c6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13C-12 complete: buttons, form controls, date/deadline controls, badges/status chips, card roles, enterprise tables, confirmation dialogs, drawer/side-panel contract, tooltip/popover contract, toast/inline-feedback contract, loading/skeleton/progress contract, and empty-state contract. Next: 13C-13 Standardize error states.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e69e8a8b60a409c"/>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7b4460fd2c74e77"/>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b422c2821599401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17f0b1b641c43a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