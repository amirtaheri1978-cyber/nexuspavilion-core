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16851634ed74c6b" /></Relationships>
</file>

<file path=xl/workbook.xml><?xml version="1.0" encoding="utf-8"?>
<x:workbook xmlns:x="http://schemas.openxmlformats.org/spreadsheetml/2006/main">
  <x:sheets>
    <x:sheet xmlns:r="http://schemas.openxmlformats.org/officeDocument/2006/relationships" name="01 Master Plan" sheetId="1" r:id="R9393fa2b138f43b8"/>
    <x:sheet xmlns:r="http://schemas.openxmlformats.org/officeDocument/2006/relationships" name="03 Launch Gates" sheetId="2" r:id="R84ede3ad13044f10"/>
    <x:sheet xmlns:r="http://schemas.openxmlformats.org/officeDocument/2006/relationships" name="00 Dashboard" sheetId="3" r:id="Rf60c79ef000b4543"/>
    <x:sheet xmlns:r="http://schemas.openxmlformats.org/officeDocument/2006/relationships" name="04 Cursor Tasks" sheetId="4" r:id="Rf05d065606c94135"/>
    <x:sheet xmlns:r="http://schemas.openxmlformats.org/officeDocument/2006/relationships" name="05 UAT Matrix" sheetId="5" r:id="Rcd67697d46fb4f28"/>
    <x:sheet xmlns:r="http://schemas.openxmlformats.org/officeDocument/2006/relationships" name="06 Security Matrix" sheetId="6" r:id="Rd0f7cd04263a4381"/>
    <x:sheet xmlns:r="http://schemas.openxmlformats.org/officeDocument/2006/relationships" name="07 Risks" sheetId="7" r:id="Rb901e43a24f8456f"/>
    <x:sheet xmlns:r="http://schemas.openxmlformats.org/officeDocument/2006/relationships" name="08 Architecture" sheetId="8" r:id="Ra6f7b2edba324fa0"/>
    <x:sheet xmlns:r="http://schemas.openxmlformats.org/officeDocument/2006/relationships" name="09 Release Checklist" sheetId="9" r:id="Rdf3966cf42b84763"/>
    <x:sheet xmlns:r="http://schemas.openxmlformats.org/officeDocument/2006/relationships" name="10 Change Log" sheetId="10" r:id="R361cd6464aed4391"/>
    <x:sheet xmlns:r="http://schemas.openxmlformats.org/officeDocument/2006/relationships" name="11 Scope &amp; Roadmap" sheetId="11" r:id="Re0a01a88819f438a"/>
    <x:sheet xmlns:r="http://schemas.openxmlformats.org/officeDocument/2006/relationships" name="12 How to Use" sheetId="12" r:id="R8833eb4c49fc4a06"/>
    <x:sheet xmlns:r="http://schemas.openxmlformats.org/officeDocument/2006/relationships" name="13 UI Program" sheetId="13" r:id="Rcdada4259fce41cf"/>
    <x:sheet xmlns:r="http://schemas.openxmlformats.org/officeDocument/2006/relationships" name="14 UI Scorecard" sheetId="14" r:id="Rbdd694426d0049be"/>
    <x:sheet xmlns:r="http://schemas.openxmlformats.org/officeDocument/2006/relationships" name="15 Motion Guidance" sheetId="15" r:id="Rd6233eb035b348ab"/>
    <x:sheet xmlns:r="http://schemas.openxmlformats.org/officeDocument/2006/relationships" name="16 Design Standards" sheetId="16" r:id="Rbbb6b17ce8e24370"/>
    <x:sheet xmlns:r="http://schemas.openxmlformats.org/officeDocument/2006/relationships" name="17 Corporate Platform" sheetId="17" r:id="Rceeb62d9a502475b"/>
    <x:sheet xmlns:r="http://schemas.openxmlformats.org/officeDocument/2006/relationships" name="18 Analytics Reuse Map" sheetId="18" r:id="R792812a5364f4118"/>
    <x:sheet xmlns:r="http://schemas.openxmlformats.org/officeDocument/2006/relationships" name="19 Executive Insights Discovery" sheetId="19" r:id="R6e194c32dd3e4279"/>
    <x:sheet xmlns:r="http://schemas.openxmlformats.org/officeDocument/2006/relationships" name="20 Procurement Insights Discovery" sheetId="20" r:id="R047d34d4928a4962"/>
    <x:sheet xmlns:r="http://schemas.openxmlformats.org/officeDocument/2006/relationships" name="21 Commercial Insights Discovery" sheetId="21" r:id="R85571ba85bfb4240"/>
    <x:sheet xmlns:r="http://schemas.openxmlformats.org/officeDocument/2006/relationships" name="22 Project Insights Discovery" sheetId="22" r:id="Rff655e3838104622"/>
    <x:sheet xmlns:r="http://schemas.openxmlformats.org/officeDocument/2006/relationships" name="23 Performance Discovery" sheetId="23" r:id="R8dcbe5d40f9b4bd8"/>
    <x:sheet xmlns:r="http://schemas.openxmlformats.org/officeDocument/2006/relationships" name="24 Risk Compliance Discovery" sheetId="24" r:id="R18f2a76f2f664d67"/>
    <x:sheet xmlns:r="http://schemas.openxmlformats.org/officeDocument/2006/relationships" name="25 Commercial Handoff" sheetId="25" r:id="Rce24f564741f4ace"/>
    <x:sheet xmlns:r="http://schemas.openxmlformats.org/officeDocument/2006/relationships" name="26 RFQ Governance" sheetId="26" r:id="R1613473b7ad049c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bcb6579390f405b" /><Relationship Type="http://schemas.openxmlformats.org/officeDocument/2006/relationships/theme" Target="/xl/theme/theme1.xml" Id="R05fbb09e99554560" /><Relationship Type="http://schemas.openxmlformats.org/officeDocument/2006/relationships/sharedStrings" Target="/xl/sharedStrings.xml" Id="R6bc6922609cc4cd8" /><Relationship Type="http://schemas.openxmlformats.org/officeDocument/2006/relationships/worksheet" Target="/xl/worksheets/sheet1.xml" Id="R9393fa2b138f43b8" /><Relationship Type="http://schemas.openxmlformats.org/officeDocument/2006/relationships/worksheet" Target="/xl/worksheets/sheet2.xml" Id="R84ede3ad13044f10" /><Relationship Type="http://schemas.openxmlformats.org/officeDocument/2006/relationships/worksheet" Target="/xl/worksheets/sheet3.xml" Id="Rf60c79ef000b4543" /><Relationship Type="http://schemas.openxmlformats.org/officeDocument/2006/relationships/worksheet" Target="/xl/worksheets/sheet4.xml" Id="Rf05d065606c94135" /><Relationship Type="http://schemas.openxmlformats.org/officeDocument/2006/relationships/worksheet" Target="/xl/worksheets/sheet5.xml" Id="Rcd67697d46fb4f28" /><Relationship Type="http://schemas.openxmlformats.org/officeDocument/2006/relationships/worksheet" Target="/xl/worksheets/sheet6.xml" Id="Rd0f7cd04263a4381" /><Relationship Type="http://schemas.openxmlformats.org/officeDocument/2006/relationships/worksheet" Target="/xl/worksheets/sheet7.xml" Id="Rb901e43a24f8456f" /><Relationship Type="http://schemas.openxmlformats.org/officeDocument/2006/relationships/worksheet" Target="/xl/worksheets/sheet8.xml" Id="Ra6f7b2edba324fa0" /><Relationship Type="http://schemas.openxmlformats.org/officeDocument/2006/relationships/worksheet" Target="/xl/worksheets/sheet9.xml" Id="Rdf3966cf42b84763" /><Relationship Type="http://schemas.openxmlformats.org/officeDocument/2006/relationships/worksheet" Target="/xl/worksheets/sheet10.xml" Id="R361cd6464aed4391" /><Relationship Type="http://schemas.openxmlformats.org/officeDocument/2006/relationships/worksheet" Target="/xl/worksheets/sheet11.xml" Id="Re0a01a88819f438a" /><Relationship Type="http://schemas.openxmlformats.org/officeDocument/2006/relationships/worksheet" Target="/xl/worksheets/sheet12.xml" Id="R8833eb4c49fc4a06" /><Relationship Type="http://schemas.openxmlformats.org/officeDocument/2006/relationships/worksheet" Target="/xl/worksheets/sheet13.xml" Id="Rcdada4259fce41cf" /><Relationship Type="http://schemas.openxmlformats.org/officeDocument/2006/relationships/worksheet" Target="/xl/worksheets/sheet14.xml" Id="Rbdd694426d0049be" /><Relationship Type="http://schemas.openxmlformats.org/officeDocument/2006/relationships/worksheet" Target="/xl/worksheets/sheet15.xml" Id="Rd6233eb035b348ab" /><Relationship Type="http://schemas.openxmlformats.org/officeDocument/2006/relationships/worksheet" Target="/xl/worksheets/sheet16.xml" Id="Rbbb6b17ce8e24370" /><Relationship Type="http://schemas.openxmlformats.org/officeDocument/2006/relationships/worksheet" Target="/xl/worksheets/sheet17.xml" Id="Rceeb62d9a502475b" /><Relationship Type="http://schemas.openxmlformats.org/officeDocument/2006/relationships/worksheet" Target="/xl/worksheets/sheet18.xml" Id="R792812a5364f4118" /><Relationship Type="http://schemas.openxmlformats.org/officeDocument/2006/relationships/worksheet" Target="/xl/worksheets/sheet19.xml" Id="R6e194c32dd3e4279" /><Relationship Type="http://schemas.openxmlformats.org/officeDocument/2006/relationships/worksheet" Target="/xl/worksheets/sheet20.xml" Id="R047d34d4928a4962" /><Relationship Type="http://schemas.openxmlformats.org/officeDocument/2006/relationships/worksheet" Target="/xl/worksheets/sheet21.xml" Id="R85571ba85bfb4240" /><Relationship Type="http://schemas.openxmlformats.org/officeDocument/2006/relationships/worksheet" Target="/xl/worksheets/sheet22.xml" Id="Rff655e3838104622" /><Relationship Type="http://schemas.openxmlformats.org/officeDocument/2006/relationships/worksheet" Target="/xl/worksheets/sheet23.xml" Id="R8dcbe5d40f9b4bd8" /><Relationship Type="http://schemas.openxmlformats.org/officeDocument/2006/relationships/worksheet" Target="/xl/worksheets/sheet24.xml" Id="R18f2a76f2f664d67" /><Relationship Type="http://schemas.openxmlformats.org/officeDocument/2006/relationships/worksheet" Target="/xl/worksheets/sheet25.xml" Id="Rce24f564741f4ace" /><Relationship Type="http://schemas.openxmlformats.org/officeDocument/2006/relationships/worksheet" Target="/xl/worksheets/sheet26.xml" Id="R1613473b7ad049c9" /></Relationships>
</file>

<file path=xl/drawings/_rels/drawing1.xml.rels>&#65279;<?xml version="1.0" encoding="utf-8"?><Relationships xmlns="http://schemas.openxmlformats.org/package/2006/relationships"><Relationship Type="http://schemas.openxmlformats.org/officeDocument/2006/relationships/chart" Target="/xl/drawings/charts/chart1.xml" Id="R607bd145e5c843e4"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07bd145e5c843e4"/>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5e42c3f778c4fdf" /></Relationships>
</file>

<file path=xl/worksheets/_rels/sheet2.xml.rels>&#65279;<?xml version="1.0" encoding="utf-8"?><Relationships xmlns="http://schemas.openxmlformats.org/package/2006/relationships"><Relationship Type="http://schemas.openxmlformats.org/officeDocument/2006/relationships/table" Target="/xl/tables/table2.xml" Id="R896c0e40edb14678" /></Relationships>
</file>

<file path=xl/worksheets/_rels/sheet3.xml.rels>&#65279;<?xml version="1.0" encoding="utf-8"?><Relationships xmlns="http://schemas.openxmlformats.org/package/2006/relationships"><Relationship Type="http://schemas.openxmlformats.org/officeDocument/2006/relationships/drawing" Target="/xl/drawings/drawing1.xml" Id="R6c85696a018946f2" /></Relationships>
</file>

<file path=xl/worksheets/_rels/sheet4.xml.rels>&#65279;<?xml version="1.0" encoding="utf-8"?><Relationships xmlns="http://schemas.openxmlformats.org/package/2006/relationships"><Relationship Type="http://schemas.openxmlformats.org/officeDocument/2006/relationships/table" Target="/xl/tables/table3.xml" Id="R20531ab26172464b" /></Relationships>
</file>

<file path=xl/worksheets/_rels/sheet5.xml.rels>&#65279;<?xml version="1.0" encoding="utf-8"?><Relationships xmlns="http://schemas.openxmlformats.org/package/2006/relationships"><Relationship Type="http://schemas.openxmlformats.org/officeDocument/2006/relationships/table" Target="/xl/tables/table4.xml" Id="R6bf4b8091fa84fdd" /></Relationships>
</file>

<file path=xl/worksheets/_rels/sheet6.xml.rels>&#65279;<?xml version="1.0" encoding="utf-8"?><Relationships xmlns="http://schemas.openxmlformats.org/package/2006/relationships"><Relationship Type="http://schemas.openxmlformats.org/officeDocument/2006/relationships/table" Target="/xl/tables/table5.xml" Id="R6f42997a2de14f8e" /></Relationships>
</file>

<file path=xl/worksheets/_rels/sheet7.xml.rels>&#65279;<?xml version="1.0" encoding="utf-8"?><Relationships xmlns="http://schemas.openxmlformats.org/package/2006/relationships"><Relationship Type="http://schemas.openxmlformats.org/officeDocument/2006/relationships/table" Target="/xl/tables/table6.xml" Id="Rad9df58429194f89" /></Relationships>
</file>

<file path=xl/worksheets/_rels/sheet9.xml.rels>&#65279;<?xml version="1.0" encoding="utf-8"?><Relationships xmlns="http://schemas.openxmlformats.org/package/2006/relationships"><Relationship Type="http://schemas.openxmlformats.org/officeDocument/2006/relationships/table" Target="/xl/tables/table7.xml" Id="R1ff91273c6c94da1" /></Relationships>
</file>

<file path=xl/worksheets/_rels/sheet10.xml.rels>&#65279;<?xml version="1.0" encoding="utf-8"?><Relationships xmlns="http://schemas.openxmlformats.org/package/2006/relationships"><Relationship Type="http://schemas.openxmlformats.org/officeDocument/2006/relationships/table" Target="/xl/tables/table8.xml" Id="R02d1a88064834b83" /></Relationships>
</file>

<file path=xl/worksheets/_rels/sheet11.xml.rels>&#65279;<?xml version="1.0" encoding="utf-8"?><Relationships xmlns="http://schemas.openxmlformats.org/package/2006/relationships"><Relationship Type="http://schemas.openxmlformats.org/officeDocument/2006/relationships/table" Target="/xl/tables/table9.xml" Id="Rf991adac889a4180" /></Relationships>
</file>

<file path=xl/worksheets/_rels/sheet13.xml.rels>&#65279;<?xml version="1.0" encoding="utf-8"?><Relationships xmlns="http://schemas.openxmlformats.org/package/2006/relationships"><Relationship Type="http://schemas.openxmlformats.org/officeDocument/2006/relationships/table" Target="/xl/tables/table10.xml" Id="Rbbbf7465c4b54af2" /></Relationships>
</file>

<file path=xl/worksheets/_rels/sheet14.xml.rels>&#65279;<?xml version="1.0" encoding="utf-8"?><Relationships xmlns="http://schemas.openxmlformats.org/package/2006/relationships"><Relationship Type="http://schemas.openxmlformats.org/officeDocument/2006/relationships/table" Target="/xl/tables/table11.xml" Id="Rb4cacbe9118240c5" /></Relationships>
</file>

<file path=xl/worksheets/_rels/sheet15.xml.rels>&#65279;<?xml version="1.0" encoding="utf-8"?><Relationships xmlns="http://schemas.openxmlformats.org/package/2006/relationships"><Relationship Type="http://schemas.openxmlformats.org/officeDocument/2006/relationships/table" Target="/xl/tables/table12.xml" Id="R15f5b3ddc88a4cdc" /></Relationships>
</file>

<file path=xl/worksheets/_rels/sheet16.xml.rels>&#65279;<?xml version="1.0" encoding="utf-8"?><Relationships xmlns="http://schemas.openxmlformats.org/package/2006/relationships"><Relationship Type="http://schemas.openxmlformats.org/officeDocument/2006/relationships/table" Target="/xl/tables/table13.xml" Id="R99dd3e7b398e4af9"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f5e42c3f778c4fdf"/>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96c0e40edb1467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278</x:v>
      </x:c>
      <x:c r="D6" s="133" t="inlineStr">
        <x:is>
          <x:t xml:space="preserve">G0A — Corporate platform architecture ready</x:t>
        </x:is>
      </x:c>
      <x:c r="E6" s="32" t="str">
        <x:f>'03 Launch Gates'!D20</x:f>
        <x:v>Completed</x:v>
      </x:c>
      <x:c r="G6" t="inlineStr">
        <x:is>
          <x:t xml:space="preserve">UI Tasks Complete</x:t>
        </x:is>
      </x:c>
      <x:c r="H6" t="n">
        <x:f>SUM(B36:B46)</x:f>
        <x:v>56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0.7574931880108992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0.7854545454545454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9</x:v>
      </x:c>
      <x:c r="C38" s="133" t="n">
        <x:f>COUNTIFS('01 Master Plan'!C$5:C$383,A38,'01 Master Plan'!H$5:H$383,"In Progress")</x:f>
        <x:v>0</x:v>
      </x:c>
      <x:c r="D38" s="133" t="n">
        <x:f>COUNTIFS('01 Master Plan'!C$5:C$383,A38,'01 Master Plan'!H$5:H$383,"Not Started")</x:f>
        <x:v>8</x:v>
      </x:c>
      <x:c r="E38" s="133" t="n">
        <x:f>COUNTIFS('01 Master Plan'!C$5:C$383,A38,'01 Master Plan'!H$5:H$383,"Blocked")</x:f>
        <x:v>0</x:v>
      </x:c>
      <x:c r="F38" s="133" t="n">
        <x:f>COUNTIFS('01 Master Plan'!C$5:C$383,A38,'01 Master Plan'!H$5:H$383,"Deferred")</x:f>
        <x:v>0</x:v>
      </x:c>
      <x:c r="G38" s="255" t="n">
        <x:f>IFERROR(B38/(B38+C38+D38+E38),0)</x:f>
        <x:v>0.5294117647058824</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c85696a018946f2"/>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20531ab26172464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6bf4b8091fa84fdd"/>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f42997a2de14f8e"/>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ad9df58429194f8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1ff91273c6c94da1"/>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02d1a88064834b83"/>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f991adac889a418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through 13C-09 complete: buttons, form controls, date/deadline controls, badges/status chips, card roles, enterprise tables, confirmation dialogs, drawer/side-panel contract, and tooltip/popover contract. Next: 13C-10 Standardize toast/inline feedback.</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bbf7465c4b54af2"/>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b4cacbe9118240c5"/>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15f5b3ddc88a4cdc"/>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99dd3e7b398e4af9"/>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