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fffad9410a84125" /></Relationships>
</file>

<file path=xl/workbook.xml><?xml version="1.0" encoding="utf-8"?>
<x:workbook xmlns:x="http://schemas.openxmlformats.org/spreadsheetml/2006/main">
  <x:sheets>
    <x:sheet xmlns:r="http://schemas.openxmlformats.org/officeDocument/2006/relationships" name="01 Master Plan" sheetId="1" r:id="R456fdaf4c1084e93"/>
    <x:sheet xmlns:r="http://schemas.openxmlformats.org/officeDocument/2006/relationships" name="03 Launch Gates" sheetId="2" r:id="R944f694f9c6542e0"/>
    <x:sheet xmlns:r="http://schemas.openxmlformats.org/officeDocument/2006/relationships" name="00 Dashboard" sheetId="3" r:id="Rc9c6b074d3724587"/>
    <x:sheet xmlns:r="http://schemas.openxmlformats.org/officeDocument/2006/relationships" name="04 Cursor Tasks" sheetId="4" r:id="R800af6a7685f45a9"/>
    <x:sheet xmlns:r="http://schemas.openxmlformats.org/officeDocument/2006/relationships" name="05 UAT Matrix" sheetId="5" r:id="Rcb1ebcfa1de44893"/>
    <x:sheet xmlns:r="http://schemas.openxmlformats.org/officeDocument/2006/relationships" name="06 Security Matrix" sheetId="6" r:id="R202a38acb3a649e8"/>
    <x:sheet xmlns:r="http://schemas.openxmlformats.org/officeDocument/2006/relationships" name="07 Risks" sheetId="7" r:id="R7e31bb49328a423e"/>
    <x:sheet xmlns:r="http://schemas.openxmlformats.org/officeDocument/2006/relationships" name="08 Architecture" sheetId="8" r:id="Re28f25e970b24331"/>
    <x:sheet xmlns:r="http://schemas.openxmlformats.org/officeDocument/2006/relationships" name="09 Release Checklist" sheetId="9" r:id="R954b763769df4876"/>
    <x:sheet xmlns:r="http://schemas.openxmlformats.org/officeDocument/2006/relationships" name="10 Change Log" sheetId="10" r:id="R9115802994334789"/>
    <x:sheet xmlns:r="http://schemas.openxmlformats.org/officeDocument/2006/relationships" name="11 Scope &amp; Roadmap" sheetId="11" r:id="R83f0e6a614ec49a4"/>
    <x:sheet xmlns:r="http://schemas.openxmlformats.org/officeDocument/2006/relationships" name="12 How to Use" sheetId="12" r:id="Re513cde89dac416f"/>
    <x:sheet xmlns:r="http://schemas.openxmlformats.org/officeDocument/2006/relationships" name="13 UI Program" sheetId="13" r:id="R68b983216db34140"/>
    <x:sheet xmlns:r="http://schemas.openxmlformats.org/officeDocument/2006/relationships" name="14 UI Scorecard" sheetId="14" r:id="R7c1b792658c84ee4"/>
    <x:sheet xmlns:r="http://schemas.openxmlformats.org/officeDocument/2006/relationships" name="15 Motion Guidance" sheetId="15" r:id="Re61e25a5c5624e8d"/>
    <x:sheet xmlns:r="http://schemas.openxmlformats.org/officeDocument/2006/relationships" name="16 Design Standards" sheetId="16" r:id="R804038bdc21c46cd"/>
    <x:sheet xmlns:r="http://schemas.openxmlformats.org/officeDocument/2006/relationships" name="17 Corporate Platform" sheetId="17" r:id="Ra32b722dbf09431f"/>
    <x:sheet xmlns:r="http://schemas.openxmlformats.org/officeDocument/2006/relationships" name="18 Analytics Reuse Map" sheetId="18" r:id="Raf4309da3a734185"/>
    <x:sheet xmlns:r="http://schemas.openxmlformats.org/officeDocument/2006/relationships" name="19 Executive Insights Discovery" sheetId="19" r:id="R38bddd21e7bf46fe"/>
    <x:sheet xmlns:r="http://schemas.openxmlformats.org/officeDocument/2006/relationships" name="20 Procurement Insights Discovery" sheetId="20" r:id="R34835c9f257240b1"/>
    <x:sheet xmlns:r="http://schemas.openxmlformats.org/officeDocument/2006/relationships" name="21 Commercial Insights Discovery" sheetId="21" r:id="Rc4ba1f4e37994e7a"/>
    <x:sheet xmlns:r="http://schemas.openxmlformats.org/officeDocument/2006/relationships" name="22 Project Insights Discovery" sheetId="22" r:id="Rd1f8fb1144e94b7f"/>
    <x:sheet xmlns:r="http://schemas.openxmlformats.org/officeDocument/2006/relationships" name="23 Performance Discovery" sheetId="23" r:id="R33109dc623bf40f2"/>
    <x:sheet xmlns:r="http://schemas.openxmlformats.org/officeDocument/2006/relationships" name="24 Risk Compliance Discovery" sheetId="24" r:id="R3c0c7271b5cb4bcc"/>
    <x:sheet xmlns:r="http://schemas.openxmlformats.org/officeDocument/2006/relationships" name="25 Commercial Handoff" sheetId="25" r:id="R3146e9f8693f4a04"/>
    <x:sheet xmlns:r="http://schemas.openxmlformats.org/officeDocument/2006/relationships" name="26 RFQ Governance" sheetId="26" r:id="Ra0999f3dd6484b42"/>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016bf1abec6d4f82" /><Relationship Type="http://schemas.openxmlformats.org/officeDocument/2006/relationships/theme" Target="/xl/theme/theme1.xml" Id="R4f94a887652c43a1" /><Relationship Type="http://schemas.openxmlformats.org/officeDocument/2006/relationships/sharedStrings" Target="/xl/sharedStrings.xml" Id="Rf19d35bb409e4f24" /><Relationship Type="http://schemas.openxmlformats.org/officeDocument/2006/relationships/worksheet" Target="/xl/worksheets/sheet1.xml" Id="R456fdaf4c1084e93" /><Relationship Type="http://schemas.openxmlformats.org/officeDocument/2006/relationships/worksheet" Target="/xl/worksheets/sheet2.xml" Id="R944f694f9c6542e0" /><Relationship Type="http://schemas.openxmlformats.org/officeDocument/2006/relationships/worksheet" Target="/xl/worksheets/sheet3.xml" Id="Rc9c6b074d3724587" /><Relationship Type="http://schemas.openxmlformats.org/officeDocument/2006/relationships/worksheet" Target="/xl/worksheets/sheet4.xml" Id="R800af6a7685f45a9" /><Relationship Type="http://schemas.openxmlformats.org/officeDocument/2006/relationships/worksheet" Target="/xl/worksheets/sheet5.xml" Id="Rcb1ebcfa1de44893" /><Relationship Type="http://schemas.openxmlformats.org/officeDocument/2006/relationships/worksheet" Target="/xl/worksheets/sheet6.xml" Id="R202a38acb3a649e8" /><Relationship Type="http://schemas.openxmlformats.org/officeDocument/2006/relationships/worksheet" Target="/xl/worksheets/sheet7.xml" Id="R7e31bb49328a423e" /><Relationship Type="http://schemas.openxmlformats.org/officeDocument/2006/relationships/worksheet" Target="/xl/worksheets/sheet8.xml" Id="Re28f25e970b24331" /><Relationship Type="http://schemas.openxmlformats.org/officeDocument/2006/relationships/worksheet" Target="/xl/worksheets/sheet9.xml" Id="R954b763769df4876" /><Relationship Type="http://schemas.openxmlformats.org/officeDocument/2006/relationships/worksheet" Target="/xl/worksheets/sheet10.xml" Id="R9115802994334789" /><Relationship Type="http://schemas.openxmlformats.org/officeDocument/2006/relationships/worksheet" Target="/xl/worksheets/sheet11.xml" Id="R83f0e6a614ec49a4" /><Relationship Type="http://schemas.openxmlformats.org/officeDocument/2006/relationships/worksheet" Target="/xl/worksheets/sheet12.xml" Id="Re513cde89dac416f" /><Relationship Type="http://schemas.openxmlformats.org/officeDocument/2006/relationships/worksheet" Target="/xl/worksheets/sheet13.xml" Id="R68b983216db34140" /><Relationship Type="http://schemas.openxmlformats.org/officeDocument/2006/relationships/worksheet" Target="/xl/worksheets/sheet14.xml" Id="R7c1b792658c84ee4" /><Relationship Type="http://schemas.openxmlformats.org/officeDocument/2006/relationships/worksheet" Target="/xl/worksheets/sheet15.xml" Id="Re61e25a5c5624e8d" /><Relationship Type="http://schemas.openxmlformats.org/officeDocument/2006/relationships/worksheet" Target="/xl/worksheets/sheet16.xml" Id="R804038bdc21c46cd" /><Relationship Type="http://schemas.openxmlformats.org/officeDocument/2006/relationships/worksheet" Target="/xl/worksheets/sheet17.xml" Id="Ra32b722dbf09431f" /><Relationship Type="http://schemas.openxmlformats.org/officeDocument/2006/relationships/worksheet" Target="/xl/worksheets/sheet18.xml" Id="Raf4309da3a734185" /><Relationship Type="http://schemas.openxmlformats.org/officeDocument/2006/relationships/worksheet" Target="/xl/worksheets/sheet19.xml" Id="R38bddd21e7bf46fe" /><Relationship Type="http://schemas.openxmlformats.org/officeDocument/2006/relationships/worksheet" Target="/xl/worksheets/sheet20.xml" Id="R34835c9f257240b1" /><Relationship Type="http://schemas.openxmlformats.org/officeDocument/2006/relationships/worksheet" Target="/xl/worksheets/sheet21.xml" Id="Rc4ba1f4e37994e7a" /><Relationship Type="http://schemas.openxmlformats.org/officeDocument/2006/relationships/worksheet" Target="/xl/worksheets/sheet22.xml" Id="Rd1f8fb1144e94b7f" /><Relationship Type="http://schemas.openxmlformats.org/officeDocument/2006/relationships/worksheet" Target="/xl/worksheets/sheet23.xml" Id="R33109dc623bf40f2" /><Relationship Type="http://schemas.openxmlformats.org/officeDocument/2006/relationships/worksheet" Target="/xl/worksheets/sheet24.xml" Id="R3c0c7271b5cb4bcc" /><Relationship Type="http://schemas.openxmlformats.org/officeDocument/2006/relationships/worksheet" Target="/xl/worksheets/sheet25.xml" Id="R3146e9f8693f4a04" /><Relationship Type="http://schemas.openxmlformats.org/officeDocument/2006/relationships/worksheet" Target="/xl/worksheets/sheet26.xml" Id="Ra0999f3dd6484b42" /></Relationships>
</file>

<file path=xl/drawings/_rels/drawing1.xml.rels>&#65279;<?xml version="1.0" encoding="utf-8"?><Relationships xmlns="http://schemas.openxmlformats.org/package/2006/relationships"><Relationship Type="http://schemas.openxmlformats.org/officeDocument/2006/relationships/chart" Target="/xl/drawings/charts/chart1.xml" Id="Rbfa61a1a071f4051"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fa61a1a071f4051"/>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f05bde6e0d1a42e1" /></Relationships>
</file>

<file path=xl/worksheets/_rels/sheet2.xml.rels>&#65279;<?xml version="1.0" encoding="utf-8"?><Relationships xmlns="http://schemas.openxmlformats.org/package/2006/relationships"><Relationship Type="http://schemas.openxmlformats.org/officeDocument/2006/relationships/table" Target="/xl/tables/table2.xml" Id="R36e8dfc2cc924e78" /></Relationships>
</file>

<file path=xl/worksheets/_rels/sheet3.xml.rels>&#65279;<?xml version="1.0" encoding="utf-8"?><Relationships xmlns="http://schemas.openxmlformats.org/package/2006/relationships"><Relationship Type="http://schemas.openxmlformats.org/officeDocument/2006/relationships/drawing" Target="/xl/drawings/drawing1.xml" Id="Rb40fceecfcf54501" /></Relationships>
</file>

<file path=xl/worksheets/_rels/sheet4.xml.rels>&#65279;<?xml version="1.0" encoding="utf-8"?><Relationships xmlns="http://schemas.openxmlformats.org/package/2006/relationships"><Relationship Type="http://schemas.openxmlformats.org/officeDocument/2006/relationships/table" Target="/xl/tables/table3.xml" Id="Rba2fb6a534f741b9" /></Relationships>
</file>

<file path=xl/worksheets/_rels/sheet5.xml.rels>&#65279;<?xml version="1.0" encoding="utf-8"?><Relationships xmlns="http://schemas.openxmlformats.org/package/2006/relationships"><Relationship Type="http://schemas.openxmlformats.org/officeDocument/2006/relationships/table" Target="/xl/tables/table4.xml" Id="Rbad1446a5920461c" /></Relationships>
</file>

<file path=xl/worksheets/_rels/sheet6.xml.rels>&#65279;<?xml version="1.0" encoding="utf-8"?><Relationships xmlns="http://schemas.openxmlformats.org/package/2006/relationships"><Relationship Type="http://schemas.openxmlformats.org/officeDocument/2006/relationships/table" Target="/xl/tables/table5.xml" Id="Rc31caed15ce140ef" /></Relationships>
</file>

<file path=xl/worksheets/_rels/sheet7.xml.rels>&#65279;<?xml version="1.0" encoding="utf-8"?><Relationships xmlns="http://schemas.openxmlformats.org/package/2006/relationships"><Relationship Type="http://schemas.openxmlformats.org/officeDocument/2006/relationships/table" Target="/xl/tables/table6.xml" Id="R74709bd2592d4387" /></Relationships>
</file>

<file path=xl/worksheets/_rels/sheet9.xml.rels>&#65279;<?xml version="1.0" encoding="utf-8"?><Relationships xmlns="http://schemas.openxmlformats.org/package/2006/relationships"><Relationship Type="http://schemas.openxmlformats.org/officeDocument/2006/relationships/table" Target="/xl/tables/table7.xml" Id="Ra45fd99b298443be" /></Relationships>
</file>

<file path=xl/worksheets/_rels/sheet10.xml.rels>&#65279;<?xml version="1.0" encoding="utf-8"?><Relationships xmlns="http://schemas.openxmlformats.org/package/2006/relationships"><Relationship Type="http://schemas.openxmlformats.org/officeDocument/2006/relationships/table" Target="/xl/tables/table8.xml" Id="Rf94722286ae942cc" /></Relationships>
</file>

<file path=xl/worksheets/_rels/sheet11.xml.rels>&#65279;<?xml version="1.0" encoding="utf-8"?><Relationships xmlns="http://schemas.openxmlformats.org/package/2006/relationships"><Relationship Type="http://schemas.openxmlformats.org/officeDocument/2006/relationships/table" Target="/xl/tables/table9.xml" Id="Ra17af865c3c54660" /></Relationships>
</file>

<file path=xl/worksheets/_rels/sheet13.xml.rels>&#65279;<?xml version="1.0" encoding="utf-8"?><Relationships xmlns="http://schemas.openxmlformats.org/package/2006/relationships"><Relationship Type="http://schemas.openxmlformats.org/officeDocument/2006/relationships/table" Target="/xl/tables/table10.xml" Id="R37517fe15b084178" /></Relationships>
</file>

<file path=xl/worksheets/_rels/sheet14.xml.rels>&#65279;<?xml version="1.0" encoding="utf-8"?><Relationships xmlns="http://schemas.openxmlformats.org/package/2006/relationships"><Relationship Type="http://schemas.openxmlformats.org/officeDocument/2006/relationships/table" Target="/xl/tables/table11.xml" Id="R024227306d154701" /></Relationships>
</file>

<file path=xl/worksheets/_rels/sheet15.xml.rels>&#65279;<?xml version="1.0" encoding="utf-8"?><Relationships xmlns="http://schemas.openxmlformats.org/package/2006/relationships"><Relationship Type="http://schemas.openxmlformats.org/officeDocument/2006/relationships/table" Target="/xl/tables/table12.xml" Id="R9392814f43da430b" /></Relationships>
</file>

<file path=xl/worksheets/_rels/sheet16.xml.rels>&#65279;<?xml version="1.0" encoding="utf-8"?><Relationships xmlns="http://schemas.openxmlformats.org/package/2006/relationships"><Relationship Type="http://schemas.openxmlformats.org/officeDocument/2006/relationships/table" Target="/xl/tables/table13.xml" Id="Rd08f71b5e5cd478e"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v>✓</x:v>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str">
        <x:v>Completed</x:v>
      </x:c>
      <x:c r="I279" s="133" t="str">
        <x:v>Project Owner / Product / Engineering</x:v>
      </x:c>
      <x:c r="J279" s="133" t="str"/>
      <x:c r="K279" s="133" t="inlineStr">
        <x:is>
          <x:t xml:space="preserve">13E-01</x:t>
        </x:is>
      </x:c>
      <x:c r="L279" s="133" t="str"/>
      <x:c r="M279" s="133" t="str">
        <x:v>PASS / ADDENDUM PUBLICATION COMPLETION FEEDBACK PUBLISHED — Commit 8179c3939f2be8559f888142396a272d8fa03f19 changes only src/components/rfq-addenda-manager.tsx and src/components/rfq-workspace/rfq-addenda-manager.test.ts. The existing stable Addendum publication success state now reuses ExecutiveCompletionMoment and truthfully separates publication confirmation, acknowledgement implication, and returned notification delivery outcomes.</x:v>
      </x:c>
      <x:c r="N279" s="249" t="n"/>
      <x:c r="O279" s="249" t="n">
        <x:v>46296</x:v>
      </x:c>
      <x:c r="P279" s="135" t="str">
        <x:v>Validation before publication: focused addenda tests PASS (6), lint PASS, build PASS, git diff --check PASS. Boundary diagnosis found clean 13E-06 hunks mixed with pre-existing governed-handoff work; a temporary-index isolation check proved the task stands independently from HEAD and the isolated focused test PASS. Remote verification confirmed parent 43db5aa9a77546f805085e25cf68f56fde562781 and exactly two authorized files. Existing POST /api/rfq-addenda request, payload, validation, create lock, loading, error handling, list insertion, form reset, acknowledgement execution flow, RFQ lifecycle, deadline/commercial-lock, authorization, Workspace Membership, routes and Corporate scope remain unchanged. Publication remains confirmed even when notification delivery reports skipped/failed outcomes; no next action, route, supplier count or acknowledgement count was invented. Next executable canonical task: 13E-07 — Implement quote/proposal submitted completion moment.</x:v>
      </x:c>
    </x:row>
    <x:row r="280">
      <x:c r="A280" s="133" t="str">
        <x:f>IF(H280="Completed","✓",IF(H280="Blocked","!",""))</x:f>
        <x:v>!</x:v>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str">
        <x:v>Blocked</x:v>
      </x:c>
      <x:c r="I280" s="133" t="str">
        <x:v>Project Owner / Product / Engineering</x:v>
      </x:c>
      <x:c r="J280" s="133" t="str"/>
      <x:c r="K280" s="133" t="inlineStr">
        <x:is>
          <x:t xml:space="preserve">13E-01</x:t>
        </x:is>
      </x:c>
      <x:c r="L280" s="133" t="str"/>
      <x:c r="M280" s="133" t="str">
        <x:v>BLOCKED / NO STABLE QUOTE-SUBMISSION COMPLETION SURFACE — Read-only inspection at HEAD 777656999c0138dcd5b02a3d2d80709e44d1e049 confirmed the canonical respondent submit workspace uses /api/quotes and immediately router.push(`/rfq/${slug}`) plus router.refresh() after successful new submission, revised resubmission, or reconfirmation. The returned POST response contains truthful quote identity/state and the PATCH revalidation response contains truthful quote/revalidation identity/time, but no stable existing success host remains on the submit surface for ExecutiveCompletionMoment.</x:v>
      </x:c>
      <x:c r="N280" s="249" t="n"/>
      <x:c r="O280" s="249" t="n">
        <x:v>46296</x:v>
      </x:c>
      <x:c r="P280" s="135" t="str">
        <x:v>No files changed. Tests/lint/build/diff-check were not rerun because implementation stopped at the explicit early-stop condition. Existing quote POST/PATCH behavior, deadline/addenda acknowledgement gates, authorization, confidentiality, duplicate-submission protection, payload/schema, quote revalidation, routes and Workspace Membership remain unchanged. A completion moment with ID/time and next tracking action would require changing the existing auto-navigation/state contract or introducing a new stable post-submit state. Unblock criterion: an approved stable post-submission success state must exist, or the navigation contract must be explicitly changed in a separate governed task. Next executable canonical task: 13E-08 — Implement award completion feedback.</x:v>
      </x:c>
    </x:row>
    <x:row r="281">
      <x:c r="A281" s="133" t="str">
        <x:f>IF(H281="Completed","✓",IF(H281="Blocked","!",""))</x:f>
        <x:v>!</x:v>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str">
        <x:v>Blocked</x:v>
      </x:c>
      <x:c r="I281" s="133" t="str">
        <x:v>Project Owner / Product / Engineering</x:v>
      </x:c>
      <x:c r="J281" s="133" t="str"/>
      <x:c r="K281" s="133" t="inlineStr">
        <x:is>
          <x:t xml:space="preserve">13E-01</x:t>
        </x:is>
      </x:c>
      <x:c r="L281" s="133" t="str"/>
      <x:c r="M281" s="133" t="str">
        <x:v>BLOCKED / NO STABLE AWARD-COMPLETION SURFACE — Read-only inspection at HEAD 0963d89958730d96ead64406f4cea3da0e754e28 confirmed AwardContractButton closes the confirmation dialog and immediately navigates to data.redirectTo or /rfq/{slug}, followed by router.refresh(), after a successful POST /api/award-contract. The API returns truthful awardedQuote, RFQ, redirectTo, Buyer/Supplier notification outcomes and warnings, but no stable existing success host remains on the award control surface for ExecutiveCompletionMoment.</x:v>
      </x:c>
      <x:c r="N281" s="249" t="n"/>
      <x:c r="O281" s="249" t="n">
        <x:v>46296</x:v>
      </x:c>
      <x:c r="P281" s="135" t="str">
        <x:v>No files changed. Tests/lint/build/diff-check were not rerun because implementation stopped at the explicit early-stop condition. Existing award RPC/API behavior, authorization, deadline/commercial-opening governance, Buyer/Supplier notification delivery, audit warnings, RFQ/Quote state transition, routes and Workspace Membership remain unchanged. Presenting an award completion moment and transition to commercial handoff would require changing the current post-award navigation/state contract or introducing a stable post-award success state. Unblock criterion: an approved stable post-award success state must exist, or the navigation contract must be explicitly changed in a separate governed task. Next executable canonical task: 13E-09 — Create processing-state pattern.</x:v>
      </x:c>
    </x:row>
    <x:row r="282">
      <x:c r="A282" s="133" t="str">
        <x:v>✓</x:v>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str">
        <x:v>Completed</x:v>
      </x:c>
      <x:c r="I282" s="133" t="str">
        <x:v>Project Owner / Product / Engineering</x:v>
      </x:c>
      <x:c r="J282" s="133" t="str"/>
      <x:c r="K282" s="133" t="inlineStr">
        <x:is>
          <x:t xml:space="preserve">13E-01</x:t>
        </x:is>
      </x:c>
      <x:c r="L282" s="133" t="str"/>
      <x:c r="M282" s="133" t="str">
        <x:v>PASS / EXISTING PROCESSING-STATE PATTERN VERIFIED — Read-only verification at HEAD d992098031a6468c90ec6babe6276b9b69985249 confirmed ExecutiveCompletionMoment already provides the reusable processing-state contract required by 13E-09. The existing `processing` state sets aria-busy, uses the shared informational feedback/live-region contract, and can render caller-provided real progress through ExecutiveProgress.</x:v>
      </x:c>
      <x:c r="N282" s="249" t="n"/>
      <x:c r="O282" s="249" t="n">
        <x:v>46296</x:v>
      </x:c>
      <x:c r="P282" s="135" t="str">
        <x:v>No source files changed. Existing focused ExecutiveCompletionMoment tests already verify processing before confirmed state, conditional ExecutiveProgress rendering, aria-busy/live-region semantics, shared motion tokens and motion-reduce behavior. The component owns no fetch/async workflow, timers, setTimeout, auto-navigation or fabricated stages, so fast actions do not gain fake delays; callers may show progress only when they have truthful progress values. No duplicate processing component was created. Next executable canonical task: 13E-10 — Standardize success animation.</x:v>
      </x:c>
    </x:row>
    <x:row r="283">
      <x:c r="A283" s="133" t="str">
        <x:v>✓</x:v>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str">
        <x:v>Completed</x:v>
      </x:c>
      <x:c r="I283" s="133" t="str">
        <x:v>Project Owner / Product / Engineering</x:v>
      </x:c>
      <x:c r="J283" s="133" t="str"/>
      <x:c r="K283" s="133" t="inlineStr">
        <x:is>
          <x:t xml:space="preserve">13B-10</x:t>
        </x:is>
      </x:c>
      <x:c r="L283" s="133" t="str"/>
      <x:c r="M283" s="133" t="str">
        <x:v>PASS / EXECUTIVE ATTENTION MOTION PATTERN PUBLISHED — Commit 786e7e3cdeb36e120b91624a78da6f6866a677e3 changes only src/lib/design-system/executive-contract.ts, src/app/globals.css, and src/lib/design-system/executive-contract.test.ts. A shared `np-attention` contract now provides a subtle one-shot warning/gold/cyan wash-and-edge highlight using existing executive motion tokens.</x:v>
      </x:c>
      <x:c r="N283" s="249" t="n"/>
      <x:c r="O283" s="249" t="n">
        <x:v>46296</x:v>
      </x:c>
      <x:c r="P283" s="135" t="str">
        <x:v>Validation before publication: focused design-system tests PASS (34), lint PASS, build PASS, git diff --check PASS; all three files CLEAN-SCOPE. Remote verification confirmed parent 4e1e770f3d456078839415265923ca3152742980 and exactly three authorized files. Animation iteration count is one, uses existing context/milestone durations and standard easing, returns to a static transparent state, and is disabled by the existing global prefers-reduced-motion contract. No infinite loop, scale, bounce, confetti, React component, product-page integration, token-value change, business logic, authorization, route or domain behavior was introduced. Next executable canonical task: 13E-11 — Standardize error/recovery motion.</x:v>
      </x:c>
    </x:row>
    <x:row r="284">
      <x:c r="A284" s="133" t="str">
        <x:v>✓</x:v>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str">
        <x:v>Completed</x:v>
      </x:c>
      <x:c r="I284" s="133" t="str">
        <x:v>Project Owner / Product / Engineering</x:v>
      </x:c>
      <x:c r="J284" s="133" t="str"/>
      <x:c r="K284" s="133" t="inlineStr">
        <x:is>
          <x:t xml:space="preserve">13B-10</x:t>
        </x:is>
      </x:c>
      <x:c r="L284" s="133" t="str"/>
      <x:c r="M284" s="133" t="str">
        <x:v>PASS / EXECUTIVE ERROR-RECOVERY PATTERN PUBLISHED — Commit fb37b1af5a4866327d444be6e9bab9364448dd42 changes only src/components/executive/executive-error-recovery.tsx, src/components/executive/executive-error-recovery.test.ts, src/lib/design-system/executive-contract.ts, and src/app/globals.css. A reusable presentation-only ExecutiveErrorRecovery primitive now reuses existing executive error contracts, supports caller-owned recovery copy/action and optional caller-owned focus transfer, and adds a subtle one-shot error highlight.</x:v>
      </x:c>
      <x:c r="N284" s="249" t="n"/>
      <x:c r="O284" s="249" t="n">
        <x:v>46296</x:v>
      </x:c>
      <x:c r="P284" s="135" t="str">
        <x:v>Validation before publication: focused tests PASS (5), lint PASS, build PASS, git diff --check PASS; all four files CLEAN-SCOPE. Remote verification confirmed parent 1af7bfdc537b640e8b9df84df2f142ca84b06218 and exactly four authorized files. The primitive owns no fetch/API, router/navigation, business logic, timers, or product-specific behavior. Focus moves only to a caller-provided target when active. The error highlight runs once, uses existing context/milestone durations and standard easing, returns to static state, and is disabled by the existing global reduced-motion policy. No product-page integration or existing token-value change was introduced. Next executable canonical task: 13E-12 — Set animation performance budget.</x:v>
      </x:c>
    </x:row>
    <x:row r="285">
      <x:c r="A285" s="133" t="str">
        <x:v>✓</x:v>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str">
        <x:v>Completed</x:v>
      </x:c>
      <x:c r="I285" s="133" t="str">
        <x:v>Project Owner / Product / Engineering</x:v>
      </x:c>
      <x:c r="J285" s="133" t="str"/>
      <x:c r="K285" s="133" t="inlineStr">
        <x:is>
          <x:t xml:space="preserve">13E-01</x:t>
        </x:is>
      </x:c>
      <x:c r="L285" s="133" t="str"/>
      <x:c r="M285" s="133" t="str">
        <x:v>PASS / EXECUTIVE MOTION PERFORMANCE BUDGET PUBLISHED — Commit 4afa4545e4f9cee1697d584311e6e6ceb6b8f21a changes only src/app/globals.css, src/lib/design-system/executive-contract.ts, src/lib/design-system/executive-contract.test.ts, and src/components/executive/executive-error-recovery.test.ts. The shared attention/recovery patterns now render their warning/risk visual state on non-interactive pseudo-element overlays and animate opacity only; the shared contract records opacity/transform as the permitted core motion performance properties and pointer-events:none for overlays.</x:v>
      </x:c>
      <x:c r="N285" s="249" t="n"/>
      <x:c r="O285" s="249" t="n">
        <x:v>46296</x:v>
      </x:c>
      <x:c r="P285" s="135" t="str">
        <x:v>Validation before publication: focused tests PASS (39), lint PASS, build PASS, git diff --check PASS; all four files CLEAN-SCOPE. Remote verification confirmed parent 00d4663dbd4da1126867f89acc830ee788a8a5b6 and exactly four authorized files. Attention/recovery remain one-shot; no animated background-color, box-shadow or layout properties remain in keyframes; overlays use pointer-events:none and therefore do not block interaction. Existing motion duration/easing token values and the global reduced-motion policy remain unchanged. No runtime instrumentation, timers, product-page integration, business logic, authorization, route or domain behavior changed. Next executable canonical task: 13E-13 — Reduced-motion QA for all milestone/attention patterns.</x:v>
      </x:c>
    </x:row>
    <x:row r="286">
      <x:c r="A286" s="133" t="str">
        <x:v>✓</x:v>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str">
        <x:v>Completed</x:v>
      </x:c>
      <x:c r="I286" s="133" t="str">
        <x:v>Project Owner / Product / Engineering</x:v>
      </x:c>
      <x:c r="J286" s="133" t="str"/>
      <x:c r="K286" s="133" t="inlineStr">
        <x:is>
          <x:t xml:space="preserve">13E-12</x:t>
        </x:is>
      </x:c>
      <x:c r="L286" s="133" t="str"/>
      <x:c r="M286" s="133" t="str">
        <x:v>PASS / REDUCED-MOTION QA PUBLISHED — Commit 15a6f528cad2fcacf3f0d37745ce76956f469893 changes only src/app/globals.css, src/lib/design-system/executive-contract.test.ts, src/components/executive/executive-error-recovery.test.ts, and src/components/executive/executive-completion-moment.test.ts. Under prefers-reduced-motion, Attention and Error Recovery now retain visible static overlays while animation remains globally disabled; Completion Moment remains fully understandable through its status, title, summary, detail and caller actions without depending on motion.</x:v>
      </x:c>
      <x:c r="N286" s="249" t="n"/>
      <x:c r="O286" s="249" t="n">
        <x:v>46296</x:v>
      </x:c>
      <x:c r="P286" s="135" t="str">
        <x:v>Validation before publication: focused tests PASS (42), lint PASS, build PASS, git diff --check PASS; all four files CLEAN-SCOPE. Remote verification confirmed parent becdb875cc9665e242ef1785ff710293154ba15f and exactly four authorized files. Normal-motion behavior and motion token values remain unchanged; no runtime media-query detection, requestAnimationFrame, timers, new components, product-page integration, business logic, authorization, route or domain behavior changed. Phase 13E executable work is exhausted, but 13E-02, 13E-03, 13E-07 and 13E-08 remain BLOCKED/Open pending approved stable completion-state/navigation contracts. Next executable canonical task: 13F-01 — Define five-level guidance model.</x:v>
      </x:c>
    </x:row>
    <x:row r="287">
      <x:c r="A287" s="133" t="str">
        <x:v>✓</x:v>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str">
        <x:v>Completed</x:v>
      </x:c>
      <x:c r="I287" s="133" t="str">
        <x:v>Project Owner / Product / Engineering</x:v>
      </x:c>
      <x:c r="J287" s="133" t="inlineStr">
        <x:is>
          <x:t xml:space="preserve">Cursor UI 07</x:t>
        </x:is>
      </x:c>
      <x:c r="K287" s="133" t="inlineStr">
        <x:is>
          <x:t xml:space="preserve">13D-10</x:t>
        </x:is>
      </x:c>
      <x:c r="L287" s="133" t="str"/>
      <x:c r="M287" s="133" t="str">
        <x:v>PASS / FIVE-LEVEL EXECUTIVE GUIDANCE MODEL PUBLISHED — Commit 2e653196cbcf1dc73938f0c2f955c924264cb751 adds exactly two domain-neutral files: src/lib/guidance/executive-guidance-model.ts and src/lib/guidance/executive-guidance-model.test.ts. The shared contract defines exactly five stable levels: L0 Silent Intelligence, L1 Inline Hint, L2 Guidance Card, L3 Anchored Coachmark, and L4 Interactive Nexus Guide, with typed purpose, interaction, proactive eligibility, interruption, persistence, visibility, modality, blocking and consequential-action boundaries.</x:v>
      </x:c>
      <x:c r="N287" s="249" t="n"/>
      <x:c r="O287" s="249" t="n">
        <x:v>46296</x:v>
      </x:c>
      <x:c r="P287" s="135" t="str">
        <x:v>Validation before publication: focused tests PASS (5), lint PASS, build PASS, git diff --check PASS; both files CLEAN-SCOPE. Remote verification confirmed parent 0d332523a7b478fa7ad116123c327bd7684e3005 and exactly two authorized files. No RFQ/procurement/business-specific logic, React/UI components, eligibility/frequency/memory implementation, routes, API, database, auth, Ask Nexus implementation or product-page integration was introduced. L4 remains explicitly user-requested and all levels are non-blocking, do not invent controls and do not perform consequential actions. Next executable canonical task: 13F-02 — Implement guidance eligibility rules.</x:v>
      </x:c>
    </x:row>
    <x:row r="288">
      <x:c r="A288" s="133" t="str">
        <x:v>✓</x:v>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str">
        <x:v>Completed</x:v>
      </x:c>
      <x:c r="I288" s="133" t="str">
        <x:v>Project Owner / Product / Engineering</x:v>
      </x:c>
      <x:c r="J288" s="133" t="str"/>
      <x:c r="K288" s="133" t="inlineStr">
        <x:is>
          <x:t xml:space="preserve">13F-01</x:t>
        </x:is>
      </x:c>
      <x:c r="L288" s="133" t="str"/>
      <x:c r="M288" s="133" t="str">
        <x:v>PASS / EXECUTIVE GUIDANCE ELIGIBILITY RULES PUBLISHED — Commit f8b53f587c14e2049e1c6ea52db10c0ac6d179d8 adds exactly two domain-neutral files: src/lib/guidance/executive-guidance-eligibility.ts and src/lib/guidance/executive-guidance-eligibility.test.ts. The closed eligibility contract defines exactly five canonical contexts: FIRST_TIME, CHANGE, RISK, INCOMPLETE and REQUESTED. FIRST_TIME/CHANGE/RISK/INCOMPLETE are eligible proactive contexts; REQUESTED is eligible but explicitly user-requested and non-proactive; unknown/empty values are ineligible.</x:v>
      </x:c>
      <x:c r="N288" s="249" t="n"/>
      <x:c r="O288" s="249" t="n">
        <x:v>46296</x:v>
      </x:c>
      <x:c r="P288" s="135" t="str">
        <x:v>Validation before publication: focused tests PASS (5), lint PASS, build PASS, git diff --check PASS; both files CLEAN-SCOPE. Remote verification confirmed parent 9da88f195e33742113f39f4841dbdc313a6cc07c and exactly two authorized files. No RFQ/procurement/business-specific logic, frequency controls, seen/dismissed/snoozed memory, persistence, React/UI components, routes, API, database, auth, Ask Nexus behavior or product integration was introduced. Next executable canonical task: 13F-03 — Implement guidance frequency controls.</x:v>
      </x:c>
    </x:row>
    <x:row r="289">
      <x:c r="A289" s="133" t="str">
        <x:v>✓</x:v>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str">
        <x:v>Completed</x:v>
      </x:c>
      <x:c r="I289" s="133" t="str">
        <x:v>Project Owner / Product / Engineering</x:v>
      </x:c>
      <x:c r="J289" s="133" t="str"/>
      <x:c r="K289" s="133" t="inlineStr">
        <x:is>
          <x:t xml:space="preserve">13F-02</x:t>
        </x:is>
      </x:c>
      <x:c r="L289" s="133" t="str"/>
      <x:c r="M289" s="133" t="str">
        <x:v>PASS / EXECUTIVE GUIDANCE FREQUENCY CONTROLS PUBLISHED — Commit b94f88cf7c1d713310ed582b6f048beaa0839362 adds exactly two domain-neutral files: src/lib/guidance/executive-guidance-frequency.ts and src/lib/guidance/executive-guidance-frequency.test.ts. The pure caller-state contract enforces a proactive page-load quota of one, keeps REQUESTED guidance independent of that quota, blocks dismissed/completed L3 anchored coachmarks, and rejects unknown/ineligible contexts without consuming quota.</x:v>
      </x:c>
      <x:c r="N289" s="249" t="n"/>
      <x:c r="O289" s="249" t="n">
        <x:v>46296</x:v>
      </x:c>
      <x:c r="P289" s="135" t="str">
        <x:v>Validation before publication: focused tests PASS (7), lint PASS, build PASS, git diff --check PASS; both files CLEAN-SCOPE. Remote verification confirmed parent d3519bcc850fcf6ced4c57e25351e8da7d106f8d and exactly two authorized files. No localStorage/sessionStorage/cookies/indexedDB/database persistence, snooze/timestamp/cooldown logic, React/hooks/context, UI components, routes, API, auth, Ask Nexus behavior or product integration was introduced. Non-coachmark dismissal/completion semantics were not invented. Next executable canonical task: 13F-04 — Implement seen/dismissed/snoozed guidance memory.</x:v>
      </x:c>
    </x:row>
    <x:row r="290">
      <x:c r="A290" s="133" t="str">
        <x:v>✓</x:v>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str">
        <x:v>Completed</x:v>
      </x:c>
      <x:c r="I290" s="133" t="str">
        <x:v>Project Owner / Product / Engineering</x:v>
      </x:c>
      <x:c r="J290" s="133" t="str"/>
      <x:c r="K290" s="133" t="inlineStr">
        <x:is>
          <x:t xml:space="preserve">13F-03</x:t>
        </x:is>
      </x:c>
      <x:c r="L290" s="133" t="str"/>
      <x:c r="M290" s="133" t="str">
        <x:v>PASS / EXECUTIVE GUIDANCE MEMORY CONTRACT PUBLISHED — Commit 61e8f84005b4884d96b18a00df476038ea6dead7 adds exactly two domain-neutral files: src/lib/guidance/executive-guidance-memory.ts and src/lib/guidance/executive-guidance-memory.test.ts. The caller-owned contract defines unseen, seen, dismissed, snoozed and completed states; seen does not permanently suppress; dismissed/completed suppress repeat tutorial guidance; snoozed suppresses only until caller-provided snoozedUntil and then reopens consideration.</x:v>
      </x:c>
      <x:c r="N290" s="249" t="n"/>
      <x:c r="O290" s="249" t="n">
        <x:v>46296</x:v>
      </x:c>
      <x:c r="P290" s="135" t="str">
        <x:v>Validation before publication: focused tests PASS (6), lint PASS, build PASS, git diff --check PASS; both files CLEAN-SCOPE. Remote verification confirmed parent f7fd16450bebca44149b810091d2300ec9a918fe and exactly two authorized files. Remind Me Later maps to snoozed, invalid/missing snooze deadlines fail safely without indefinite suppression, and all time evaluation uses caller-provided now. No localStorage/sessionStorage/cookies/indexedDB/database/Supabase persistence, hidden clocks, timers, React/hooks/context, UI components, routes, API, auth, Ask Nexus behavior or product integration was introduced. Next executable canonical task: 13F-05 — Create inline hint component.</x:v>
      </x:c>
    </x:row>
    <x:row r="291">
      <x:c r="A291" s="133" t="str">
        <x:v>✓</x:v>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str">
        <x:v>Completed</x:v>
      </x:c>
      <x:c r="I291" s="133" t="str">
        <x:v>Project Owner / Product / Engineering</x:v>
      </x:c>
      <x:c r="J291" s="133" t="str"/>
      <x:c r="K291" s="133" t="inlineStr">
        <x:is>
          <x:t xml:space="preserve">13C-09</x:t>
        </x:is>
      </x:c>
      <x:c r="L291" s="133" t="str"/>
      <x:c r="M291" s="133" t="str">
        <x:v>PASS / EXECUTIVE INLINE HINT COMPONENT PUBLISHED — Commit d1793c8253449ad4d71aedf6908e44daf057461c adds exactly two files: src/components/executive/executive-inline-hint.tsx and src/components/executive/executive-inline-hint.test.ts. ExecutiveInlineHint is a reusable L1 presentation-only contextual hint that reuses EXECUTIVE_FORM_HELPER, accepts caller-provided id for aria-describedby associations, wraps long text responsively, and remains always-visible, non-modal and non-blocking.</x:v>
      </x:c>
      <x:c r="N291" s="249" t="n"/>
      <x:c r="O291" s="249" t="n">
        <x:v>46296</x:v>
      </x:c>
      <x:c r="P291" s="135" t="str">
        <x:v>Validation before publication: focused tests PASS (5), lint PASS, build PASS, git diff --check PASS; both files CLEAN-SCOPE. Remote verification confirmed parent 135770ecd32f94a8003e210f5b893aa58c5ae0a2 and exactly two authorized files. No buttons/links/dialogs/popovers/tooltips/live regions, React state/hooks, routing, requests, timers, eligibility/frequency/memory ownership, new design tokens, RFQ/procurement-specific logic or product-page integration was introduced. Next executable canonical task: 13F-06 — Create contextual guidance card.</x:v>
      </x:c>
    </x:row>
    <x:row r="292">
      <x:c r="A292" s="133" t="str">
        <x:v>✓</x:v>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str">
        <x:v>Completed</x:v>
      </x:c>
      <x:c r="I292" s="133" t="str">
        <x:v>Project Owner / Product / Engineering</x:v>
      </x:c>
      <x:c r="J292" s="133" t="str"/>
      <x:c r="K292" s="133" t="inlineStr">
        <x:is>
          <x:t xml:space="preserve">13C-15</x:t>
        </x:is>
      </x:c>
      <x:c r="L292" s="133" t="str"/>
      <x:c r="M292" s="133" t="str">
        <x:v>PASS / EXECUTIVE CONTEXTUAL GUIDANCE CARD PUBLISHED — Commit f90844661a664a12354c2a239c6aec9c3ce2ab0e adds exactly two files: src/components/executive/executive-guidance-card.tsx and src/components/executive/executive-guidance-card.test.ts. ExecutiveGuidanceCard is a reusable L2 embedded guidance primitive built on ExecutivePanel with optional caller-owned Review and Dismiss actions using the shared EXECUTIVE_BUTTON_SECONDARY and EXECUTIVE_BUTTON_TERTIARY contracts.</x:v>
      </x:c>
      <x:c r="N292" s="249" t="n"/>
      <x:c r="O292" s="249" t="n">
        <x:v>46296</x:v>
      </x:c>
      <x:c r="P292" s="135" t="str">
        <x:v>Validation before publication: focused tests PASS (6), lint PASS, build PASS, git diff --check PASS; both files CLEAN-SCOPE. Remote verification confirmed parent c0998c1973e833e7fb6b58c63b01f940a3fef65c and exactly two authorized files. The card remains embedded, non-modal and non-blocking; action buttons render only when both label and handler are supplied and use type=button. No component-owned state, routing, persistence, eligibility/frequency/memory logic, new design tokens, API/database/auth, RFQ/procurement-specific behavior or product-page integration was introduced. Next executable canonical task: 13F-07 — Create anchored first-use coachmark.</x:v>
      </x:c>
    </x:row>
    <x:row r="293">
      <x:c r="A293" s="133" t="str">
        <x:v>✓</x:v>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str">
        <x:v>Completed</x:v>
      </x:c>
      <x:c r="I293" s="133" t="str">
        <x:v>Project Owner / Product / Engineering</x:v>
      </x:c>
      <x:c r="J293" s="133" t="str"/>
      <x:c r="K293" s="133" t="inlineStr">
        <x:is>
          <x:t xml:space="preserve">13F-04</x:t>
        </x:is>
      </x:c>
      <x:c r="L293" s="133" t="str"/>
      <x:c r="M293" s="133" t="str">
        <x:v>PASS / EXECUTIVE ANCHORED COACHMARK PUBLISHED — Commit 397bbfcfaecaec1c34c19f3a1863b983ff55f75a adds exactly two files: src/components/executive/executive-coachmark.tsx and src/components/executive/executive-coachmark.test.ts. ExecutiveCoachmark is a reusable L3 caller-controlled anchored coachmark that preserves the real caller-provided anchor, renders only when open, and reuses EXECUTIVE_POPOVER_SURFACE / PLACEMENT / MOTION plus shared executive button contracts.</x:v>
      </x:c>
      <x:c r="N293" s="249" t="n"/>
      <x:c r="O293" s="249" t="n">
        <x:v>46296</x:v>
      </x:c>
      <x:c r="P293" s="135" t="str">
        <x:v>Validation before publication: focused tests PASS (7), lint PASS, build PASS, git diff --check PASS; both files CLEAN-SCOPE. Remote verification confirmed parent 9e51861f692f17c478f6148c11c931ea303c7bef and exactly two authorized files. The coachmark is non-modal with no overlay, portal, dialog role, focus trap or invented anchor; open/replay state and optional action/dismiss effects remain caller-owned. No eligibility/frequency/memory/persistence, Help system, routing, API/database/auth, RFQ/procurement-specific behavior or product-page integration was introduced. Next executable canonical task: 13F-08 — Create Nexus Guide side panel.</x:v>
      </x:c>
    </x:row>
    <x:row r="294">
      <x:c r="A294" s="133" t="str">
        <x:v>✓</x:v>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str">
        <x:v>Completed</x:v>
      </x:c>
      <x:c r="I294" s="133" t="str">
        <x:v>Project Owner / Product / Engineering</x:v>
      </x:c>
      <x:c r="J294" s="133" t="str"/>
      <x:c r="K294" s="133" t="inlineStr">
        <x:is>
          <x:t xml:space="preserve">13C-08</x:t>
        </x:is>
      </x:c>
      <x:c r="L294" s="133" t="str"/>
      <x:c r="M294" s="133" t="str">
        <x:v>PASS / EXECUTIVE NEXUS GUIDE PANEL PUBLISHED — Commit aa358c01d7f4869a5ae2e77cb00ea62bc85478b4 adds exactly two files: src/components/executive/executive-nexus-guide.tsx and src/components/executive/executive-nexus-guide.test.ts. ExecutiveNexusGuide is a reusable caller-controlled side panel built on the shared Executive Drawer contracts and presents only caller-supplied workflow, readiness, attention items, suggested next step, and optional action nodes.</x:v>
      </x:c>
      <x:c r="N294" s="249" t="n"/>
      <x:c r="O294" s="249" t="n">
        <x:v>46296</x:v>
      </x:c>
      <x:c r="P294" s="135" t="str">
        <x:v>Validation before publication: focused tests PASS (6), lint PASS, build PASS, git diff --check PASS; both files CLEAN-SCOPE. Remote verification confirmed parent 23d90057f02902b319ae75397529400e9ce5a17e and exactly two authorized files. Closed state renders nothing; empty sections are omitted; close is a caller-owned type=button control; long content wraps responsively. No AI/Ask Nexus/chat/prompt behavior, workflow/readiness/risk inference, fetching/data loading, routing/deep-link generation, eligibility/frequency/memory ownership, persistence/storage, API/database/auth, RFQ/procurement logic, new design tokens or product-page integration was introduced. Next executable canonical task: 13F-09 — Add RFI/clarification contextual guidance.</x:v>
      </x:c>
    </x:row>
    <x:row r="295">
      <x:c r="A295" s="133" t="str">
        <x:v>✓</x:v>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str">
        <x:v>Completed</x:v>
      </x:c>
      <x:c r="I295" s="133" t="str">
        <x:v>Project Owner / Product / Engineering</x:v>
      </x:c>
      <x:c r="J295" s="133" t="str"/>
      <x:c r="K295" s="133" t="inlineStr">
        <x:is>
          <x:t xml:space="preserve">13F-06</x:t>
        </x:is>
      </x:c>
      <x:c r="L295" s="133" t="str"/>
      <x:c r="M295" s="133" t="str">
        <x:v>PASS / RFI CONTEXTUAL GUIDANCE PUBLISHED — Commit 0bc78e96f7dcbe425f27548f964f10e4e7c31477 changes exactly four authorized files: src/lib/guidance/rfi-contextual-guidance.ts, src/lib/guidance/rfi-contextual-guidance.test.ts, src/components/rfq-workspace/rfq-rfi-workspace.tsx, and src/components/rfq-workspace/rfq-rfi-submission.test.ts. A pure RFI guidance resolver now produces at most one truthful contextual guidance item from explicit caller signals and existing deadline/open-RFI state.</x:v>
      </x:c>
      <x:c r="N295" s="249" t="n"/>
      <x:c r="O295" s="249" t="n">
        <x:v>46296</x:v>
      </x:c>
      <x:c r="P295" s="135" t="str">
        <x:v>Validation before publication: focused tests PASS (9), lint PASS, build PASS, git diff --check PASS; all four files CLEAN-SCOPE. Remote verification confirmed parent 3ac2a514ea32ad2aa53f89b51a6a4a4ed2ef041b and exactly four authorized files. Approaching-deadline and owner/open-RFI guidance use real current state; ambiguity and Addendum impact require explicit true signals and are never inferred from RFI text or responses. RFQ RFI confidentiality wording, POST/PATCH submit/answer behavior, Addendum workflow, API/database/auth/RLS, deadline enforcement and product navigation remain unchanged. Next executable canonical task: 13F-10 — Add proposal readiness contextual guidance.</x:v>
      </x:c>
    </x:row>
    <x:row r="296">
      <x:c r="A296" s="133" t="str">
        <x:v>✓</x:v>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str">
        <x:v>Completed</x:v>
      </x:c>
      <x:c r="I296" s="133" t="str">
        <x:v>Project Owner / Product / Engineering</x:v>
      </x:c>
      <x:c r="J296" s="133" t="str"/>
      <x:c r="K296" s="133" t="inlineStr">
        <x:is>
          <x:t xml:space="preserve">13F-06</x:t>
        </x:is>
      </x:c>
      <x:c r="L296" s="133" t="str"/>
      <x:c r="M296" s="133" t="str">
        <x:v>PASS / QUOTATION READINESS CONTEXTUAL GUIDANCE PUBLISHED — Commit b553b9758ae99f802a96688ef34bf48af6efc130 changes exactly four authorized files: src/lib/guidance/quotation-readiness-guidance.ts, src/lib/guidance/quotation-readiness-guidance.test.ts, src/components/rfq-workspace/rfq-submit-workspace.tsx, and src/components/rfq-workspace/rfq-submit-page.test.ts. A pure quotation readiness resolver now produces at most one contextual guidance item from verified completeness evidence and outstanding required Addendum acknowledgement state.</x:v>
      </x:c>
      <x:c r="N296" s="249" t="n"/>
      <x:c r="O296" s="249" t="n">
        <x:v>46296</x:v>
      </x:c>
      <x:c r="P296" s="135" t="str">
        <x:v>Validation before publication: focused tests PASS (18), lint PASS, build PASS, git diff --check PASS; all four files CLEAN-SCOPE. Remote verification confirmed parent 768b247f2305dcd33a81901b8c7f86f207e24cf2 and exactly four authorized files. Required Addendum acknowledgement is prioritized; missing amount/timeline/commercial-note evidence is combined into one truthful guidance item; compliance/documents require explicit true signals and are not inferred in the submit workspace. Existing completeness UI and submit/reconfirm/resubmit mutation contracts, Quote API/payloads, deadline enforcement, revalidation logic, database/auth/RLS and navigation remain unchanged. Next executable canonical task: 13F-11 — Add evaluation exception guidance.</x:v>
      </x:c>
    </x:row>
    <x:row r="297">
      <x:c r="A297" s="133" t="str">
        <x:v>✓</x:v>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str">
        <x:v>Completed</x:v>
      </x:c>
      <x:c r="I297" s="133" t="str">
        <x:v>Project Owner / Product / Engineering</x:v>
      </x:c>
      <x:c r="J297" s="133" t="str"/>
      <x:c r="K297" s="133" t="inlineStr">
        <x:is>
          <x:t xml:space="preserve">13F-06</x:t>
        </x:is>
      </x:c>
      <x:c r="L297" s="133" t="str"/>
      <x:c r="M297" s="133" t="str">
        <x:v>PASS / EVALUATION EXCEPTION GUIDANCE PUBLISHED — Commit 53911307de96669fd5091f92375b2015301536b4 changes exactly four authorized files: src/lib/guidance/evaluation-exception-guidance.ts, src/lib/guidance/evaluation-exception-guidance.test.ts, src/components/rfq-workspace/rfq-quote-comparison.tsx, and src/components/rfq-workspace/rfq-quote-comparison.test.ts. A pure evaluation-exception resolver now produces at most one issuer review guidance item from existing comparison evidence.</x:v>
      </x:c>
      <x:c r="N297" s="249" t="n"/>
      <x:c r="O297" s="249" t="n">
        <x:v>46296</x:v>
      </x:c>
      <x:c r="P297" s="135" t="str">
        <x:v>Validation before publication: focused tests PASS (14), lint PASS, build PASS, git diff --check PASS; all four files CLEAN-SCOPE. Remote verification confirmed parent 1becc32b1665c33ffa43b8a3cc7181c86e2ecda4 and exactly four authorized files. Material revalidation is prioritized; high-risk evidence is derived only from existing riskLevel; highest-price evidence only from existing isHighest. No new thresholds, data access, AI/inference, commercial unlock change, issuer authorization change, ranking/scoring/recommendation change or award behavior change was introduced. Next executable canonical task: 13F-12 — Add attention guidance to Activity Center.</x:v>
      </x:c>
    </x:row>
    <x:row r="298">
      <x:c r="A298" s="133" t="str">
        <x:v>✓</x:v>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str">
        <x:v>Completed</x:v>
      </x:c>
      <x:c r="I298" s="133" t="str">
        <x:v>Project Owner / Product / Engineering</x:v>
      </x:c>
      <x:c r="J298" s="133" t="str"/>
      <x:c r="K298" s="133" t="inlineStr">
        <x:is>
          <x:t xml:space="preserve">13F-06</x:t>
        </x:is>
      </x:c>
      <x:c r="L298" s="133" t="str"/>
      <x:c r="M298" s="133" t="str">
        <x:v>PASS / ACTIVITY CENTER ATTENTION GUIDANCE PUBLISHED — Commit 9d2060830c903e6bb184197b3bae78571aa05b7b changes exactly four authorized files: src/lib/guidance/activity-attention-guidance.ts, src/lib/guidance/activity-attention-guidance.test.ts, src/app/notifications/page.tsx, and src/lib/procurement/activity-center-prioritization.test.ts. Needs Attention rows now explain why supported priority events matter and reuse only the already-authorized RFQ source href.</x:v>
      </x:c>
      <x:c r="N298" s="249" t="n"/>
      <x:c r="O298" s="249" t="n">
        <x:v>46296</x:v>
      </x:c>
      <x:c r="P298" s="135" t="str">
        <x:v>Validation before publication: focused tests PASS (11), lint PASS, build PASS, git diff --check PASS; all four files CLEAN-SCOPE. Remote verification confirmed parent 380ff3d097fbe5856a7f77056d4c8c6a74e85305 and exactly four authorized files. Supported rationales cover addendum_action_required, rfi, rfi_response, and quote; unknown/non-attention types are suppressed. Deep links use only resolveRfqSourceHref()-derived sourceHref, no title/message parsing or invented routes, no priority-order change, no Updates/History change, no duplicate source action, and no new data/API/database/AI behavior. Next executable canonical task: 13F-13 — Standardize guidance writing tone.</x:v>
      </x:c>
    </x:row>
    <x:row r="299">
      <x:c r="A299" s="133" t="str">
        <x:v>✓</x:v>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str">
        <x:v>Completed</x:v>
      </x:c>
      <x:c r="I299" s="133" t="str">
        <x:v>Project Owner / Product / Engineering</x:v>
      </x:c>
      <x:c r="J299" s="133" t="str"/>
      <x:c r="K299" s="133" t="inlineStr">
        <x:is>
          <x:t xml:space="preserve">13F-01</x:t>
        </x:is>
      </x:c>
      <x:c r="L299" s="133" t="str"/>
      <x:c r="M299" s="133" t="str">
        <x:v>PASS / GUIDANCE WRITING TONE STANDARDIZED — Commit 9324616d59d52f4b614c8cc3712e1f4caa87caef changes exactly eight authorized guidance source/test files across RFI, quotation readiness, evaluation exceptions, and Activity attention. Guidance copy is now concise, professional, procurement-accurate, non-patronizing, and action-oriented while preserving resolver logic and priorities.</x:v>
      </x:c>
      <x:c r="N299" s="249" t="n"/>
      <x:c r="O299" s="249" t="n">
        <x:v>46296</x:v>
      </x:c>
      <x:c r="P299" s="135" t="str">
        <x:v>Validation before publication: focused tests PASS (27), lint PASS, build PASS, git diff --check PASS; all eight files CLEAN-SCOPE. Remote verification confirmed parent 727e0bcb5fba0263091a64fb96d6b6301c368c74 and exactly eight authorized files. No UI/product file, resolver input/output shape, resolver condition/priority, routing, API, database/auth/RLS, commercial lifecycle, scoring/ranking, award behavior or guidance eligibility/frequency/memory logic changed. Tone-contract tests prohibit patronizing/informal/hype language and preserve procurement terminology, confidentiality and governance semantics. Next executable canonical task: 13F-14 — Guidance annoyance review.</x:v>
      </x:c>
    </x:row>
    <x:row r="300">
      <x:c r="A300" s="133" t="str"/>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str">
        <x:v>Blocked</x:v>
      </x:c>
      <x:c r="I300" s="133" t="str">
        <x:v>Project Owner / Product / Engineering</x:v>
      </x:c>
      <x:c r="J300" s="133" t="str"/>
      <x:c r="K300" s="133" t="inlineStr">
        <x:is>
          <x:t xml:space="preserve">13F-12</x:t>
        </x:is>
      </x:c>
      <x:c r="L300" s="133" t="str"/>
      <x:c r="M300" s="133" t="str">
        <x:v>BLOCKED / QA ACCESS EVIDENCE GAP — Read-only annoyance walkthrough could fully verify only Quote Comparison via /dev/rfq-visual-qa. Authenticated product surfaces required for Private RFI, Quotation Submit/Revalidation, and Activity Center could not be reached with the current local session.</x:v>
      </x:c>
      <x:c r="N300" s="249" t="n"/>
      <x:c r="O300" s="249" t="n">
        <x:v>46296</x:v>
      </x:c>
      <x:c r="P300" s="135" t="str">
        <x:v>13F-14 is NOT a product-code FAIL. No code changed and no P0/P1 guidance defect was proven. Verified evidence: Quote Comparison PASS — exactly one evaluation guidance card per populated comparison instance; empty/low-risk fixtures quiet; no winner/award implication; detailed ExceptionBadges remain primary; desktop and narrow/mobile viewports PASS with no horizontal overflow or viewport takeover. Unverified due access blocker: Private RFI workspace, Quotation Submit/Revalidation, Activity Center Needs Attention. Exact next action: establish a usable authorized local session without changing product data or guidance code, then rerun only the unverified 13F-14 surfaces and global annoyance checks. Preserve all 13F-01 through 13F-13 PASS/CLOSED work.</x:v>
      </x:c>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f05bde6e0d1a42e1"/>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36e8dfc2cc924e78"/>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316</x:v>
      </x:c>
      <x:c r="D6" s="133" t="inlineStr">
        <x:is>
          <x:t xml:space="preserve">G0A — Corporate platform architecture ready</x:t>
        </x:is>
      </x:c>
      <x:c r="E6" s="32" t="str">
        <x:f>'03 Launch Gates'!D20</x:f>
        <x:v>Completed</x:v>
      </x:c>
      <x:c r="G6" t="inlineStr">
        <x:is>
          <x:t xml:space="preserve">UI Tasks Complete</x:t>
        </x:is>
      </x:c>
      <x:c r="H6" t="n">
        <x:f>SUM(B36:B46)</x:f>
        <x:v>94</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7</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0.8610354223433242</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0.8872727272727273</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3</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9</x:v>
      </x:c>
      <x:c r="C41" s="133" t="n">
        <x:f>COUNTIFS('01 Master Plan'!C$5:C$383,A41,'01 Master Plan'!H$5:H$383,"In Progress")</x:f>
        <x:v>0</x:v>
      </x:c>
      <x:c r="D41" s="133" t="n">
        <x:f>COUNTIFS('01 Master Plan'!C$5:C$383,A41,'01 Master Plan'!H$5:H$383,"Not Started")</x:f>
        <x:v>0</x:v>
      </x:c>
      <x:c r="E41" s="133" t="n">
        <x:f>COUNTIFS('01 Master Plan'!C$5:C$383,A41,'01 Master Plan'!H$5:H$383,"Blocked")</x:f>
        <x:v>4</x:v>
      </x:c>
      <x:c r="F41" s="133" t="n">
        <x:f>COUNTIFS('01 Master Plan'!C$5:C$383,A41,'01 Master Plan'!H$5:H$383,"Deferred")</x:f>
        <x:v>0</x:v>
      </x:c>
      <x:c r="G41" s="255" t="n">
        <x:f>IFERROR(B41/(B41+C41+D41+E41),0)</x:f>
        <x:v>0.6923076923076923</x:v>
      </x:c>
    </x:row>
    <x:row r="42">
      <x:c r="A42" s="133" t="inlineStr">
        <x:is>
          <x:t xml:space="preserve">13F Contextual Guidance Framework</x:t>
        </x:is>
      </x:c>
      <x:c r="B42" s="133" t="n">
        <x:f>COUNTIFS('01 Master Plan'!C$5:C$383,A42,'01 Master Plan'!H$5:H$383,"Completed")+COUNTIFS('01 Master Plan'!C$5:C$383,A42,'01 Master Plan'!H$5:H$383,"Complete")</x:f>
        <x:v>13</x:v>
      </x:c>
      <x:c r="C42" s="133" t="n">
        <x:f>COUNTIFS('01 Master Plan'!C$5:C$383,A42,'01 Master Plan'!H$5:H$383,"In Progress")</x:f>
        <x:v>0</x:v>
      </x:c>
      <x:c r="D42" s="133" t="n">
        <x:f>COUNTIFS('01 Master Plan'!C$5:C$383,A42,'01 Master Plan'!H$5:H$383,"Not Started")</x:f>
        <x:v>0</x:v>
      </x:c>
      <x:c r="E42" s="133" t="n">
        <x:f>COUNTIFS('01 Master Plan'!C$5:C$383,A42,'01 Master Plan'!H$5:H$383,"Blocked")</x:f>
        <x:v>1</x:v>
      </x:c>
      <x:c r="F42" s="133" t="n">
        <x:f>COUNTIFS('01 Master Plan'!C$5:C$383,A42,'01 Master Plan'!H$5:H$383,"Deferred")</x:f>
        <x:v>0</x:v>
      </x:c>
      <x:c r="G42" s="255" t="n">
        <x:f>IFERROR(B42/(B42+C42+D42+E42),0)</x:f>
        <x:v>0.9285714285714286</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b40fceecfcf54501"/>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ba2fb6a534f741b9"/>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bad1446a5920461c"/>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c31caed15ce140ef"/>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74709bd2592d4387"/>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a45fd99b298443be"/>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row r="1233">
      <x:c r="A1233" t="n">
        <x:v>46296</x:v>
      </x:c>
      <x:c r="B1233" t="str">
        <x:v>Phase 13E / 13E-06</x:v>
      </x:c>
      <x:c r="C1233" t="str">
        <x:v>13E-06 Addendum Publication Completion Feedback Published</x:v>
      </x:c>
      <x:c r="D1233" t="str">
        <x:v>executive-benchmark-engine</x:v>
      </x:c>
      <x:c r="E1233" t="str">
        <x:v>8179c3939f2be8559f888142396a272d8fa03f19</x:v>
      </x:c>
      <x:c r="F1233" t="str">
        <x:v>Published issuer-side Addendum completion feedback by reusing ExecutiveCompletionMoment on the existing stable publication success state and presenting acknowledgement implications plus returned notification delivery outcomes.</x:v>
      </x:c>
      <x:c r="G1233" t="str">
        <x:v>Exactly two isolated files published: src/components/rfq-addenda-manager.tsx and src/components/rfq-workspace/rfq-addenda-manager.test.ts. Focused tests 6 PASS; lint/build/diff-check PASS. Temporary-index isolation test also PASS.</x:v>
      </x:c>
      <x:c r="H1233" t="str">
        <x:v>PASS / 13E-06 CLOSED / PUBLISHED</x:v>
      </x:c>
      <x:c r="I1233" t="str">
        <x:v>Remote verification confirmed parent 43db5aa9a77546f805085e25cf68f56fde562781 and no unrelated hunks. Existing Addendum POST/payload, acknowledgement execution, API/schema/RPC/RLS, RFQ lifecycle, deadline/commercial-lock, authorization, Workspace Membership, routes and Corporate scope remained unchanged. Publication success is kept distinct from notification delivery outcome; no unsupported audience or acknowledgement claims were introduced.</x:v>
      </x:c>
      <x:c r="J1233" t="str">
        <x:v>Next executable canonical task: Phase 13E / 13E-07 — Implement quote/proposal submitted completion moment.</x:v>
      </x:c>
    </x:row>
    <x:row r="1234">
      <x:c r="A1234" t="n">
        <x:v>46296</x:v>
      </x:c>
      <x:c r="B1234" t="str">
        <x:v>Phase 13E / 13E-07</x:v>
      </x:c>
      <x:c r="C1234" t="str">
        <x:v>13E-07 Quote Submission Completion Moment Blocked</x:v>
      </x:c>
      <x:c r="D1234" t="str">
        <x:v>executive-benchmark-engine</x:v>
      </x:c>
      <x:c r="E1234" t="str">
        <x:v>777656999c0138dcd5b02a3d2d80709e44d1e049</x:v>
      </x:c>
      <x:c r="F1234" t="str">
        <x:v>Read-only inspection of the canonical respondent quote submission workspace found no stable post-submit success surface. Successful new submission, revised resubmission and reconfirmation immediately navigate back to the RFQ workspace.</x:v>
      </x:c>
      <x:c r="G1234" t="str">
        <x:v>No source files changed. The POST response already returns the persisted Quote plus redirect/email data, and PATCH revalidation returns quote/revalidation identity and created_at, but the current submit surface immediately router.pushes and refreshes after success.</x:v>
      </x:c>
      <x:c r="H1234" t="str">
        <x:v>BLOCKED / 13E-07 OPEN</x:v>
      </x:c>
      <x:c r="I1234" t="str">
        <x:v>No quote mutation, revalidation, authorization, deadline/addenda acknowledgement, confidentiality, duplicate-submission, payload/schema, route or Workspace Membership behavior changed. Implementing the requested completion moment would require an explicit navigation/state contract change.</x:v>
      </x:c>
      <x:c r="J1234" t="str">
        <x:v>Continue with dependency-independent 13E-08. Return to 13E-07 only after an approved stable post-submission success state exists or the navigation contract is explicitly changed.</x:v>
      </x:c>
    </x:row>
    <x:row r="1235">
      <x:c r="A1235" t="n">
        <x:v>46296</x:v>
      </x:c>
      <x:c r="B1235" t="str">
        <x:v>Phase 13E / 13E-08</x:v>
      </x:c>
      <x:c r="C1235" t="str">
        <x:v>13E-08 Award Completion Feedback Blocked</x:v>
      </x:c>
      <x:c r="D1235" t="str">
        <x:v>executive-benchmark-engine</x:v>
      </x:c>
      <x:c r="E1235" t="str">
        <x:v>0963d89958730d96ead64406f4cea3da0e754e28</x:v>
      </x:c>
      <x:c r="F1235" t="str">
        <x:v>Read-only inspection found no stable post-award success surface. AwardContractButton closes the dialog and immediately navigates to the returned RFQ destination after a successful award.</x:v>
      </x:c>
      <x:c r="G1235" t="str">
        <x:v>No source files changed. POST /api/award-contract already returns awardedQuote, RFQ, redirectTo, independent Buyer/Supplier email outcomes and warnings, but the award control surface immediately router.pushes and refreshes after success.</x:v>
      </x:c>
      <x:c r="H1235" t="str">
        <x:v>BLOCKED / 13E-08 OPEN</x:v>
      </x:c>
      <x:c r="I1235" t="str">
        <x:v>No award RPC/API, authorization, deadline/commercial-opening governance, notification delivery, audit-warning, RFQ/Quote state, route or Workspace Membership behavior changed. Implementing the requested completion moment would require an explicit post-award navigation/state contract change.</x:v>
      </x:c>
      <x:c r="J1235" t="str">
        <x:v>Continue with dependency-independent 13E-09. Return to 13E-08 only after an approved stable post-award success state exists or the navigation contract is explicitly changed.</x:v>
      </x:c>
    </x:row>
    <x:row r="1236">
      <x:c r="A1236" t="n">
        <x:v>46296</x:v>
      </x:c>
      <x:c r="B1236" t="str">
        <x:v>Phase 13E / 13E-09</x:v>
      </x:c>
      <x:c r="C1236" t="str">
        <x:v>13E-09 Processing-State Pattern Verified</x:v>
      </x:c>
      <x:c r="D1236" t="str">
        <x:v>executive-benchmark-engine</x:v>
      </x:c>
      <x:c r="E1236" t="str">
        <x:v>d992098031a6468c90ec6babe6276b9b69985249</x:v>
      </x:c>
      <x:c r="F1236" t="str">
        <x:v>Evidence-only verification confirmed the existing ExecutiveCompletionMoment processing state already satisfies the reusable processing-state requirement.</x:v>
      </x:c>
      <x:c r="G1236" t="str">
        <x:v>No source files changed. Existing component/test contract provides processing state, optional truthful progress through ExecutiveProgress, aria-busy/live-region semantics, shared motion/reduced-motion behavior, and no timer/async/navigation ownership.</x:v>
      </x:c>
      <x:c r="H1236" t="str">
        <x:v>PASS / 13E-09 CLOSED / EVIDENCE-ONLY</x:v>
      </x:c>
      <x:c r="I1236" t="str">
        <x:v>No duplicate component, fake stage, fake delay, setTimeout, API ownership, navigation behavior, business logic, authorization or domain behavior introduced.</x:v>
      </x:c>
      <x:c r="J1236" t="str">
        <x:v>Next executable canonical task: Phase 13E / 13E-10 — Standardize success animation.</x:v>
      </x:c>
    </x:row>
    <x:row r="1237">
      <x:c r="A1237" t="n">
        <x:v>46296</x:v>
      </x:c>
      <x:c r="B1237" t="str">
        <x:v>Phase 13E / 13E-10</x:v>
      </x:c>
      <x:c r="C1237" t="str">
        <x:v>13E-10 Executive Attention Motion Pattern Published</x:v>
      </x:c>
      <x:c r="D1237" t="str">
        <x:v>executive-benchmark-engine</x:v>
      </x:c>
      <x:c r="E1237" t="str">
        <x:v>786e7e3cdeb36e120b91624a78da6f6866a677e3</x:v>
      </x:c>
      <x:c r="F1237" t="str">
        <x:v>Published one shared one-shot attention/highlight motion contract for newly surfaced high-value risk/change without creating a new React component.</x:v>
      </x:c>
      <x:c r="G1237" t="str">
        <x:v>Exactly three files changed: executive-contract.ts, globals.css, and executive-contract.test.ts. Focused tests 34 PASS; lint/build/diff-check PASS; boundary review CLEAN-SCOPE.</x:v>
      </x:c>
      <x:c r="H1237" t="str">
        <x:v>PASS / 13E-10 CLOSED / PUBLISHED</x:v>
      </x:c>
      <x:c r="I1237" t="str">
        <x:v>Pattern uses existing context/milestone durations, standard easing and semantic warning/gold/cyan colors; runs once; returns to static state; global reduced-motion disables animation. No product-page integration, infinite animation, scale/bounce/confetti, token-value changes or business behavior changes.</x:v>
      </x:c>
      <x:c r="J1237" t="str">
        <x:v>Next executable canonical task: Phase 13E / 13E-11 — Standardize error/recovery motion.</x:v>
      </x:c>
    </x:row>
    <x:row r="1238">
      <x:c r="A1238" t="n">
        <x:v>46296</x:v>
      </x:c>
      <x:c r="B1238" t="str">
        <x:v>Phase 13E / 13E-11</x:v>
      </x:c>
      <x:c r="C1238" t="str">
        <x:v>13E-11 Executive Error Recovery Pattern Published</x:v>
      </x:c>
      <x:c r="D1238" t="str">
        <x:v>executive-benchmark-engine</x:v>
      </x:c>
      <x:c r="E1238" t="str">
        <x:v>fb37b1af5a4866327d444be6e9bab9364448dd42</x:v>
      </x:c>
      <x:c r="F1238" t="str">
        <x:v>Published one reusable ExecutiveErrorRecovery primitive plus a shared one-shot error highlight for actionable recovery states.</x:v>
      </x:c>
      <x:c r="G1238" t="str">
        <x:v>Exactly four files changed: executive-error-recovery.tsx, its focused test, executive-contract.ts, and globals.css. Focused tests 5 PASS; lint/build/diff-check PASS; boundary review CLEAN-SCOPE.</x:v>
      </x:c>
      <x:c r="H1238" t="str">
        <x:v>PASS / 13E-11 CLOSED / PUBLISHED</x:v>
      </x:c>
      <x:c r="I1238" t="str">
        <x:v>Existing executive error contracts and motion tokens are reused. Focus moves only to a caller-supplied target; no API/router/business logic/timers are owned. Highlight runs once, returns to static state, and global reduced-motion disables it. No product-page integration or token-value changes.</x:v>
      </x:c>
      <x:c r="J1238" t="str">
        <x:v>Next executable canonical task: Phase 13E / 13E-12 — Set animation performance budget.</x:v>
      </x:c>
    </x:row>
    <x:row r="1239">
      <x:c r="A1239" t="n">
        <x:v>46296</x:v>
      </x:c>
      <x:c r="B1239" t="str">
        <x:v>Phase 13E / 13E-12</x:v>
      </x:c>
      <x:c r="C1239" t="str">
        <x:v>13E-12 Executive Motion Performance Budget Published</x:v>
      </x:c>
      <x:c r="D1239" t="str">
        <x:v>executive-benchmark-engine</x:v>
      </x:c>
      <x:c r="E1239" t="str">
        <x:v>4afa4545e4f9cee1697d584311e6e6ceb6b8f21a</x:v>
      </x:c>
      <x:c r="F1239" t="str">
        <x:v>Published the core executive motion performance budget and refactored attention/error-recovery effects to non-interactive opacity-only overlays.</x:v>
      </x:c>
      <x:c r="G1239" t="str">
        <x:v>Exactly four files changed: globals.css, executive-contract.ts, executive-contract.test.ts, and executive-error-recovery.test.ts. Focused tests 39 PASS; lint/build/diff-check PASS; boundary review CLEAN-SCOPE.</x:v>
      </x:c>
      <x:c r="H1239" t="str">
        <x:v>PASS / 13E-12 CLOSED / PUBLISHED</x:v>
      </x:c>
      <x:c r="I1239" t="str">
        <x:v>Core motion contract is opacity/transform-first; overlays use pointer-events:none; attention/recovery remain one-shot and avoid animated background-color, box-shadow and layout properties. Existing motion token values and reduced-motion policy remain unchanged. No runtime instrumentation or product-page integration.</x:v>
      </x:c>
      <x:c r="J1239" t="str">
        <x:v>Next executable canonical task: Phase 13E / 13E-13 — Reduced-motion QA for all milestone/attention patterns.</x:v>
      </x:c>
    </x:row>
    <x:row r="1240">
      <x:c r="A1240" t="n">
        <x:v>46296</x:v>
      </x:c>
      <x:c r="B1240" t="str">
        <x:v>Phase 13E / 13E-13</x:v>
      </x:c>
      <x:c r="C1240" t="str">
        <x:v>13E-13 Reduced-Motion QA Published</x:v>
      </x:c>
      <x:c r="D1240" t="str">
        <x:v>executive-benchmark-engine</x:v>
      </x:c>
      <x:c r="E1240" t="str">
        <x:v>15a6f528cad2fcacf3f0d37745ce76956f469893</x:v>
      </x:c>
      <x:c r="F1240" t="str">
        <x:v>Published the reduced-motion fallback and QA contract for milestone, attention and error/recovery feedback.</x:v>
      </x:c>
      <x:c r="G1240" t="str">
        <x:v>Exactly four files changed: globals.css plus the design-system, error-recovery and completion-moment focused tests. Focused tests 42 PASS; lint/build/diff-check PASS; boundary review CLEAN-SCOPE.</x:v>
      </x:c>
      <x:c r="H1240" t="str">
        <x:v>PASS / 13E-13 CLOSED / PUBLISHED</x:v>
      </x:c>
      <x:c r="I1240" t="str">
        <x:v>Attention/Error Recovery retain visible static overlays under prefers-reduced-motion while global animation remains disabled; Completion Moment remains semantically complete without motion. Normal motion/token values unchanged; no runtime detection or product integration. Phase 13E remains BLOCKED, not Complete, because 13E-02/03/07/08 remain open.</x:v>
      </x:c>
      <x:c r="J1240" t="str">
        <x:v>Next executable canonical task: Phase 13F / 13F-01 — Define five-level guidance model.</x:v>
      </x:c>
    </x:row>
    <x:row r="1241">
      <x:c r="A1241" t="n">
        <x:v>46296</x:v>
      </x:c>
      <x:c r="B1241" t="str">
        <x:v>Phase 13F / 13F-01</x:v>
      </x:c>
      <x:c r="C1241" t="str">
        <x:v>13F-01 Five-Level Executive Guidance Model Published</x:v>
      </x:c>
      <x:c r="D1241" t="str">
        <x:v>executive-benchmark-engine</x:v>
      </x:c>
      <x:c r="E1241" t="str">
        <x:v>2e653196cbcf1dc73938f0c2f955c924264cb751</x:v>
      </x:c>
      <x:c r="F1241" t="str">
        <x:v>Published the domain-neutral executive guidance taxonomy with five canonical levels from silent intelligence through user-requested interactive guidance.</x:v>
      </x:c>
      <x:c r="G1241" t="str">
        <x:v>Exactly two files changed: executive-guidance-model.ts and executive-guidance-model.test.ts. Focused tests 5 PASS; lint/build/diff-check PASS; boundary review CLEAN-SCOPE.</x:v>
      </x:c>
      <x:c r="H1241" t="str">
        <x:v>PASS / 13F-01 CLOSED / PUBLISHED</x:v>
      </x:c>
      <x:c r="I1241" t="str">
        <x:v>No RFQ/procurement-specific logic, UI component creation, eligibility/frequency/memory implementation, routes, API/database/auth changes, Ask Nexus implementation or product integration. All levels remain non-blocking and non-consequential; L4 is explicitly user-requested.</x:v>
      </x:c>
      <x:c r="J1241" t="str">
        <x:v>Next executable canonical task: Phase 13F / 13F-02 — Implement guidance eligibility rules.</x:v>
      </x:c>
    </x:row>
    <x:row r="1242">
      <x:c r="A1242" t="n">
        <x:v>46296</x:v>
      </x:c>
      <x:c r="B1242" t="str">
        <x:v>Phase 13F / 13F-02</x:v>
      </x:c>
      <x:c r="C1242" t="str">
        <x:v>13F-02 Executive Guidance Eligibility Rules Published</x:v>
      </x:c>
      <x:c r="D1242" t="str">
        <x:v>executive-benchmark-engine</x:v>
      </x:c>
      <x:c r="E1242" t="str">
        <x:v>f8b53f587c14e2049e1c6ea52db10c0ac6d179d8</x:v>
      </x:c>
      <x:c r="F1242" t="str">
        <x:v>Published the domain-neutral eligibility contract for the five canonical guidance contexts.</x:v>
      </x:c>
      <x:c r="G1242" t="str">
        <x:v>Exactly two files changed: executive-guidance-eligibility.ts and executive-guidance-eligibility.test.ts. Focused tests 5 PASS; lint/build/diff-check PASS; boundary review CLEAN-SCOPE.</x:v>
      </x:c>
      <x:c r="H1242" t="str">
        <x:v>PASS / 13F-02 CLOSED / PUBLISHED</x:v>
      </x:c>
      <x:c r="I1242" t="str">
        <x:v>FIRST_TIME/CHANGE/RISK/INCOMPLETE are eligible proactive contexts; REQUESTED is eligible but explicitly user-requested and non-proactive; unknown/empty values are rejected. No frequency/memory/persistence/UI/API/database/auth or product integration was introduced.</x:v>
      </x:c>
      <x:c r="J1242" t="str">
        <x:v>Next executable canonical task: Phase 13F / 13F-03 — Implement guidance frequency controls.</x:v>
      </x:c>
    </x:row>
    <x:row r="1243">
      <x:c r="A1243" t="n">
        <x:v>46296</x:v>
      </x:c>
      <x:c r="B1243" t="str">
        <x:v>Phase 13F / 13F-03</x:v>
      </x:c>
      <x:c r="C1243" t="str">
        <x:v>13F-03 Executive Guidance Frequency Controls Published</x:v>
      </x:c>
      <x:c r="D1243" t="str">
        <x:v>executive-benchmark-engine</x:v>
      </x:c>
      <x:c r="E1243" t="str">
        <x:v>b94f88cf7c1d713310ed582b6f048beaa0839362</x:v>
      </x:c>
      <x:c r="F1243" t="str">
        <x:v>Published the pure domain-neutral page-load frequency contract for contextual guidance.</x:v>
      </x:c>
      <x:c r="G1243" t="str">
        <x:v>Exactly two files changed: executive-guidance-frequency.ts and executive-guidance-frequency.test.ts. Focused tests 7 PASS; lint/build/diff-check PASS; boundary review CLEAN-SCOPE.</x:v>
      </x:c>
      <x:c r="H1243" t="str">
        <x:v>PASS / 13F-03 CLOSED / PUBLISHED</x:v>
      </x:c>
      <x:c r="I1243" t="str">
        <x:v>One proactive guidance item per page load is enforced; REQUESTED is quota-independent; dismissed/completed anchored coachmarks are blocked from caller state. Unknown/ineligible contexts are blocked. No persistent memory/browser storage/database/runtime ownership was introduced.</x:v>
      </x:c>
      <x:c r="J1243" t="str">
        <x:v>Next executable canonical task: Phase 13F / 13F-04 — Implement seen/dismissed/snoozed guidance memory.</x:v>
      </x:c>
    </x:row>
    <x:row r="1244">
      <x:c r="A1244" t="n">
        <x:v>46296</x:v>
      </x:c>
      <x:c r="B1244" t="str">
        <x:v>Phase 13F / 13F-04</x:v>
      </x:c>
      <x:c r="C1244" t="str">
        <x:v>13F-04 Executive Guidance Memory Contract Published</x:v>
      </x:c>
      <x:c r="D1244" t="str">
        <x:v>executive-benchmark-engine</x:v>
      </x:c>
      <x:c r="E1244" t="str">
        <x:v>61e8f84005b4884d96b18a00df476038ea6dead7</x:v>
      </x:c>
      <x:c r="F1244" t="str">
        <x:v>Published the pure caller-owned memory-state contract for seen/dismissed/snoozed/completed guidance behavior.</x:v>
      </x:c>
      <x:c r="G1244" t="str">
        <x:v>Exactly two files changed: executive-guidance-memory.ts and executive-guidance-memory.test.ts. Focused tests 6 PASS; lint/build/diff-check PASS; boundary review CLEAN-SCOPE.</x:v>
      </x:c>
      <x:c r="H1244" t="str">
        <x:v>PASS / 13F-04 CLOSED / PUBLISHED</x:v>
      </x:c>
      <x:c r="I1244" t="str">
        <x:v>Five canonical memory states are defined. Seen remains reconsiderable; dismissed/completed suppress repeats; active snooze suppresses only until caller-provided snoozedUntil. Remind Me Later maps to snoozed. No storage backend, database persistence, hidden clock, React/UI/API/auth or product integration was introduced.</x:v>
      </x:c>
      <x:c r="J1244" t="str">
        <x:v>Next executable canonical task: Phase 13F / 13F-05 — Create inline hint component.</x:v>
      </x:c>
    </x:row>
    <x:row r="1245">
      <x:c r="A1245" t="n">
        <x:v>46296</x:v>
      </x:c>
      <x:c r="B1245" t="str">
        <x:v>Phase 13F / 13F-05</x:v>
      </x:c>
      <x:c r="C1245" t="str">
        <x:v>13F-05 Executive Inline Hint Component Published</x:v>
      </x:c>
      <x:c r="D1245" t="str">
        <x:v>executive-benchmark-engine</x:v>
      </x:c>
      <x:c r="E1245" t="str">
        <x:v>d1793c8253449ad4d71aedf6908e44daf057461c</x:v>
      </x:c>
      <x:c r="F1245" t="str">
        <x:v>Published the reusable L1 ExecutiveInlineHint presentation primitive for compact contextual explanations.</x:v>
      </x:c>
      <x:c r="G1245" t="str">
        <x:v>Exactly two files changed: executive-inline-hint.tsx and executive-inline-hint.test.ts. Focused tests 5 PASS; lint/build/diff-check PASS; boundary review CLEAN-SCOPE.</x:v>
      </x:c>
      <x:c r="H1245" t="str">
        <x:v>PASS / 13F-05 CLOSED / PUBLISHED</x:v>
      </x:c>
      <x:c r="I1245" t="str">
        <x:v>Reuses EXECUTIVE_FORM_HELPER; supports caller-provided id for aria-describedby; responsive long-text wrapping; no interactive behavior, live regions, state/hooks, eligibility/frequency/memory logic, product integration or procurement-specific semantics.</x:v>
      </x:c>
      <x:c r="J1245" t="str">
        <x:v>Next executable canonical task: Phase 13F / 13F-06 — Create contextual guidance card.</x:v>
      </x:c>
    </x:row>
    <x:row r="1246">
      <x:c r="A1246" t="n">
        <x:v>46296</x:v>
      </x:c>
      <x:c r="B1246" t="str">
        <x:v>Phase 13F / 13F-06</x:v>
      </x:c>
      <x:c r="C1246" t="str">
        <x:v>13F-06 Executive Contextual Guidance Card Published</x:v>
      </x:c>
      <x:c r="D1246" t="str">
        <x:v>executive-benchmark-engine</x:v>
      </x:c>
      <x:c r="E1246" t="str">
        <x:v>f90844661a664a12354c2a239c6aec9c3ce2ab0e</x:v>
      </x:c>
      <x:c r="F1246" t="str">
        <x:v>Published the reusable L2 ExecutiveGuidanceCard for embedded needs-attention guidance with caller-owned Review/Dismiss actions.</x:v>
      </x:c>
      <x:c r="G1246" t="str">
        <x:v>Exactly two files changed: executive-guidance-card.tsx and executive-guidance-card.test.ts. Focused tests 6 PASS; lint/build/diff-check PASS; boundary review CLEAN-SCOPE.</x:v>
      </x:c>
      <x:c r="H1246" t="str">
        <x:v>PASS / 13F-06 CLOSED / PUBLISHED</x:v>
      </x:c>
      <x:c r="I1246" t="str">
        <x:v>Reuses ExecutivePanel and shared executive button contracts; actions are optional and caller-owned; embedded/non-modal/non-blocking; no state, persistence, eligibility/frequency/memory ownership, routing/API/database/auth, new design tokens or procurement-specific product integration.</x:v>
      </x:c>
      <x:c r="J1246" t="str">
        <x:v>Next executable canonical task: Phase 13F / 13F-07 — Create anchored first-use coachmark.</x:v>
      </x:c>
    </x:row>
    <x:row r="1247">
      <x:c r="A1247" t="n">
        <x:v>46296</x:v>
      </x:c>
      <x:c r="B1247" t="str">
        <x:v>Phase 13F / 13F-07</x:v>
      </x:c>
      <x:c r="C1247" t="str">
        <x:v>13F-07 Executive Anchored Coachmark Published</x:v>
      </x:c>
      <x:c r="D1247" t="str">
        <x:v>executive-benchmark-engine</x:v>
      </x:c>
      <x:c r="E1247" t="str">
        <x:v>397bbfcfaecaec1c34c19f3a1863b983ff55f75a</x:v>
      </x:c>
      <x:c r="F1247" t="str">
        <x:v>Published the reusable L3 ExecutiveCoachmark anchored to caller-provided real UI controls.</x:v>
      </x:c>
      <x:c r="G1247" t="str">
        <x:v>Exactly two files changed: executive-coachmark.tsx and executive-coachmark.test.ts. Focused tests 7 PASS; lint/build/diff-check PASS; boundary review CLEAN-SCOPE.</x:v>
      </x:c>
      <x:c r="H1247" t="str">
        <x:v>PASS / 13F-07 CLOSED / PUBLISHED</x:v>
      </x:c>
      <x:c r="I1247" t="str">
        <x:v>Reuses shared popover/motion and executive button contracts; preserves anchor behavior; caller controls open/replay/action/dismiss state; non-modal with no overlay/portal/focus trap. No persistence, Help system, guidance-state ownership, routing/API/auth or procurement-specific product integration.</x:v>
      </x:c>
      <x:c r="J1247" t="str">
        <x:v>Next executable canonical task: Phase 13F / 13F-08 — Create Nexus Guide side panel.</x:v>
      </x:c>
    </x:row>
    <x:row r="1248">
      <x:c r="A1248" t="n">
        <x:v>46296</x:v>
      </x:c>
      <x:c r="B1248" t="str">
        <x:v>Phase 13F / 13F-08</x:v>
      </x:c>
      <x:c r="C1248" t="str">
        <x:v>13F-08 Executive Nexus Guide Side Panel Published</x:v>
      </x:c>
      <x:c r="D1248" t="str">
        <x:v>executive-benchmark-engine</x:v>
      </x:c>
      <x:c r="E1248" t="str">
        <x:v>aa358c01d7f4869a5ae2e77cb00ea62bc85478b4</x:v>
      </x:c>
      <x:c r="F1248" t="str">
        <x:v>Published the reusable ExecutiveNexusGuide side panel using the shared executive drawer contracts.</x:v>
      </x:c>
      <x:c r="G1248" t="str">
        <x:v>Exactly two files changed: executive-nexus-guide.tsx and executive-nexus-guide.test.ts. Focused tests 6 PASS; lint/build/diff-check PASS; boundary review CLEAN-SCOPE.</x:v>
      </x:c>
      <x:c r="H1248" t="str">
        <x:v>PASS / 13F-08 CLOSED / PUBLISHED</x:v>
      </x:c>
      <x:c r="I1248" t="str">
        <x:v>Panel is caller-controlled and presentation-only; displays supplied workflow/readiness/attention/next-step context and optional actions, omits empty sections, and owns no AI/inference/data loading/guidance-state persistence/routing/API/auth or procurement-specific product behavior.</x:v>
      </x:c>
      <x:c r="J1248" t="str">
        <x:v>Next executable canonical task: Phase 13F / 13F-09 — Add RFI/clarification contextual guidance.</x:v>
      </x:c>
    </x:row>
    <x:row r="1249">
      <x:c r="A1249" t="n">
        <x:v>46296</x:v>
      </x:c>
      <x:c r="B1249" t="str">
        <x:v>Phase 13F / 13F-09</x:v>
      </x:c>
      <x:c r="C1249" t="str">
        <x:v>13F-09 RFI / Clarification Contextual Guidance Published</x:v>
      </x:c>
      <x:c r="D1249" t="str">
        <x:v>executive-benchmark-engine</x:v>
      </x:c>
      <x:c r="E1249" t="str">
        <x:v>0bc78e96f7dcbe425f27548f964f10e4e7c31477</x:v>
      </x:c>
      <x:c r="F1249" t="str">
        <x:v>Published truthful RFI contextual guidance using a pure resolver plus a single shared ExecutiveGuidanceCard integration in RFQRfiWorkspace.</x:v>
      </x:c>
      <x:c r="G1249" t="str">
        <x:v>Exactly four authorized files changed. Focused tests 9 PASS; lint/build/diff-check PASS; boundary review CLEAN-SCOPE.</x:v>
      </x:c>
      <x:c r="H1249" t="str">
        <x:v>PASS / 13F-09 CLOSED / PUBLISHED</x:v>
      </x:c>
      <x:c r="I1249" t="str">
        <x:v>Approaching deadline and owner/open-RFI guidance use existing state; ambiguity/Addendum impact require explicit caller signals. No text inference, AI analysis, RFI API behavior change, Addendum workflow change, database/auth/RLS change or confidentiality regression.</x:v>
      </x:c>
      <x:c r="J1249" t="str">
        <x:v>Next executable canonical task: Phase 13F / 13F-10 — Add proposal readiness contextual guidance.</x:v>
      </x:c>
    </x:row>
    <x:row r="1250">
      <x:c r="A1250" t="n">
        <x:v>46296</x:v>
      </x:c>
      <x:c r="B1250" t="str">
        <x:v>Phase 13F / 13F-10</x:v>
      </x:c>
      <x:c r="C1250" t="str">
        <x:v>13F-10 Quotation Readiness Contextual Guidance Published</x:v>
      </x:c>
      <x:c r="D1250" t="str">
        <x:v>executive-benchmark-engine</x:v>
      </x:c>
      <x:c r="E1250" t="str">
        <x:v>b553b9758ae99f802a96688ef34bf48af6efc130</x:v>
      </x:c>
      <x:c r="F1250" t="str">
        <x:v>Published truthful quotation readiness contextual guidance using a pure resolver plus one shared ExecutiveGuidanceCard integration in RfqSubmitWorkspace.</x:v>
      </x:c>
      <x:c r="G1250" t="str">
        <x:v>Exactly four authorized files changed. Focused tests 18 PASS; lint/build/diff-check PASS; boundary review CLEAN-SCOPE.</x:v>
      </x:c>
      <x:c r="H1250" t="str">
        <x:v>PASS / 13F-10 CLOSED / PUBLISHED</x:v>
      </x:c>
      <x:c r="I1250" t="str">
        <x:v>Outstanding Addendum acknowledgement is highest priority; missing amount/timeline/commercial-note evidence is combined into one item. Compliance/documents require explicit caller signals and are not inferred. Submit/reconfirm/resubmit/API/data/auth behavior remains unchanged.</x:v>
      </x:c>
      <x:c r="J1250" t="str">
        <x:v>Next executable canonical task: Phase 13F / 13F-11 — Add evaluation exception guidance.</x:v>
      </x:c>
    </x:row>
    <x:row r="1251">
      <x:c r="A1251" t="n">
        <x:v>46296</x:v>
      </x:c>
      <x:c r="B1251" t="str">
        <x:v>Phase 13F / 13F-11</x:v>
      </x:c>
      <x:c r="C1251" t="str">
        <x:v>13F-11 Evaluation Exception Guidance Published</x:v>
      </x:c>
      <x:c r="D1251" t="str">
        <x:v>executive-benchmark-engine</x:v>
      </x:c>
      <x:c r="E1251" t="str">
        <x:v>53911307de96669fd5091f92375b2015301536b4</x:v>
      </x:c>
      <x:c r="F1251" t="str">
        <x:v>Published evidence-backed evaluation exception guidance using a pure resolver plus one shared ExecutiveGuidanceCard integration in RfqQuoteComparison.</x:v>
      </x:c>
      <x:c r="G1251" t="str">
        <x:v>Exactly four authorized files changed. Focused tests 14 PASS; lint/build/diff-check PASS; boundary review CLEAN-SCOPE.</x:v>
      </x:c>
      <x:c r="H1251" t="str">
        <x:v>PASS / 13F-11 CLOSED / PUBLISHED</x:v>
      </x:c>
      <x:c r="I1251" t="str">
        <x:v>Material revalidation is highest priority; high-risk and highest-price evidence reuse existing comparison fields only. No new thresholds, data loading, lifecycle bypass, issuer authorization, scoring/ranking/recommendation or award behavior changes.</x:v>
      </x:c>
      <x:c r="J1251" t="str">
        <x:v>Next executable canonical task: Phase 13F / 13F-12 — Add attention guidance to Activity Center.</x:v>
      </x:c>
    </x:row>
    <x:row r="1252">
      <x:c r="A1252" t="n">
        <x:v>46296</x:v>
      </x:c>
      <x:c r="B1252" t="str">
        <x:v>Phase 13F / 13F-12</x:v>
      </x:c>
      <x:c r="C1252" t="str">
        <x:v>13F-12 Activity Center Attention Guidance Published</x:v>
      </x:c>
      <x:c r="D1252" t="str">
        <x:v>executive-benchmark-engine</x:v>
      </x:c>
      <x:c r="E1252" t="str">
        <x:v>9d2060830c903e6bb184197b3bae78571aa05b7b</x:v>
      </x:c>
      <x:c r="F1252" t="str">
        <x:v>Published concise Needs Attention guidance for supported Activity Center events with authorization-aware RFQ source navigation.</x:v>
      </x:c>
      <x:c r="G1252" t="str">
        <x:v>Exactly four authorized files changed. Focused tests 11 PASS; lint/build/diff-check PASS; boundary review CLEAN-SCOPE.</x:v>
      </x:c>
      <x:c r="H1252" t="str">
        <x:v>PASS / 13F-12 CLOSED / PUBLISHED</x:v>
      </x:c>
      <x:c r="I1252" t="str">
        <x:v>Guidance is event-type-based only; source links use existing resolveRfqSourceHref results. Priority ordering, Updates/History behavior, company scoping, source authorization and data access remain unchanged.</x:v>
      </x:c>
      <x:c r="J1252" t="str">
        <x:v>Next executable canonical task: Phase 13F / 13F-13 — Standardize guidance writing tone.</x:v>
      </x:c>
    </x:row>
    <x:row r="1253">
      <x:c r="A1253" t="n">
        <x:v>46296</x:v>
      </x:c>
      <x:c r="B1253" t="str">
        <x:v>Phase 13F / 13F-13</x:v>
      </x:c>
      <x:c r="C1253" t="str">
        <x:v>13F-13 Guidance Writing Tone Standardized</x:v>
      </x:c>
      <x:c r="D1253" t="str">
        <x:v>executive-benchmark-engine</x:v>
      </x:c>
      <x:c r="E1253" t="str">
        <x:v>9324616d59d52f4b614c8cc3712e1f4caa87caef</x:v>
      </x:c>
      <x:c r="F1253" t="str">
        <x:v>Standardized Phase 13F guidance copy across RFI, quotation readiness, evaluation exceptions and Activity attention.</x:v>
      </x:c>
      <x:c r="G1253" t="str">
        <x:v>Exactly eight authorized source/test files changed. Focused tests 27 PASS; lint/build/diff-check PASS; boundary review CLEAN-SCOPE.</x:v>
      </x:c>
      <x:c r="H1253" t="str">
        <x:v>PASS / 13F-13 CLOSED / PUBLISHED</x:v>
      </x:c>
      <x:c r="I1253" t="str">
        <x:v>Copy-only standardization: concise, professional, procurement-accurate, non-patronizing, action-oriented. Resolver logic/priorities, UI/product code, lifecycle/authorization, routing/API/data and guidance-state rules remain unchanged.</x:v>
      </x:c>
      <x:c r="J1253" t="str">
        <x:v>Next executable canonical task: Phase 13F / 13F-14 — Guidance annoyance review.</x:v>
      </x:c>
    </x:row>
    <x:row r="1254">
      <x:c r="A1254" t="n">
        <x:v>46296</x:v>
      </x:c>
      <x:c r="B1254" t="str">
        <x:v>Phase 13F / 13F-14</x:v>
      </x:c>
      <x:c r="C1254" t="str">
        <x:v>13F-14 Guidance Annoyance Review Blocked by QA Access</x:v>
      </x:c>
      <x:c r="D1254" t="str">
        <x:v>executive-benchmark-engine</x:v>
      </x:c>
      <x:c r="E1254" t="str">
        <x:v>81f73b3b47e242c27ec775e0a85a0f1534734683</x:v>
      </x:c>
      <x:c r="F1254" t="str">
        <x:v>Performed read-only guidance annoyance walkthrough. Quote Comparison verified PASS; remaining authenticated product surfaces could not be live-walked with the current local session.</x:v>
      </x:c>
      <x:c r="G1254" t="str">
        <x:v>No code changed. Quote Comparison evidence: one guidance card max, no award/winner implication, evidence remains primary, empty/low-risk states quiet, desktop/mobile responsive PASS.</x:v>
      </x:c>
      <x:c r="H1254" t="str">
        <x:v>BLOCKED / QA ACCESS EVIDENCE GAP / NO VERIFIED PRODUCT DEFECT</x:v>
      </x:c>
      <x:c r="I1254" t="str">
        <x:v>Private RFI, Quotation Submit/Revalidation, and Activity Center Needs Attention remain unverified because authenticated routes were unreachable. This is not evidence of guidance failure.</x:v>
      </x:c>
      <x:c r="J1254" t="str">
        <x:v>Establish authorized local QA session, then rerun only unverified 13F-14 surfaces and global annoyance checks. Preserve 13F-01 through 13F-13 PASS/CLOSED.</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f94722286ae942cc"/>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a17af865c3c54660"/>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U5 / Phase 13F BLOCKED — 13F-01 through 13F-13 PASS/CLOSED/PUBLISHED. 13F-14 Guidance annoyance review is BLOCKED by local authenticated QA access, not by a verified product defect. Quote Comparison annoyance QA passed on existing visual fixtures; Private RFI, Quotation Submit/Revalidation, and Activity Center remain UNVERIFIED. Next action: restore an authorized local QA session and rerun only those unverified surfaces; do not reopen completed guidance implementation.</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Blocked</x:v>
      </x:c>
      <x:c r="J9" s="133" t="str">
        <x:v>U4 / Phase 13E BLOCKED — 13E-01, 13E-04, 13E-05, 13E-06, 13E-09, 13E-10, 13E-11, 13E-12 and 13E-13 PASS/CLOSED. 13E-02, 13E-03, 13E-07 and 13E-08 remain BLOCKED/Open because their current create/publish/quote/award flows auto-navigate and expose no stable completion surface without an explicitly approved navigation/state contract change. No further dependency-independent 13E task remains. Do not reopen completed 13E primitives absent a verified defect or changed requirement.</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str">
        <x:v>Blocked</x:v>
      </x:c>
      <x:c r="J10" s="133" t="str">
        <x:v>U5 / Phase 13F BLOCKED — 13F-01 through 13F-13 PASS/CLOSED/PUBLISHED. 13F-14 Guidance annoyance review is BLOCKED by local authenticated QA access, not by a verified product defect. Quote Comparison annoyance QA passed on existing visual fixtures; Private RFI, Quotation Submit/Revalidation, and Activity Center remain UNVERIFIED. Next action: restore an authorized local QA session and rerun only those unverified surfaces; do not reopen completed guidance implementation.</x:v>
      </x:c>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37517fe15b084178"/>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024227306d154701"/>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9392814f43da430b"/>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d08f71b5e5cd478e"/>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