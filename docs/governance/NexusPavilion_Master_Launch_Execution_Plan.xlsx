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d0dfdd46de745c5" /></Relationships>
</file>

<file path=xl/workbook.xml><?xml version="1.0" encoding="utf-8"?>
<x:workbook xmlns:x="http://schemas.openxmlformats.org/spreadsheetml/2006/main">
  <x:sheets>
    <x:sheet xmlns:r="http://schemas.openxmlformats.org/officeDocument/2006/relationships" name="01 Master Plan" sheetId="1" r:id="R0e4bb3df5f2d49ea"/>
    <x:sheet xmlns:r="http://schemas.openxmlformats.org/officeDocument/2006/relationships" name="03 Launch Gates" sheetId="2" r:id="R4594323b98354359"/>
    <x:sheet xmlns:r="http://schemas.openxmlformats.org/officeDocument/2006/relationships" name="00 Dashboard" sheetId="3" r:id="R12fa9b6764234b31"/>
    <x:sheet xmlns:r="http://schemas.openxmlformats.org/officeDocument/2006/relationships" name="04 Cursor Tasks" sheetId="4" r:id="R06ded28cd0284e90"/>
    <x:sheet xmlns:r="http://schemas.openxmlformats.org/officeDocument/2006/relationships" name="05 UAT Matrix" sheetId="5" r:id="R88bc2c92b72b448a"/>
    <x:sheet xmlns:r="http://schemas.openxmlformats.org/officeDocument/2006/relationships" name="06 Security Matrix" sheetId="6" r:id="R92f47c991f354e91"/>
    <x:sheet xmlns:r="http://schemas.openxmlformats.org/officeDocument/2006/relationships" name="07 Risks" sheetId="7" r:id="R103e9f5421854eae"/>
    <x:sheet xmlns:r="http://schemas.openxmlformats.org/officeDocument/2006/relationships" name="08 Architecture" sheetId="8" r:id="R1c19770d8cc14762"/>
    <x:sheet xmlns:r="http://schemas.openxmlformats.org/officeDocument/2006/relationships" name="09 Release Checklist" sheetId="9" r:id="R6e371bec0c4a402a"/>
    <x:sheet xmlns:r="http://schemas.openxmlformats.org/officeDocument/2006/relationships" name="10 Change Log" sheetId="10" r:id="R333910f6988a4e7b"/>
    <x:sheet xmlns:r="http://schemas.openxmlformats.org/officeDocument/2006/relationships" name="11 Scope &amp; Roadmap" sheetId="11" r:id="R94a0c49c5c874670"/>
    <x:sheet xmlns:r="http://schemas.openxmlformats.org/officeDocument/2006/relationships" name="12 How to Use" sheetId="12" r:id="Rb3f1cfa2c19f47b3"/>
    <x:sheet xmlns:r="http://schemas.openxmlformats.org/officeDocument/2006/relationships" name="13 UI Program" sheetId="13" r:id="R8f5d86ca020b45e8"/>
    <x:sheet xmlns:r="http://schemas.openxmlformats.org/officeDocument/2006/relationships" name="14 UI Scorecard" sheetId="14" r:id="R734606798f4d4376"/>
    <x:sheet xmlns:r="http://schemas.openxmlformats.org/officeDocument/2006/relationships" name="15 Motion Guidance" sheetId="15" r:id="R741861f38cc5497a"/>
    <x:sheet xmlns:r="http://schemas.openxmlformats.org/officeDocument/2006/relationships" name="16 Design Standards" sheetId="16" r:id="R605fa38518e84d61"/>
    <x:sheet xmlns:r="http://schemas.openxmlformats.org/officeDocument/2006/relationships" name="17 Corporate Platform" sheetId="17" r:id="R1a7424fef41e4b9e"/>
    <x:sheet xmlns:r="http://schemas.openxmlformats.org/officeDocument/2006/relationships" name="18 Analytics Reuse Map" sheetId="18" r:id="R8c8cdc98844c41ec"/>
    <x:sheet xmlns:r="http://schemas.openxmlformats.org/officeDocument/2006/relationships" name="19 Executive Insights Discovery" sheetId="19" r:id="R013e48c306fc4d4c"/>
    <x:sheet xmlns:r="http://schemas.openxmlformats.org/officeDocument/2006/relationships" name="20 Procurement Insights Discovery" sheetId="20" r:id="R397c04d5c74849ca"/>
    <x:sheet xmlns:r="http://schemas.openxmlformats.org/officeDocument/2006/relationships" name="21 Commercial Insights Discovery" sheetId="21" r:id="R9e6601b12e214782"/>
    <x:sheet xmlns:r="http://schemas.openxmlformats.org/officeDocument/2006/relationships" name="22 Project Insights Discovery" sheetId="22" r:id="Rb46e162a8b984773"/>
    <x:sheet xmlns:r="http://schemas.openxmlformats.org/officeDocument/2006/relationships" name="23 Performance Discovery" sheetId="23" r:id="R789e75abd6504a47"/>
    <x:sheet xmlns:r="http://schemas.openxmlformats.org/officeDocument/2006/relationships" name="24 Risk Compliance Discovery" sheetId="24" r:id="R5974f6ebbb674919"/>
    <x:sheet xmlns:r="http://schemas.openxmlformats.org/officeDocument/2006/relationships" name="25 Commercial Handoff" sheetId="25" r:id="R2e8e812dbc624767"/>
    <x:sheet xmlns:r="http://schemas.openxmlformats.org/officeDocument/2006/relationships" name="26 RFQ Governance" sheetId="26" r:id="Rfe33a86f694a4b30"/>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39eaa6215e9943fc" /><Relationship Type="http://schemas.openxmlformats.org/officeDocument/2006/relationships/theme" Target="/xl/theme/theme1.xml" Id="R900644520788444e" /><Relationship Type="http://schemas.openxmlformats.org/officeDocument/2006/relationships/sharedStrings" Target="/xl/sharedStrings.xml" Id="R2bf850cd8bc44842" /><Relationship Type="http://schemas.openxmlformats.org/officeDocument/2006/relationships/worksheet" Target="/xl/worksheets/sheet1.xml" Id="R0e4bb3df5f2d49ea" /><Relationship Type="http://schemas.openxmlformats.org/officeDocument/2006/relationships/worksheet" Target="/xl/worksheets/sheet2.xml" Id="R4594323b98354359" /><Relationship Type="http://schemas.openxmlformats.org/officeDocument/2006/relationships/worksheet" Target="/xl/worksheets/sheet3.xml" Id="R12fa9b6764234b31" /><Relationship Type="http://schemas.openxmlformats.org/officeDocument/2006/relationships/worksheet" Target="/xl/worksheets/sheet4.xml" Id="R06ded28cd0284e90" /><Relationship Type="http://schemas.openxmlformats.org/officeDocument/2006/relationships/worksheet" Target="/xl/worksheets/sheet5.xml" Id="R88bc2c92b72b448a" /><Relationship Type="http://schemas.openxmlformats.org/officeDocument/2006/relationships/worksheet" Target="/xl/worksheets/sheet6.xml" Id="R92f47c991f354e91" /><Relationship Type="http://schemas.openxmlformats.org/officeDocument/2006/relationships/worksheet" Target="/xl/worksheets/sheet7.xml" Id="R103e9f5421854eae" /><Relationship Type="http://schemas.openxmlformats.org/officeDocument/2006/relationships/worksheet" Target="/xl/worksheets/sheet8.xml" Id="R1c19770d8cc14762" /><Relationship Type="http://schemas.openxmlformats.org/officeDocument/2006/relationships/worksheet" Target="/xl/worksheets/sheet9.xml" Id="R6e371bec0c4a402a" /><Relationship Type="http://schemas.openxmlformats.org/officeDocument/2006/relationships/worksheet" Target="/xl/worksheets/sheet10.xml" Id="R333910f6988a4e7b" /><Relationship Type="http://schemas.openxmlformats.org/officeDocument/2006/relationships/worksheet" Target="/xl/worksheets/sheet11.xml" Id="R94a0c49c5c874670" /><Relationship Type="http://schemas.openxmlformats.org/officeDocument/2006/relationships/worksheet" Target="/xl/worksheets/sheet12.xml" Id="Rb3f1cfa2c19f47b3" /><Relationship Type="http://schemas.openxmlformats.org/officeDocument/2006/relationships/worksheet" Target="/xl/worksheets/sheet13.xml" Id="R8f5d86ca020b45e8" /><Relationship Type="http://schemas.openxmlformats.org/officeDocument/2006/relationships/worksheet" Target="/xl/worksheets/sheet14.xml" Id="R734606798f4d4376" /><Relationship Type="http://schemas.openxmlformats.org/officeDocument/2006/relationships/worksheet" Target="/xl/worksheets/sheet15.xml" Id="R741861f38cc5497a" /><Relationship Type="http://schemas.openxmlformats.org/officeDocument/2006/relationships/worksheet" Target="/xl/worksheets/sheet16.xml" Id="R605fa38518e84d61" /><Relationship Type="http://schemas.openxmlformats.org/officeDocument/2006/relationships/worksheet" Target="/xl/worksheets/sheet17.xml" Id="R1a7424fef41e4b9e" /><Relationship Type="http://schemas.openxmlformats.org/officeDocument/2006/relationships/worksheet" Target="/xl/worksheets/sheet18.xml" Id="R8c8cdc98844c41ec" /><Relationship Type="http://schemas.openxmlformats.org/officeDocument/2006/relationships/worksheet" Target="/xl/worksheets/sheet19.xml" Id="R013e48c306fc4d4c" /><Relationship Type="http://schemas.openxmlformats.org/officeDocument/2006/relationships/worksheet" Target="/xl/worksheets/sheet20.xml" Id="R397c04d5c74849ca" /><Relationship Type="http://schemas.openxmlformats.org/officeDocument/2006/relationships/worksheet" Target="/xl/worksheets/sheet21.xml" Id="R9e6601b12e214782" /><Relationship Type="http://schemas.openxmlformats.org/officeDocument/2006/relationships/worksheet" Target="/xl/worksheets/sheet22.xml" Id="Rb46e162a8b984773" /><Relationship Type="http://schemas.openxmlformats.org/officeDocument/2006/relationships/worksheet" Target="/xl/worksheets/sheet23.xml" Id="R789e75abd6504a47" /><Relationship Type="http://schemas.openxmlformats.org/officeDocument/2006/relationships/worksheet" Target="/xl/worksheets/sheet24.xml" Id="R5974f6ebbb674919" /><Relationship Type="http://schemas.openxmlformats.org/officeDocument/2006/relationships/worksheet" Target="/xl/worksheets/sheet25.xml" Id="R2e8e812dbc624767" /><Relationship Type="http://schemas.openxmlformats.org/officeDocument/2006/relationships/worksheet" Target="/xl/worksheets/sheet26.xml" Id="Rfe33a86f694a4b30" /></Relationships>
</file>

<file path=xl/drawings/_rels/drawing1.xml.rels>&#65279;<?xml version="1.0" encoding="utf-8"?><Relationships xmlns="http://schemas.openxmlformats.org/package/2006/relationships"><Relationship Type="http://schemas.openxmlformats.org/officeDocument/2006/relationships/chart" Target="/xl/drawings/charts/chart1.xml" Id="R3ebbcf488eaf49d7"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3ebbcf488eaf49d7"/>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1df3f49957b9444e" /></Relationships>
</file>

<file path=xl/worksheets/_rels/sheet2.xml.rels>&#65279;<?xml version="1.0" encoding="utf-8"?><Relationships xmlns="http://schemas.openxmlformats.org/package/2006/relationships"><Relationship Type="http://schemas.openxmlformats.org/officeDocument/2006/relationships/table" Target="/xl/tables/table2.xml" Id="R2f09c3265ef74347" /></Relationships>
</file>

<file path=xl/worksheets/_rels/sheet3.xml.rels>&#65279;<?xml version="1.0" encoding="utf-8"?><Relationships xmlns="http://schemas.openxmlformats.org/package/2006/relationships"><Relationship Type="http://schemas.openxmlformats.org/officeDocument/2006/relationships/drawing" Target="/xl/drawings/drawing1.xml" Id="R34153b8aa4134e48" /></Relationships>
</file>

<file path=xl/worksheets/_rels/sheet4.xml.rels>&#65279;<?xml version="1.0" encoding="utf-8"?><Relationships xmlns="http://schemas.openxmlformats.org/package/2006/relationships"><Relationship Type="http://schemas.openxmlformats.org/officeDocument/2006/relationships/table" Target="/xl/tables/table3.xml" Id="Rb0e17279b67e4370" /></Relationships>
</file>

<file path=xl/worksheets/_rels/sheet5.xml.rels>&#65279;<?xml version="1.0" encoding="utf-8"?><Relationships xmlns="http://schemas.openxmlformats.org/package/2006/relationships"><Relationship Type="http://schemas.openxmlformats.org/officeDocument/2006/relationships/table" Target="/xl/tables/table4.xml" Id="R0f6f2711b21843f6" /></Relationships>
</file>

<file path=xl/worksheets/_rels/sheet6.xml.rels>&#65279;<?xml version="1.0" encoding="utf-8"?><Relationships xmlns="http://schemas.openxmlformats.org/package/2006/relationships"><Relationship Type="http://schemas.openxmlformats.org/officeDocument/2006/relationships/table" Target="/xl/tables/table5.xml" Id="R8aa1b6ffb16a42d5" /></Relationships>
</file>

<file path=xl/worksheets/_rels/sheet7.xml.rels>&#65279;<?xml version="1.0" encoding="utf-8"?><Relationships xmlns="http://schemas.openxmlformats.org/package/2006/relationships"><Relationship Type="http://schemas.openxmlformats.org/officeDocument/2006/relationships/table" Target="/xl/tables/table6.xml" Id="R2a0d6552ae6442e9" /></Relationships>
</file>

<file path=xl/worksheets/_rels/sheet9.xml.rels>&#65279;<?xml version="1.0" encoding="utf-8"?><Relationships xmlns="http://schemas.openxmlformats.org/package/2006/relationships"><Relationship Type="http://schemas.openxmlformats.org/officeDocument/2006/relationships/table" Target="/xl/tables/table7.xml" Id="R52b2e8610955431c" /></Relationships>
</file>

<file path=xl/worksheets/_rels/sheet10.xml.rels>&#65279;<?xml version="1.0" encoding="utf-8"?><Relationships xmlns="http://schemas.openxmlformats.org/package/2006/relationships"><Relationship Type="http://schemas.openxmlformats.org/officeDocument/2006/relationships/table" Target="/xl/tables/table8.xml" Id="Rc39a95d51693448e" /></Relationships>
</file>

<file path=xl/worksheets/_rels/sheet11.xml.rels>&#65279;<?xml version="1.0" encoding="utf-8"?><Relationships xmlns="http://schemas.openxmlformats.org/package/2006/relationships"><Relationship Type="http://schemas.openxmlformats.org/officeDocument/2006/relationships/table" Target="/xl/tables/table9.xml" Id="R68e1341fe8c140f4" /></Relationships>
</file>

<file path=xl/worksheets/_rels/sheet13.xml.rels>&#65279;<?xml version="1.0" encoding="utf-8"?><Relationships xmlns="http://schemas.openxmlformats.org/package/2006/relationships"><Relationship Type="http://schemas.openxmlformats.org/officeDocument/2006/relationships/table" Target="/xl/tables/table10.xml" Id="R8e5d3c156ac94dda" /></Relationships>
</file>

<file path=xl/worksheets/_rels/sheet14.xml.rels>&#65279;<?xml version="1.0" encoding="utf-8"?><Relationships xmlns="http://schemas.openxmlformats.org/package/2006/relationships"><Relationship Type="http://schemas.openxmlformats.org/officeDocument/2006/relationships/table" Target="/xl/tables/table11.xml" Id="Rf2ec58e8aba64903" /></Relationships>
</file>

<file path=xl/worksheets/_rels/sheet15.xml.rels>&#65279;<?xml version="1.0" encoding="utf-8"?><Relationships xmlns="http://schemas.openxmlformats.org/package/2006/relationships"><Relationship Type="http://schemas.openxmlformats.org/officeDocument/2006/relationships/table" Target="/xl/tables/table12.xml" Id="Rf3088b64ad1c468c" /></Relationships>
</file>

<file path=xl/worksheets/_rels/sheet16.xml.rels>&#65279;<?xml version="1.0" encoding="utf-8"?><Relationships xmlns="http://schemas.openxmlformats.org/package/2006/relationships"><Relationship Type="http://schemas.openxmlformats.org/officeDocument/2006/relationships/table" Target="/xl/tables/table13.xml" Id="Rb053b15acd814f1e"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v>✓</x:v>
      </x:c>
      <x:c r="B237" s="133" t="str">
        <x:v>13B-03</x:v>
      </x:c>
      <x:c r="C237" s="133" t="str">
        <x:v>13B Dark Design System Foundation</x:v>
      </x:c>
      <x:c r="D237" s="133" t="str">
        <x:v>Typography</x:v>
      </x:c>
      <x:c r="E237" s="133" t="str">
        <x:v>Standardize typography scale</x:v>
      </x:c>
      <x:c r="F237" s="133" t="str">
        <x:v>Page titles, section titles, body, labels, tables, metadata and numeric emphasis use one hierarchy.</x:v>
      </x:c>
      <x:c r="G237" s="133" t="str">
        <x:v>P0</x:v>
      </x:c>
      <x:c r="H237" s="133" t="str">
        <x:v>Completed</x:v>
      </x:c>
      <x:c r="I237" s="133" t="str">
        <x:v>Project Owner / Product / Engineering</x:v>
      </x:c>
      <x:c r="J237" s="133"/>
      <x:c r="K237" s="133" t="str">
        <x:v>13A-04</x:v>
      </x:c>
      <x:c r="L237" s="133"/>
      <x:c r="M237" s="133" t="str">
        <x:v>PASS / TYPOGRAPHY SCALE CENTRALIZED — Published commit 2ca09d789eb57b6fec51c4fc5ca9f48d79d98323 updates only globals.css, executive-contract.ts and its focused test. Existing Inter-based np-type roles (eyebrow, h1, h2, h3, body, meta, kpi) now consume one shared responsive token set rather than repeating sizes/weights/leading across class and breakpoint definitions. Current visual scale and responsive intent are preserved.</x:v>
      </x:c>
      <x:c r="N237" s="249"/>
      <x:c r="O237" s="249" t="n">
        <x:v>46295</x:v>
      </x:c>
      <x:c r="P237" s="135" t="str">
        <x:v>Validation before publication: focused design-system tests PASS (34), lint PASS, build PASS, git diff --check PASS. Pre-commit boundary review confirmed all three files CLEAN-SCOPE with no unrelated edits. Page-local text-* classes remain outside this task and are intentionally deferred to later adoption/page-upgrade work. No colors/spacing/motion/business logic changed. Next: 13B-04 — Standardize spacing/grid tokens.</x:v>
      </x:c>
    </x:row>
    <x:row r="238">
      <x:c r="A238" s="133" t="str">
        <x:v>✓</x:v>
      </x:c>
      <x:c r="B238" s="133" t="str">
        <x:v>13B-04</x:v>
      </x:c>
      <x:c r="C238" s="133" t="str">
        <x:v>13B Dark Design System Foundation</x:v>
      </x:c>
      <x:c r="D238" s="133" t="str">
        <x:v>Spacing</x:v>
      </x:c>
      <x:c r="E238" s="133" t="str">
        <x:v>Standardize spacing/grid tokens</x:v>
      </x:c>
      <x:c r="F238" s="133" t="str">
        <x:v>Consistent page/container/card/control spacing replaces page-specific magic values.</x:v>
      </x:c>
      <x:c r="G238" s="133" t="str">
        <x:v>P0</x:v>
      </x:c>
      <x:c r="H238" s="133" t="str">
        <x:v>Completed</x:v>
      </x:c>
      <x:c r="I238" s="133" t="str">
        <x:v>Project Owner / Product / Engineering</x:v>
      </x:c>
      <x:c r="J238" s="133"/>
      <x:c r="K238" s="133" t="str">
        <x:v>13A-04</x:v>
      </x:c>
      <x:c r="L238" s="133"/>
      <x:c r="M238" s="133" t="str">
        <x:v>PASS / SPACING-GRID TOKENS CENTRALIZED — Published commit b401de987f20bf696be6f244c4d5bab075d72a76 updates only globals.css, executive-contract.ts and its focused test. Existing 1680px content width, 330px sidebar width, region spacing, and responsive page padding are now represented through shared layout variables/roles. EXECUTIVE_PAGE_CLASS now resolves to the canonical np-page contract instead of duplicating max-width and padding utilities. Current rendered layout is intentionally unchanged.</x:v>
      </x:c>
      <x:c r="N238" s="249"/>
      <x:c r="O238" s="249" t="n">
        <x:v>46295</x:v>
      </x:c>
      <x:c r="P238" s="135" t="str">
        <x:v>Validation before publication: focused design-system tests PASS (35), lint PASS, build PASS, git diff --check PASS. Pre-commit boundary review confirmed all three files CLEAN-SCOPE with no unrelated edits. Page/shell hard-coded 1680px and 330px values outside the design-system contract remain intentionally deferred to later adoption/shell work. No typography/colors/radii/motion/business logic changed. Next: 13B-05 — Standardize surface, border, radius and elevation tokens.</x:v>
      </x:c>
    </x:row>
    <x:row r="239">
      <x:c r="A239" s="133" t="str">
        <x:v>✓</x:v>
      </x:c>
      <x:c r="B239" s="133" t="str">
        <x:v>13B-05</x:v>
      </x:c>
      <x:c r="C239" s="133" t="str">
        <x:v>13B Dark Design System Foundation</x:v>
      </x:c>
      <x:c r="D239" s="133" t="str">
        <x:v>Surfaces</x:v>
      </x:c>
      <x:c r="E239" s="133" t="str">
        <x:v>Standardize surface, border, radius and elevation tokens</x:v>
      </x:c>
      <x:c r="F239" s="133" t="str">
        <x:v>Panels/cards/modals use restrained enterprise depth rather than inconsistent shadows/glass effects.</x:v>
      </x:c>
      <x:c r="G239" s="133" t="str">
        <x:v>P0</x:v>
      </x:c>
      <x:c r="H239" s="133" t="str">
        <x:v>Completed</x:v>
      </x:c>
      <x:c r="I239" s="133" t="str">
        <x:v>Project Owner / Product / Engineering</x:v>
      </x:c>
      <x:c r="J239" s="133"/>
      <x:c r="K239" s="133" t="str">
        <x:v>13B-01</x:v>
      </x:c>
      <x:c r="L239" s="133"/>
      <x:c r="M239" s="133" t="str">
        <x:v>PASS / SURFACE-DEPTH TOKENS CENTRALIZED — Published commit bf86fd292020483fef557037a28f1d9009410e6e updates only globals.css, executive-contract.ts and its focused test. Existing surface roles (base/elevated/muted), border roles (subtle/strong), and depth roles (tile/panel/modal) are now explicit. Radius naming is normalized so tile=24px, panel=32px, modal=panel; legacy rounded-executive remains an alias to the tile radius. Elevation aliases now distinguish tile/panel/modal while preserving the current rendered depth.</x:v>
      </x:c>
      <x:c r="N239" s="249"/>
      <x:c r="O239" s="249" t="n">
        <x:v>46295</x:v>
      </x:c>
      <x:c r="P239" s="135" t="str">
        <x:v>Validation before publication: focused design-system tests PASS (36), lint PASS, build PASS, git diff --check PASS. Pre-commit boundary review confirmed all three files CLEAN-SCOPE with no unrelated edits. Page/component-local rounded-* and shadow values remain intentionally deferred to later component/page adoption work. No intentional visual redesign, business logic, DB/Auth/RLS or Production change. Next: 13B-06 — Standardize semantic status palette.</x:v>
      </x:c>
    </x:row>
    <x:row r="240">
      <x:c r="A240" s="133" t="str">
        <x:v>✓</x:v>
      </x:c>
      <x:c r="B240" s="133" t="str">
        <x:v>13B-06</x:v>
      </x:c>
      <x:c r="C240" s="133" t="str">
        <x:v>13B Dark Design System Foundation</x:v>
      </x:c>
      <x:c r="D240" s="133" t="str">
        <x:v>Status</x:v>
      </x:c>
      <x:c r="E240" s="133" t="str">
        <x:v>Standardize semantic status palette</x:v>
      </x:c>
      <x:c r="F240" s="133" t="str">
        <x:v>Success, warning, risk, info and neutral states are visually consistent and accessible.</x:v>
      </x:c>
      <x:c r="G240" s="133" t="str">
        <x:v>P0</x:v>
      </x:c>
      <x:c r="H240" s="133" t="str">
        <x:v>Completed</x:v>
      </x:c>
      <x:c r="I240" s="133" t="str">
        <x:v>Project Owner / Product / Engineering</x:v>
      </x:c>
      <x:c r="J240" s="133"/>
      <x:c r="K240" s="133" t="str">
        <x:v>13B-01</x:v>
      </x:c>
      <x:c r="L240" s="133"/>
      <x:c r="M240" s="133" t="str">
        <x:v>PASS / SEMANTIC STATUS PALETTE CENTRALIZED — Published commit 5d791e658841761b7b29902f65a0f4e3162573d2 updates globals.css, executive-contract.ts, executive-contract.test.ts, and ExecutiveBadge only. Shared semantic roles success/warning/risk/info/neutral now map to existing Nexus status colors, and ExecutiveBadge consumes those status tokens instead of local emerald/orange/red utility palettes. Awarded/recommended/locked aliases and business meanings remain unchanged.</x:v>
      </x:c>
      <x:c r="N240" s="249"/>
      <x:c r="O240" s="249" t="n">
        <x:v>46295</x:v>
      </x:c>
      <x:c r="P240" s="135" t="str">
        <x:v>Validation before publication: focused design-system tests PASS (36), lint PASS, build PASS, git diff --check PASS. Pre-commit scope/semantic review confirmed all four files CLEAN-SCOPE, no unrelated edits, no RFQ/Award/business logic or status-label changes. Intentional visual change is limited to semantic palette normalization. Other local status chips remain deferred to later shared-component/page adoption work. Next: 13B-07 — Define Nexus Intelligence visual language.</x:v>
      </x:c>
    </x:row>
    <x:row r="241">
      <x:c r="A241" s="133" t="str">
        <x:v>✓</x:v>
      </x:c>
      <x:c r="B241" s="133" t="str">
        <x:v>13B-07</x:v>
      </x:c>
      <x:c r="C241" s="133" t="str">
        <x:v>13B Dark Design System Foundation</x:v>
      </x:c>
      <x:c r="D241" s="133" t="str">
        <x:v>Intelligence</x:v>
      </x:c>
      <x:c r="E241" s="133" t="str">
        <x:v>Define Nexus Intelligence visual language</x:v>
      </x:c>
      <x:c r="F241" s="133" t="str">
        <x:v>One restrained visual treatment/icon/accent identifies intelligence without emoji/neon/AI-badge clutter.</x:v>
      </x:c>
      <x:c r="G241" s="133" t="str">
        <x:v>P1</x:v>
      </x:c>
      <x:c r="H241" s="133" t="str">
        <x:v>Completed</x:v>
      </x:c>
      <x:c r="I241" s="133" t="str">
        <x:v>Project Owner / Product / Engineering</x:v>
      </x:c>
      <x:c r="J241" s="133"/>
      <x:c r="K241" s="133" t="str">
        <x:v>13B-01</x:v>
      </x:c>
      <x:c r="L241" s="133"/>
      <x:c r="M241" s="133" t="str">
        <x:v>PASS / NEXUS INTELLIGENCE VISUAL CONTRACT DEFINED — Published commit 3ea9ce7eee2ceb85e19423d508e83def57831986 updates only globals.css, executive-contract.ts and its focused test. The shared intelligence language reuses the existing cyan accent, quiet elevated surface, subtle cyan border, and circular mark convention. No new component was created, and no page/component migration or redesign was included.</x:v>
      </x:c>
      <x:c r="N241" s="249"/>
      <x:c r="O241" s="249" t="n">
        <x:v>46295</x:v>
      </x:c>
      <x:c r="P241" s="135" t="str">
        <x:v>Validation before publication: focused design-system tests PASS (37), lint PASS, build PASS, git diff --check PASS. Pre-commit boundary review confirmed all three files CLEAN-SCOPE with no unrelated edits. Intentional visual change: NO. Existing intelligence surfaces that still use local cyan hex/orange treatments are intentionally deferred to later controlled adoption. Next: 13B-08 — Standardize focus/hover/selected/disabled states.</x:v>
      </x:c>
    </x:row>
    <x:row r="242">
      <x:c r="A242" s="133" t="str">
        <x:v>✓</x:v>
      </x:c>
      <x:c r="B242" s="133" t="str">
        <x:v>13B-08</x:v>
      </x:c>
      <x:c r="C242" s="133" t="str">
        <x:v>13B Dark Design System Foundation</x:v>
      </x:c>
      <x:c r="D242" s="133" t="str">
        <x:v>Focus</x:v>
      </x:c>
      <x:c r="E242" s="133" t="str">
        <x:v>Standardize focus/hover/selected/disabled states</x:v>
      </x:c>
      <x:c r="F242" s="133" t="str">
        <x:v>Keyboard and pointer states are predictable across all shared controls.</x:v>
      </x:c>
      <x:c r="G242" s="133" t="str">
        <x:v>P0</x:v>
      </x:c>
      <x:c r="H242" s="133" t="str">
        <x:v>Completed</x:v>
      </x:c>
      <x:c r="I242" s="133" t="str">
        <x:v>Project Owner / Product / Engineering</x:v>
      </x:c>
      <x:c r="J242" s="133"/>
      <x:c r="K242" s="133" t="str">
        <x:v>13B-01</x:v>
      </x:c>
      <x:c r="L242" s="133"/>
      <x:c r="M242" s="133" t="str">
        <x:v>PASS / SHARED INTERACTION-STATE CONTRACT STANDARDIZED — Published commit e71ad1c4cd6a22f6a118f417b3dd50c2fb8f2663 updates only globals.css, executive-contract.ts and its focused test. Existing focus-visible, hover, selected/active and disabled patterns are now represented by one shared np-control contract using semantic Nexus tokens. Selected state remains distinct from hover, disabled remains clearly non-interactive, and keyboard focus uses focus-visible.</x:v>
      </x:c>
      <x:c r="N242" s="249"/>
      <x:c r="O242" s="249" t="n">
        <x:v>46295</x:v>
      </x:c>
      <x:c r="P242" s="135" t="str">
        <x:v>Validation before publication: focused design-system tests PASS (38), lint PASS, build PASS, git diff --check PASS. Pre-commit boundary review confirmed all three files CLEAN-SCOPE with no unrelated edits, no page/control migration, and no handler/behavior changes. Existing controls that still use local interaction classes are intentionally deferred to later controlled adoption. Next: 13B-09 — Define motion tokens.</x:v>
      </x:c>
    </x:row>
    <x:row r="243">
      <x:c r="A243" s="133" t="str">
        <x:v>✓</x:v>
      </x:c>
      <x:c r="B243" s="133" t="str">
        <x:v>13B-09</x:v>
      </x:c>
      <x:c r="C243" s="133" t="str">
        <x:v>13B Dark Design System Foundation</x:v>
      </x:c>
      <x:c r="D243" s="133" t="str">
        <x:v>Motion</x:v>
      </x:c>
      <x:c r="E243" s="133" t="str">
        <x:v>Define motion tokens</x:v>
      </x:c>
      <x:c r="F243" s="133" t="str">
        <x:v>Fast 140ms, standard 220ms, context 300ms and milestone ~650ms tokens are centrally defined.</x:v>
      </x:c>
      <x:c r="G243" s="133" t="str">
        <x:v>P0</x:v>
      </x:c>
      <x:c r="H243" s="133" t="str">
        <x:v>Completed</x:v>
      </x:c>
      <x:c r="I243" s="133" t="str">
        <x:v>Project Owner / Product / Engineering</x:v>
      </x:c>
      <x:c r="J243" s="133"/>
      <x:c r="K243" s="133" t="str">
        <x:v>13A-06</x:v>
      </x:c>
      <x:c r="L243" s="133"/>
      <x:c r="M243" s="133" t="str">
        <x:v>PASS / MOTION-DURATION TOKENS DEFINED — Published commit 08c7afbad2dabfe76a1ea9a16d593dddabc64b35 updates only globals.css, executive-contract.ts and its focused test. Canonical motion duration roles are now fast=140ms, standard=220ms, context=300ms, and milestone=650ms. Existing rendered behavior is unchanged; no easing, reduced-motion, component, or page migration was included.</x:v>
      </x:c>
      <x:c r="N243" s="249"/>
      <x:c r="O243" s="249" t="n">
        <x:v>46295</x:v>
      </x:c>
      <x:c r="P243" s="135" t="str">
        <x:v>Validation before publication: focused design-system tests PASS (39), lint PASS, build PASS, git diff --check PASS. Pre-commit boundary review confirmed all three files CLEAN-SCOPE with no unrelated edits, no easing changes, no reduced-motion changes, and no page/component migration. Existing duration-200/duration-300 utilities remain intentionally deferred to later controlled adoption. Next: 13B-10 — Define easing and reduced-motion behavior.</x:v>
      </x:c>
    </x:row>
    <x:row r="244">
      <x:c r="A244" s="133" t="str">
        <x:v>✓</x:v>
      </x:c>
      <x:c r="B244" s="133" t="str">
        <x:v>13B-10</x:v>
      </x:c>
      <x:c r="C244" s="133" t="str">
        <x:v>13B Dark Design System Foundation</x:v>
      </x:c>
      <x:c r="D244" s="133" t="str">
        <x:v>Motion</x:v>
      </x:c>
      <x:c r="E244" s="133" t="str">
        <x:v>Define easing and reduced-motion behavior</x:v>
      </x:c>
      <x:c r="F244" s="133" t="str">
        <x:v>Motion uses restrained easing; prefers-reduced-motion disables unnecessary translation/pulse effects.</x:v>
      </x:c>
      <x:c r="G244" s="133" t="str">
        <x:v>P0</x:v>
      </x:c>
      <x:c r="H244" s="133" t="str">
        <x:v>Completed</x:v>
      </x:c>
      <x:c r="I244" s="133" t="str">
        <x:v>Project Owner / Product / Engineering</x:v>
      </x:c>
      <x:c r="J244" s="133"/>
      <x:c r="K244" s="133" t="str">
        <x:v>13B-09</x:v>
      </x:c>
      <x:c r="L244" s="133"/>
      <x:c r="M244" s="133" t="str">
        <x:v>PASS / EASING + REDUCED-MOTION CONTRACT DEFINED — Published commit 90953c61e71a4c9a159cab3e32be02c24e5c5080 updates only globals.css, executive-contract.ts and its focused test. A restrained standard easing token cubic-bezier(0.2, 0, 0, 1) is now canonical. The existing prefers-reduced-motion rule is formalized to suppress animation names and transition properties while retaining the instant 0.01ms fallback. Normal-motion behavior and 13B-09 duration values remain unchanged.</x:v>
      </x:c>
      <x:c r="N244" s="249"/>
      <x:c r="O244" s="249" t="n">
        <x:v>46295</x:v>
      </x:c>
      <x:c r="P244" s="135" t="str">
        <x:v>Validation before publication: focused design-system tests PASS (40), lint PASS, build PASS, git diff --check PASS. Pre-commit boundary review confirmed all three files CLEAN-SCOPE with no unrelated edits, no page/component migration, no new animations, no normal-motion behavior change, and no motion-duration changes. Existing transitions that still use browser/default easing remain intentionally deferred to Phase 13E controlled adoption. Next: 13B-11 — Standardize logo treatment on dark surfaces.</x:v>
      </x:c>
    </x:row>
    <x:row r="245">
      <x:c r="A245" s="133" t="str">
        <x:v>✓</x:v>
      </x:c>
      <x:c r="B245" s="133" t="str">
        <x:v>13B-11</x:v>
      </x:c>
      <x:c r="C245" s="133" t="str">
        <x:v>13B Dark Design System Foundation</x:v>
      </x:c>
      <x:c r="D245" s="133" t="str">
        <x:v>Brand</x:v>
      </x:c>
      <x:c r="E245" s="133" t="str">
        <x:v>Standardize logo treatment on dark surfaces</x:v>
      </x:c>
      <x:c r="F245" s="133" t="str">
        <x:v>Canonical logo placement, padding, minimum size and dark-background treatment are documented and reused.</x:v>
      </x:c>
      <x:c r="G245" s="133" t="str">
        <x:v>P0</x:v>
      </x:c>
      <x:c r="H245" s="133" t="str">
        <x:v>Completed</x:v>
      </x:c>
      <x:c r="I245" s="133" t="str">
        <x:v>Project Owner / Product / Engineering</x:v>
      </x:c>
      <x:c r="J245" s="133"/>
      <x:c r="K245" s="133" t="str">
        <x:v>13A-02</x:v>
      </x:c>
      <x:c r="L245" s="133"/>
      <x:c r="M245" s="133" t="str">
        <x:v>PASS / DARK-SURFACE LOGO CONTRACT STANDARDIZED — Published commit 76d82183ad5bb30a00f68c9305579d4b6d9b4a41 updates globals.css, executive-contract.ts, its focused test, and only the scoped dark-surface hunks in nexus-pavilion-logo.tsx. The canonical component now supports surface="dark" through np-logo-dark, with 32px minimum size, 12px clear space, transparent background and intrinsic aspect preservation. Official logo assets, geometry, colors, proportions and variant semantics were not modified.</x:v>
      </x:c>
      <x:c r="N245" s="249"/>
      <x:c r="O245" s="249" t="n">
        <x:v>46295</x:v>
      </x:c>
      <x:c r="P245" s="135" t="str">
        <x:v>Validation before publication: focused tests PASS (72), lint PASS, build PASS, git diff --check PASS. The logo component contained pre-existing unrelated loading/fetchPriority work; selective staging excluded those hunks and preserved them in the working tree. Independent remote verification confirms the commit contains exactly the three clean design-system files plus only the surface="dark" / np-logo-dark wiring in the logo component. No page/shell migration or asset edits were included. Next: 13B-12 — Design-system foundation review.</x:v>
      </x:c>
    </x:row>
    <x:row r="246">
      <x:c r="A246" s="133" t="str">
        <x:v>✓</x:v>
      </x:c>
      <x:c r="B246" s="133" t="str">
        <x:v>13B-12</x:v>
      </x:c>
      <x:c r="C246" s="133" t="str">
        <x:v>13B Dark Design System Foundation</x:v>
      </x:c>
      <x:c r="D246" s="133" t="str">
        <x:v>Review</x:v>
      </x:c>
      <x:c r="E246" s="133" t="str">
        <x:v>Design-system foundation review</x:v>
      </x:c>
      <x:c r="F246" s="133" t="str">
        <x:v>No core page styling work starts until shared tokens are accepted and visual regressions are understood.</x:v>
      </x:c>
      <x:c r="G246" s="133" t="str">
        <x:v>P0</x:v>
      </x:c>
      <x:c r="H246" s="133" t="str">
        <x:v>Completed</x:v>
      </x:c>
      <x:c r="I246" s="133" t="str">
        <x:v>Project Owner / Product / Engineering</x:v>
      </x:c>
      <x:c r="J246" s="133"/>
      <x:c r="K246" s="133" t="str">
        <x:v>13B-01</x:v>
      </x:c>
      <x:c r="L246" s="133"/>
      <x:c r="M246" s="133" t="str">
        <x:v>PASS / DESIGN-SYSTEM FOUNDATION GATE — Read-only review at HEAD 378ac6461ec77a49e25559469ce58f27dfbedbc8 confirmed the completed 13B foundation is coherent and ready for Phase 13C. Semantic colors, typography, spacing/grid, surfaces/depth, status palette, Nexus Intelligence language, interaction states, motion durations, easing/reduced motion, dark-surface logo treatment, light-mode compatibility, and accessibility contracts all PASS. No blocking design-system defect was found.</x:v>
      </x:c>
      <x:c r="N246" s="249"/>
      <x:c r="O246" s="249" t="n">
        <x:v>46295</x:v>
      </x:c>
      <x:c r="P246" s="135" t="str">
        <x:v>Validation: focused design-system tests PASS (41), lint PASS, build PASS, git diff --check PASS. No files were modified during the review. Deferred adoption gaps remain, including existing page/component-local styling and motion classes, but these are non-blocking and intentionally proceed through later controlled 13C/13D/13E/13H adoption work. Gate recommendation: PASS — proceed to 13C. Next: 13C-01 — Standardize button system.</x:v>
      </x:c>
    </x:row>
    <x:row r="247">
      <x:c r="A247" s="133" t="str">
        <x:v>✓</x:v>
      </x:c>
      <x:c r="B247" s="133" t="str">
        <x:v>13C-01</x:v>
      </x:c>
      <x:c r="C247" s="133" t="str">
        <x:v>13C Shared Enterprise Components</x:v>
      </x:c>
      <x:c r="D247" s="133" t="str">
        <x:v>Components</x:v>
      </x:c>
      <x:c r="E247" s="133" t="str">
        <x:v>Standardize button system</x:v>
      </x:c>
      <x:c r="F247" s="133" t="str">
        <x:v>Primary/secondary/tertiary/destructive/icon/loading/disabled buttons share one behavior.</x:v>
      </x:c>
      <x:c r="G247" s="133" t="str">
        <x:v>P0</x:v>
      </x:c>
      <x:c r="H247" s="133" t="str">
        <x:v>Completed</x:v>
      </x:c>
      <x:c r="I247" s="133" t="str">
        <x:v>Project Owner / Product / Engineering</x:v>
      </x:c>
      <x:c r="J247" s="133" t="str">
        <x:v>Cursor UI 03</x:v>
      </x:c>
      <x:c r="K247" s="133" t="str">
        <x:v>13B-12</x:v>
      </x:c>
      <x:c r="L247" s="133"/>
      <x:c r="M247" s="133" t="str">
        <x:v>PASS / EXECUTIVE BUTTON CONTRACT STANDARDIZED — Published commit 0c507085e76a69e315f2887803cfb53f1f00556a updates only executive-contract.ts and its focused test. The existing executive CTA contract is extended into one shared button system covering primary, secondary, tertiary, destructive and icon roles, with shared loading and disabled-state behavior. Existing click/form/navigation behavior is preserved and no new component was created.</x:v>
      </x:c>
      <x:c r="N247" s="249"/>
      <x:c r="O247" s="249" t="n">
        <x:v>46295</x:v>
      </x:c>
      <x:c r="P247" s="135" t="str">
        <x:v>Validation before publication: focused button/design-system tests PASS (71), lint PASS, build PASS, git diff --check PASS. Pre-commit boundary review confirmed both files CLEAN-SCOPE with no page/component migration, no RegisterForm change, no click/submit/navigation/business-logic change and no unrelated edits. Pages and RegisterForm still using local/light-theme button classes are deferred to controlled adoption. Next: 13C-02 — Standardize form controls.</x:v>
      </x:c>
    </x:row>
    <x:row r="248">
      <x:c r="A248" s="133" t="str">
        <x:v>✓</x:v>
      </x:c>
      <x:c r="B248" s="133" t="str">
        <x:v>13C-02</x:v>
      </x:c>
      <x:c r="C248" s="133" t="str">
        <x:v>13C Shared Enterprise Components</x:v>
      </x:c>
      <x:c r="D248" s="133" t="str">
        <x:v>Components</x:v>
      </x:c>
      <x:c r="E248" s="133" t="str">
        <x:v>Standardize form controls</x:v>
      </x:c>
      <x:c r="F248" s="133" t="str">
        <x:v>Inputs, textareas, selects, checkboxes, radio and validation states share one dark-first system.</x:v>
      </x:c>
      <x:c r="G248" s="133" t="str">
        <x:v>P0</x:v>
      </x:c>
      <x:c r="H248" s="133" t="str">
        <x:v>Completed</x:v>
      </x:c>
      <x:c r="I248" s="133" t="str">
        <x:v>Project Owner / Product / Engineering</x:v>
      </x:c>
      <x:c r="J248" s="133"/>
      <x:c r="K248" s="133" t="str">
        <x:v>13B-12</x:v>
      </x:c>
      <x:c r="L248" s="133"/>
      <x:c r="M248" s="133" t="str">
        <x:v>PASS / EXECUTIVE FORM-CONTROL CONTRACT STANDARDIZED — Published commit 2dd0043c360a0c003d57ff7a0cad7a4a28e39d32 updates only executive-contract.ts and its focused test. The shared dark-first form contract now covers input, textarea, select, checkbox and radio controls together with label, helper, error, disabled and read-only states. Existing semantic focus/status tokens and native accessible control behavior are preserved; no new form component was created.</x:v>
      </x:c>
      <x:c r="N248" s="249"/>
      <x:c r="O248" s="249" t="n">
        <x:v>46295</x:v>
      </x:c>
      <x:c r="P248" s="135" t="str">
        <x:v>Validation before publication: focused form/design-system tests PASS (43), lint PASS, build PASS, git diff --check PASS. Pre-commit boundary review confirmed both files CLEAN-SCOPE with no page/form migration, no RegisterForm change, no date/deadline work, no validation/schema/submit/business-logic change and no unrelated edits. Existing local field classes and the light-theme RegisterForm input remain deferred to controlled adoption. Next: 13C-03 — Standardize date/deadline controls.</x:v>
      </x:c>
    </x:row>
    <x:row r="249">
      <x:c r="A249" s="133" t="str">
        <x:v>✓</x:v>
      </x:c>
      <x:c r="B249" s="133" t="str">
        <x:v>13C-03</x:v>
      </x:c>
      <x:c r="C249" s="133" t="str">
        <x:v>13C Shared Enterprise Components</x:v>
      </x:c>
      <x:c r="D249" s="133" t="str">
        <x:v>Components</x:v>
      </x:c>
      <x:c r="E249" s="133" t="str">
        <x:v>Standardize date/deadline controls</x:v>
      </x:c>
      <x:c r="F249" s="133" t="str">
        <x:v>RFQ/RFI/submission dates use consistent control, timezone display and validation treatment.</x:v>
      </x:c>
      <x:c r="G249" s="133" t="str">
        <x:v>P0</x:v>
      </x:c>
      <x:c r="H249" s="133" t="str">
        <x:v>Completed</x:v>
      </x:c>
      <x:c r="I249" s="133" t="str">
        <x:v>Project Owner / Product / Engineering</x:v>
      </x:c>
      <x:c r="J249" s="133"/>
      <x:c r="K249" s="133" t="str">
        <x:v>13B-12</x:v>
      </x:c>
      <x:c r="L249" s="133"/>
      <x:c r="M249" s="133" t="str">
        <x:v>PASS / DATE-DEADLINE CONTROL CONTRACT STANDARDIZED — Published commit d111e3d4b95c7221bca3fb3aeca3a221219974a2 updates DeadlineField, executive-contract.ts and its focused test. The existing DeadlineField now consumes the shared dark-first form contract for datetime and timezone controls, with standardized timezone badge, label/helper treatment and semantic validation styling. Deadline parsing, timezone conversion, min/max validation, RFQ/RFI/procurement opening logic and existing event handlers remain unchanged.</x:v>
      </x:c>
      <x:c r="N249" s="249"/>
      <x:c r="O249" s="249" t="n">
        <x:v>46295</x:v>
      </x:c>
      <x:c r="P249" s="135" t="str">
        <x:v>Validation before publication: focused date/deadline + design-system tests PASS (82), lint PASS, build PASS, git diff --check PASS. Pre-commit scope/behavior review confirmed all three files CLEAN-SCOPE, with no parsing, timezone-conversion, min/max validation or procurement/deadline business-logic changes. Intentional visual change is limited to the shared dark-first date/deadline treatment. Standalone date inputs outside DeadlineField remain deferred to controlled adoption. Next: 13C-04 — Standardize badges/status chips.</x:v>
      </x:c>
    </x:row>
    <x:row r="250">
      <x:c r="A250" s="133" t="str">
        <x:v>✓</x:v>
      </x:c>
      <x:c r="B250" s="133" t="str">
        <x:v>13C-04</x:v>
      </x:c>
      <x:c r="C250" s="133" t="str">
        <x:v>13C Shared Enterprise Components</x:v>
      </x:c>
      <x:c r="D250" s="133" t="str">
        <x:v>Components</x:v>
      </x:c>
      <x:c r="E250" s="133" t="str">
        <x:v>Standardize badges/status chips</x:v>
      </x:c>
      <x:c r="F250" s="133" t="str">
        <x:v>RFQ, RFI, quote, award, risk and workflow statuses use one semantic badge system.</x:v>
      </x:c>
      <x:c r="G250" s="133" t="str">
        <x:v>P0</x:v>
      </x:c>
      <x:c r="H250" s="133" t="str">
        <x:v>Completed</x:v>
      </x:c>
      <x:c r="I250" s="133" t="str">
        <x:v>Project Owner / Product / Engineering</x:v>
      </x:c>
      <x:c r="J250" s="133"/>
      <x:c r="K250" s="133" t="str">
        <x:v>13B-12</x:v>
      </x:c>
      <x:c r="L250" s="133"/>
      <x:c r="M250" s="133" t="str">
        <x:v>PASS / SEMANTIC BADGE SYSTEM STANDARDIZED — Published commit 4af570c530859b8572a0a4d48cc2ad2547b5fdc1 updates ExecutiveBadge, the existing RFQ workspace ExecutiveStatusBadge helper, executive-contract.ts and its focused test. Canonical semantic badge roles/classes now live in the shared contract, and both shared badge implementations consume the same success/warning/risk/info/neutral/gold/board treatment. Awarded, recommended and locked alias semantics remain unchanged; no new badge component was created.</x:v>
      </x:c>
      <x:c r="N250" s="249"/>
      <x:c r="O250" s="249" t="n">
        <x:v>46295</x:v>
      </x:c>
      <x:c r="P250" s="135" t="str">
        <x:v>Validation before publication: focused badge/design-system tests PASS (73), lint PASS, build PASS, git diff --check PASS. Pre-commit semantic review confirmed all four files CLEAN-SCOPE, with no status-name/meaning changes, no RFQ/RFI/quote/award workflow or procurement-logic change, and no unrelated edits. Intentional visual change is limited to shared semantic badge normalization. Page-local status chips remain deferred to controlled adoption. Next: 13C-05 — Standardize card roles.</x:v>
      </x:c>
    </x:row>
    <x:row r="251">
      <x:c r="A251" s="133" t="str">
        <x:v>✓</x:v>
      </x:c>
      <x:c r="B251" s="133" t="str">
        <x:v>13C-05</x:v>
      </x:c>
      <x:c r="C251" s="133" t="str">
        <x:v>13C Shared Enterprise Components</x:v>
      </x:c>
      <x:c r="D251" s="133" t="str">
        <x:v>Components</x:v>
      </x:c>
      <x:c r="E251" s="133" t="str">
        <x:v>Standardize card roles</x:v>
      </x:c>
      <x:c r="F251" s="133" t="str">
        <x:v>Only Status/Metric/Action/Intelligence/Summary cards remain; redundant card variants are consolidated.</x:v>
      </x:c>
      <x:c r="G251" s="133" t="str">
        <x:v>P0</x:v>
      </x:c>
      <x:c r="H251" s="133" t="str">
        <x:v>Completed</x:v>
      </x:c>
      <x:c r="I251" s="133" t="str">
        <x:v>Project Owner / Product / Engineering</x:v>
      </x:c>
      <x:c r="J251" s="133"/>
      <x:c r="K251" s="133" t="str">
        <x:v>13B-12</x:v>
      </x:c>
      <x:c r="L251" s="133"/>
      <x:c r="M251" s="133" t="str">
        <x:v>PASS / CANONICAL CARD ROLES STANDARDIZED — Published commit a3af9776410417736ff4b02b1375b31a1a5dbd8b updates only executive-contract.ts and its focused test. The shared card contract now defines exactly five roles: Status, Metric, Action, Intelligence and Summary. Each role reuses the existing tile/panel depth, surface, radius and elevation contracts; the Intelligence role explicitly reuses the existing Nexus Intelligence surface contract. No new card component was created and no existing component was deleted or replaced.</x:v>
      </x:c>
      <x:c r="N251" s="249"/>
      <x:c r="O251" s="249" t="n">
        <x:v>46295</x:v>
      </x:c>
      <x:c r="P251" s="135" t="str">
        <x:v>Validation before publication: focused card/design-system tests PASS (74), lint PASS, build PASS, git diff --check PASS. Pre-commit boundary review confirmed both files CLEAN-SCOPE with no component deletion/replacement, no page/card migration, no business/data behavior change and no unrelated edits. Existing metric/action/insight/risk cards that still use local panel treatments remain deferred to controlled adoption. Next: 13C-06 — Standardize enterprise tables.</x:v>
      </x:c>
    </x:row>
    <x:row r="252">
      <x:c r="A252" s="133" t="str">
        <x:v>✓</x:v>
      </x:c>
      <x:c r="B252" s="133" t="str">
        <x:v>13C-06</x:v>
      </x:c>
      <x:c r="C252" s="133" t="str">
        <x:v>13C Shared Enterprise Components</x:v>
      </x:c>
      <x:c r="D252" s="133" t="str">
        <x:v>Components</x:v>
      </x:c>
      <x:c r="E252" s="133" t="str">
        <x:v>Standardize enterprise tables</x:v>
      </x:c>
      <x:c r="F252" s="133" t="str">
        <x:v>Sticky headers, alignment, density, overflow, sorting/filter visual states and responsive behavior are consistent.</x:v>
      </x:c>
      <x:c r="G252" s="133" t="str">
        <x:v>P0</x:v>
      </x:c>
      <x:c r="H252" s="133" t="str">
        <x:v>Completed</x:v>
      </x:c>
      <x:c r="I252" s="133" t="str">
        <x:v>Project Owner / Product / Engineering</x:v>
      </x:c>
      <x:c r="J252" s="133"/>
      <x:c r="K252" s="133" t="str">
        <x:v>13B-12</x:v>
      </x:c>
      <x:c r="L252" s="133"/>
      <x:c r="M252" s="133" t="str">
        <x:v>PASS / ENTERPRISE TABLE CONTRACT STANDARDIZED — Published commit 8a4f5b621f3d6bf78f7c95b383ca464610041a87 updates only executive-contract.ts and its focused test. No shared table component existed, so 13C-06 intentionally defined the shared presentation contract only: responsive horizontal overflow, sticky headers, consistent header/cell density, numeric right alignment with tabular figures, screen-reader caption treatment, and shared active sort/filter visual states. No new table component was created.</x:v>
      </x:c>
      <x:c r="N252" s="249"/>
      <x:c r="O252" s="249" t="n">
        <x:v>46295</x:v>
      </x:c>
      <x:c r="P252" s="135" t="str">
        <x:v>Validation before publication: focused table/design-system tests PASS (46), lint PASS, build PASS, git diff --check PASS. Pre-commit consistency review confirmed both files CLEAN-SCOPE, no shared table primitive was reused, no page/table migration occurred, and no sorting/filtering/query/data/pagination behavior changed. Existing page-local tables remain deferred to controlled adoption. Next: 13C-07 — Standardize dialogs and confirmation modals.</x:v>
      </x:c>
    </x:row>
    <x:row r="253">
      <x:c r="A253" s="133" t="str">
        <x:v>✓</x:v>
      </x:c>
      <x:c r="B253" s="133" t="str">
        <x:v>13C-07</x:v>
      </x:c>
      <x:c r="C253" s="133" t="str">
        <x:v>13C Shared Enterprise Components</x:v>
      </x:c>
      <x:c r="D253" s="133" t="str">
        <x:v>Components</x:v>
      </x:c>
      <x:c r="E253" s="133" t="str">
        <x:v>Standardize dialogs and confirmation modals</x:v>
      </x:c>
      <x:c r="F253" s="133" t="str">
        <x:v>Consequential actions use consistent confirmation hierarchy and keyboard behavior.</x:v>
      </x:c>
      <x:c r="G253" s="133" t="str">
        <x:v>P0</x:v>
      </x:c>
      <x:c r="H253" s="133" t="str">
        <x:v>Completed</x:v>
      </x:c>
      <x:c r="I253" s="133" t="str">
        <x:v>Project Owner / Product / Engineering</x:v>
      </x:c>
      <x:c r="J253" s="133"/>
      <x:c r="K253" s="133" t="str">
        <x:v>13B-12</x:v>
      </x:c>
      <x:c r="L253" s="133"/>
      <x:c r="M253" s="133" t="str">
        <x:v>PASS / CONFIRMATION DIALOG CONTRACT STANDARDIZED — Published commit df6627fa7de5d7ddc2c9f706c406422dd240c965 updates ExecutiveConfirmDialog, executive-contract.ts and its focused test. The existing shared dialog now consumes one canonical overlay/surface/title/body/actions hierarchy and the shared primary, secondary and destructive button contracts. Confirm/cancel handlers, Escape behavior, focus trapping, accessible labeling and destructive action meaning are preserved; no new dialog component was created.</x:v>
      </x:c>
      <x:c r="N253" s="249"/>
      <x:c r="O253" s="249" t="n">
        <x:v>46295</x:v>
      </x:c>
      <x:c r="P253" s="135" t="str">
        <x:v>Validation before publication: focused dialog/design-system tests PASS (58), lint PASS, build PASS, git diff --check PASS. Pre-commit scope/behavior review confirmed all three files CLEAN-SCOPE with no handler changes, no keyboard/focus regression, no adverse accessibility change, no authorization/business-logic change, no page-level window.confirm migration and no company-delete dialog migration. Intentional visual change is limited to the shared dialog treatment. Remaining page-level confirmations are deferred to controlled adoption. Next: 13C-08 — Standardize drawers/side panels.</x:v>
      </x:c>
    </x:row>
    <x:row r="254">
      <x:c r="A254" s="133" t="str">
        <x:v>✓</x:v>
      </x:c>
      <x:c r="B254" s="133" t="str">
        <x:v>13C-08</x:v>
      </x:c>
      <x:c r="C254" s="133" t="str">
        <x:v>13C Shared Enterprise Components</x:v>
      </x:c>
      <x:c r="D254" s="133" t="str">
        <x:v>Components</x:v>
      </x:c>
      <x:c r="E254" s="133" t="str">
        <x:v>Standardize drawers/side panels</x:v>
      </x:c>
      <x:c r="F254" s="133" t="str">
        <x:v>Contextual help, filters, details and intelligence use reusable drawer primitives.</x:v>
      </x:c>
      <x:c r="G254" s="133" t="str">
        <x:v>P0</x:v>
      </x:c>
      <x:c r="H254" s="133" t="str">
        <x:v>Completed</x:v>
      </x:c>
      <x:c r="I254" s="133" t="str">
        <x:v>Project Owner / Product / Engineering</x:v>
      </x:c>
      <x:c r="J254" s="133"/>
      <x:c r="K254" s="133" t="str">
        <x:v>13B-12</x:v>
      </x:c>
      <x:c r="L254" s="133"/>
      <x:c r="M254" s="133" t="str">
        <x:v>PASS / DRAWER CONTRACT STANDARDIZED — Published commit 9da855568cfd287319ac99a1d823d8d0f67eef0c updates only executive-contract.ts and its focused test. No shared drawer component existed, so 13C-08 intentionally standardized the reusable drawer/side-panel presentation contract only: overlay alignment/backdrop, sidebar-width surface treatment, header/body/footer hierarchy, shared icon close treatment and Nexus Intelligence surface reuse. No drawer component was created.</x:v>
      </x:c>
      <x:c r="N254" s="249"/>
      <x:c r="O254" s="249" t="n">
        <x:v>46295</x:v>
      </x:c>
      <x:c r="P254" s="135" t="str">
        <x:v>Validation before publication: focused drawer/design-system tests PASS (48), lint PASS, build PASS, git diff --check PASS. Pre-commit boundary review confirmed both files CLEAN-SCOPE, no new drawer component, no page/sidebar/contextual-panel migration, no filter/help/detail/data/query/state behavior change and no unrelated edits. Existing contextual panels and sidebars remain on their local layouts pending controlled adoption. Next: 13C-09 — Standardize tooltips/popovers.</x:v>
      </x:c>
    </x:row>
    <x:row r="255">
      <x:c r="A255" s="133" t="str">
        <x:v>✓</x:v>
      </x:c>
      <x:c r="B255" s="133" t="str">
        <x:v>13C-09</x:v>
      </x:c>
      <x:c r="C255" s="133" t="str">
        <x:v>13C Shared Enterprise Components</x:v>
      </x:c>
      <x:c r="D255" s="133" t="str">
        <x:v>Components</x:v>
      </x:c>
      <x:c r="E255" s="133" t="str">
        <x:v>Standardize tooltips/popovers</x:v>
      </x:c>
      <x:c r="F255" s="133" t="str">
        <x:v>Short contextual explanations share timing, placement and accessibility behavior.</x:v>
      </x:c>
      <x:c r="G255" s="133" t="str">
        <x:v>P1</x:v>
      </x:c>
      <x:c r="H255" s="133" t="str">
        <x:v>Completed</x:v>
      </x:c>
      <x:c r="I255" s="133" t="str">
        <x:v>Project Owner / Product / Engineering</x:v>
      </x:c>
      <x:c r="J255" s="133"/>
      <x:c r="K255" s="133" t="str">
        <x:v>13B-12</x:v>
      </x:c>
      <x:c r="L255" s="133"/>
      <x:c r="M255" s="133" t="str">
        <x:v>PASS / TOOLTIP-POPOVER CONTRACT STANDARDIZED — Published commit 4b67a4a9c7179ee42bb49769f182d769b12c39d2 updates only executive-contract.ts and its focused test. No shared tooltip/popover component existed, so 13C-09 intentionally standardized the presentation/accessibility contract only: compact elevated surfaces, tooltip/popover placement offsets, fast motion timing and preserved accessibility expectations. No tooltip or popover component was created.</x:v>
      </x:c>
      <x:c r="N255" s="249"/>
      <x:c r="O255" s="249" t="n">
        <x:v>46295</x:v>
      </x:c>
      <x:c r="P255" s="135" t="str">
        <x:v>Validation before publication: focused tooltip/design-system tests PASS (49), lint PASS, build PASS, git diff --check PASS. Pre-commit boundary review confirmed both files CLEAN-SCOPE, no new tooltip/popover component, no page/help migration, no content/business/data/state behavior change and no unrelated edits. Existing page help remains on local title/description wiring pending controlled adoption. Next: 13C-10 — Standardize toast/inline feedback.</x:v>
      </x:c>
    </x:row>
    <x:row r="256">
      <x:c r="A256" s="133" t="str">
        <x:v>✓</x:v>
      </x:c>
      <x:c r="B256" s="133" t="str">
        <x:v>13C-10</x:v>
      </x:c>
      <x:c r="C256" s="133" t="str">
        <x:v>13C Shared Enterprise Components</x:v>
      </x:c>
      <x:c r="D256" s="133" t="str">
        <x:v>Components</x:v>
      </x:c>
      <x:c r="E256" s="133" t="str">
        <x:v>Standardize toast/inline feedback</x:v>
      </x:c>
      <x:c r="F256" s="133" t="str">
        <x:v>Success, error, warning and informational feedback share one non-intrusive system.</x:v>
      </x:c>
      <x:c r="G256" s="133" t="str">
        <x:v>P0</x:v>
      </x:c>
      <x:c r="H256" s="133" t="str">
        <x:v>Completed</x:v>
      </x:c>
      <x:c r="I256" s="133" t="str">
        <x:v>Project Owner / Product / Engineering</x:v>
      </x:c>
      <x:c r="J256" s="133"/>
      <x:c r="K256" s="133" t="str">
        <x:v>13B-12</x:v>
      </x:c>
      <x:c r="L256" s="133"/>
      <x:c r="M256" s="133" t="str">
        <x:v>PASS / TOAST-INLINE FEEDBACK CONTRACT STANDARDIZED — Published commit 4807b1748a53505e111aef79c78f9c3f4260aba5 updates only executive-contract.ts and its focused test. No shared toast/inline-feedback component existed, so 13C-10 intentionally standardized the semantic, presentation and accessibility contract only: success/warning/error/info treatments, compact title/body hierarchy, icon/action/dismiss treatments, non-intrusive fixed placement, shared motion, and polite/assertive live-region expectations. No toast component or provider was created.</x:v>
      </x:c>
      <x:c r="N256" s="249"/>
      <x:c r="O256" s="249" t="n">
        <x:v>46295</x:v>
      </x:c>
      <x:c r="P256" s="135" t="str">
        <x:v>Validation before publication: focused feedback/design-system tests PASS (50), lint PASS, build PASS, git diff --check PASS. Pre-commit boundary review confirmed both files CLEAN-SCOPE, no feedback component/provider, no page-alert migration, no notification delivery/business/state behavior change and no unrelated edits. Existing page alerts remain on local status styling/live regions pending controlled adoption. Next: 13C-11 — Standardize loading/skeleton states.</x:v>
      </x:c>
    </x:row>
    <x:row r="257">
      <x:c r="A257" s="133" t="str">
        <x:v>✓</x:v>
      </x:c>
      <x:c r="B257" s="133" t="str">
        <x:v>13C-11</x:v>
      </x:c>
      <x:c r="C257" s="133" t="str">
        <x:v>13C Shared Enterprise Components</x:v>
      </x:c>
      <x:c r="D257" s="133" t="str">
        <x:v>Components</x:v>
      </x:c>
      <x:c r="E257" s="133" t="str">
        <x:v>Standardize loading/skeleton states</x:v>
      </x:c>
      <x:c r="F257" s="133" t="str">
        <x:v>Core async surfaces use reusable skeleton/progress patterns without artificial delays.</x:v>
      </x:c>
      <x:c r="G257" s="133" t="str">
        <x:v>P0</x:v>
      </x:c>
      <x:c r="H257" s="133" t="str">
        <x:v>Completed</x:v>
      </x:c>
      <x:c r="I257" s="133" t="str">
        <x:v>Project Owner / Product / Engineering</x:v>
      </x:c>
      <x:c r="J257" s="133"/>
      <x:c r="K257" s="133" t="str">
        <x:v>13B-12</x:v>
      </x:c>
      <x:c r="L257" s="133"/>
      <x:c r="M257" s="133" t="str">
        <x:v>PASS / LOADING-SKELETON CONTRACT STANDARDIZED — Published commit d10d5c143597295c1054750ee3e1624662069a64 updates ExecutiveProgress, executive-contract.ts and its focused test. The existing ExecutiveProgress primitive now consumes the shared progress track/value contract, using the existing Nexus gold and context-duration motion tokens. The shared loading contract also defines reusable skeleton surface/line treatments, screen-reader loading labels and polite live-region expectations. No skeleton component was created.</x:v>
      </x:c>
      <x:c r="N257" s="249"/>
      <x:c r="O257" s="249" t="n">
        <x:v>46295</x:v>
      </x:c>
      <x:c r="P257" s="135" t="str">
        <x:v>Validation before publication: focused loading/design-system tests PASS (80), lint PASS, build PASS, git diff --check PASS. Pre-commit scope/async-behavior review confirmed all three files CLEAN-SCOPE, no progress value/range behavior change, no timer/artificial delay, no fetch/query/Suspense/async logic change, reduced-motion compatibility preserved, accessibility semantics preserved, no route/page loading migration and no unrelated edits. Existing route loading screens remain on local skeleton blocks pending controlled adoption. Next: 13C-12 — Standardize empty states.</x:v>
      </x:c>
    </x:row>
    <x:row r="258">
      <x:c r="A258" s="133" t="str">
        <x:v>✓</x:v>
      </x:c>
      <x:c r="B258" s="133" t="str">
        <x:v>13C-12</x:v>
      </x:c>
      <x:c r="C258" s="133" t="str">
        <x:v>13C Shared Enterprise Components</x:v>
      </x:c>
      <x:c r="D258" s="133" t="str">
        <x:v>Components</x:v>
      </x:c>
      <x:c r="E258" s="133" t="str">
        <x:v>Standardize empty states</x:v>
      </x:c>
      <x:c r="F258" s="133" t="str">
        <x:v>Empty states explain context and next action using reusable layout/content rules.</x:v>
      </x:c>
      <x:c r="G258" s="133" t="str">
        <x:v>P0</x:v>
      </x:c>
      <x:c r="H258" s="133" t="str">
        <x:v>Completed</x:v>
      </x:c>
      <x:c r="I258" s="133" t="str">
        <x:v>Project Owner / Product / Engineering</x:v>
      </x:c>
      <x:c r="J258" s="133"/>
      <x:c r="K258" s="133" t="str">
        <x:v>13B-12</x:v>
      </x:c>
      <x:c r="L258" s="133"/>
      <x:c r="M258" s="133" t="str">
        <x:v>PASS / EMPTY-STATE CONTRACT STANDARDIZED — Published commit abec43ffa489d33307948671a662469fbf494550 updates only executive-contract.ts and its focused test. No shared empty-state component existed, so 13C-12 intentionally standardized the reusable layout/content/accessibility contract only: compact/full variants, dashed low-emphasis surface treatment, icon/eyebrow/title/body/action hierarchy, primary-action treatment, and status/polite live-region expectations. No empty-state component was created.</x:v>
      </x:c>
      <x:c r="N258" s="249"/>
      <x:c r="O258" s="249" t="n">
        <x:v>46296</x:v>
      </x:c>
      <x:c r="P258" s="135" t="str">
        <x:v>Validation before publication: focused empty-state/design-system tests PASS, lint PASS, build PASS, git diff --check PASS. Pre-commit boundary review confirmed both files CLEAN-SCOPE, no new empty-state component, no page/local-helper migration, no CTA destination/handler/navigation change, no business/data/permission condition change, no product-copy rewrite and no unrelated edits. Existing page-local empty states remain unwired to the shared contract pending controlled adoption. Next: 13C-13 — Standardize error states.</x:v>
      </x:c>
    </x:row>
    <x:row r="259">
      <x:c r="A259" s="133" t="str">
        <x:v>✓</x:v>
      </x:c>
      <x:c r="B259" s="133" t="str">
        <x:v>13C-13</x:v>
      </x:c>
      <x:c r="C259" s="133" t="str">
        <x:v>13C Shared Enterprise Components</x:v>
      </x:c>
      <x:c r="D259" s="133" t="str">
        <x:v>Components</x:v>
      </x:c>
      <x:c r="E259" s="133" t="str">
        <x:v>Standardize error states</x:v>
      </x:c>
      <x:c r="F259" s="133" t="str">
        <x:v>Errors identify problem, impact and recovery action consistently.</x:v>
      </x:c>
      <x:c r="G259" s="133" t="str">
        <x:v>P0</x:v>
      </x:c>
      <x:c r="H259" s="133" t="str">
        <x:v>Completed</x:v>
      </x:c>
      <x:c r="I259" s="133" t="str">
        <x:v>Project Owner / Product / Engineering</x:v>
      </x:c>
      <x:c r="J259" s="133"/>
      <x:c r="K259" s="133" t="str">
        <x:v>13B-12</x:v>
      </x:c>
      <x:c r="L259" s="133"/>
      <x:c r="M259" s="133" t="str">
        <x:v>PASS / ERROR-STATE CONTRACT STANDARDIZED — Published commit f53072386a4e4f51980ec1a8fa484765f536fdc1 updates only executive-contract.ts and its focused test. No shared error-state component existed, so 13C-13 intentionally standardized the semantic, presentation and accessibility contract only: risk-aligned error surface and icon treatment, problem/impact/recovery hierarchy, primary recovery action styling, and alert/assertive live-region expectations. No error-state component was created.</x:v>
      </x:c>
      <x:c r="N259" s="249"/>
      <x:c r="O259" s="249" t="n">
        <x:v>46296</x:v>
      </x:c>
      <x:c r="P259" s="135" t="str">
        <x:v>Validation before publication: focused error-state/design-system tests PASS, lint PASS, build PASS, git diff --check PASS. Pre-commit boundary review confirmed both files CLEAN-SCOPE, no new error-state component, no page/error-boundary migration, no retry/recovery-handler or navigation behavior change, no business/API/permission logic change, no broad product-copy rewrite and no unrelated edits. Existing page alerts and route error boundaries remain on local markup pending controlled adoption. Next: 13C-14 — Create workflow stepper component.</x:v>
      </x:c>
    </x:row>
    <x:row r="260">
      <x:c r="A260" s="133" t="str">
        <x:v>✓</x:v>
      </x:c>
      <x:c r="B260" s="133" t="str">
        <x:v>13C-14</x:v>
      </x:c>
      <x:c r="C260" s="133" t="str">
        <x:v>13C Shared Enterprise Components</x:v>
      </x:c>
      <x:c r="D260" s="133" t="str">
        <x:v>Components</x:v>
      </x:c>
      <x:c r="E260" s="133" t="str">
        <x:v>Create workflow stepper component</x:v>
      </x:c>
      <x:c r="F260" s="133" t="str">
        <x:v>Issuer/respondent lifecycle stages use one reusable accessible progress/navigation component.</x:v>
      </x:c>
      <x:c r="G260" s="133" t="str">
        <x:v>P0</x:v>
      </x:c>
      <x:c r="H260" s="133" t="str">
        <x:v>Completed</x:v>
      </x:c>
      <x:c r="I260" s="133" t="str">
        <x:v>Project Owner / Product / Engineering</x:v>
      </x:c>
      <x:c r="J260" s="133"/>
      <x:c r="K260" s="133" t="str">
        <x:v>13B-12</x:v>
      </x:c>
      <x:c r="L260" s="133"/>
      <x:c r="M260" s="133" t="str">
        <x:v>PASS / WORKFLOW STEPPER COMPONENT CREATED — Published commit 15406a70f7fdf319fdc645b5591c350b9f37788a adds one generic shared ExecutiveWorkflowStepper, its focused test, and the supporting executive design-system stepper contract/tests. The component is data-driven and supports completed/current/upcoming states, disabled/non-interactive stages, horizontal/compact responsive layouts, native link/button interaction, semantic nav/ordered-list structure, and aria-current='step' for the current stage.</x:v>
      </x:c>
      <x:c r="N260" s="249"/>
      <x:c r="O260" s="249" t="n">
        <x:v>46296</x:v>
      </x:c>
      <x:c r="P260" s="135" t="str">
        <x:v>Validation before publication: focused stepper/design-system tests PASS, lint PASS, build PASS, git diff --check PASS. Pre-commit architecture review confirmed all four files CLEAN-SCOPE, exactly one new shared stepper, no RFQ/procurement lifecycle rules, no issuer/respondent-specific wording, no embedded route/navigation logic, no page migration, no authorization/business/data behavior change and no unrelated edits. Existing RFQ wizard and executive decision timeline remain on local stage markup pending controlled adoption. Next: 13C-15 — Create intelligence card component.</x:v>
      </x:c>
    </x:row>
    <x:row r="261">
      <x:c r="A261" s="133" t="str">
        <x:v>✓</x:v>
      </x:c>
      <x:c r="B261" s="133" t="str">
        <x:v>13C-15</x:v>
      </x:c>
      <x:c r="C261" s="133" t="str">
        <x:v>13C Shared Enterprise Components</x:v>
      </x:c>
      <x:c r="D261" s="133" t="str">
        <x:v>Components</x:v>
      </x:c>
      <x:c r="E261" s="133" t="str">
        <x:v>Create intelligence card component</x:v>
      </x:c>
      <x:c r="F261" s="133" t="str">
        <x:v>Signal → evidence → impact → recommendation → action can be rendered consistently.</x:v>
      </x:c>
      <x:c r="G261" s="133" t="str">
        <x:v>P1</x:v>
      </x:c>
      <x:c r="H261" s="133" t="str">
        <x:v>Completed</x:v>
      </x:c>
      <x:c r="I261" s="133" t="str">
        <x:v>Project Owner / Product / Engineering</x:v>
      </x:c>
      <x:c r="J261" s="133"/>
      <x:c r="K261" s="133" t="str">
        <x:v>13B-12</x:v>
      </x:c>
      <x:c r="L261" s="133"/>
      <x:c r="M261" s="133" t="str">
        <x:v>PASS / INTELLIGENCE CARD COMPONENT CREATED — Published commit 380ceb6673ea4c34f8c08e4fa65fc1dfa6bdc659 adds one generic shared ExecutiveIntelligenceCard and its focused test. The component reuses the existing Nexus Intelligence card surface and preserves the canonical presentation hierarchy Signal → Evidence → Impact → Recommendation → Action, with optional status/evidence/impact/recommendation/action sections handled safely.</x:v>
      </x:c>
      <x:c r="N261" s="249"/>
      <x:c r="O261" s="249" t="n">
        <x:v>46296</x:v>
      </x:c>
      <x:c r="P261" s="135" t="str">
        <x:v>Validation before publication: focused intelligence-card tests PASS, lint PASS, build PASS, git diff --check PASS. Pre-commit architecture review confirmed both files CLEAN-SCOPE, exactly one new shared intelligence card, generic/presentation-only behavior, caller-driven Signal/Evidence/Impact/Recommendation content, caller-provided Action only, existing intelligence surface reuse, no recommendation/risk/score or business-domain logic, no AI/data/query/API behavior change, no page/component migration and no unrelated edits. Existing insight, risk, action and opportunity cards remain on local layouts pending controlled adoption. Next: 13C-16 — Create page/context header component.</x:v>
      </x:c>
    </x:row>
    <x:row r="262">
      <x:c r="A262" s="133" t="str">
        <x:v>✓</x:v>
      </x:c>
      <x:c r="B262" s="133" t="str">
        <x:v>13C-16</x:v>
      </x:c>
      <x:c r="C262" s="133" t="str">
        <x:v>13C Shared Enterprise Components</x:v>
      </x:c>
      <x:c r="D262" s="133" t="str">
        <x:v>Components</x:v>
      </x:c>
      <x:c r="E262" s="133" t="str">
        <x:v>Create page/context header component</x:v>
      </x:c>
      <x:c r="F262" s="133" t="str">
        <x:v>Company/project/RFQ title, status, deadlines and contextual actions use one shared header.</x:v>
      </x:c>
      <x:c r="G262" s="133" t="str">
        <x:v>P0</x:v>
      </x:c>
      <x:c r="H262" s="133" t="str">
        <x:v>Completed</x:v>
      </x:c>
      <x:c r="I262" s="133" t="str">
        <x:v>Project Owner / Product / Engineering</x:v>
      </x:c>
      <x:c r="J262" s="133"/>
      <x:c r="K262" s="133" t="str">
        <x:v>13B-12</x:v>
      </x:c>
      <x:c r="L262" s="133"/>
      <x:c r="M262" s="133" t="str">
        <x:v>PASS / PAGE-CONTEXT HEADER COMPONENT CREATED — Published commit 04f85bac3dca74b0d7498162423be52c4705f5f1 adds one generic shared ExecutivePageHeader and its focused test. The component accepts caller-provided title, optional eyebrow/context label, description, status, metadata/deadline content and actions, with semantic heading structure and responsive stacking/wrapping.</x:v>
      </x:c>
      <x:c r="N262" s="249"/>
      <x:c r="O262" s="249" t="n">
        <x:v>46296</x:v>
      </x:c>
      <x:c r="P262" s="135" t="str">
        <x:v>Validation before publication: focused page-header tests PASS, lint PASS, build PASS, git diff --check PASS. Pre-commit architecture review confirmed both files CLEAN-SCOPE, exactly one new shared header, generic/presentation-only behavior, caller-provided content/actions only, no status calculation, no deadline/overdue logic, no ownership/permission inference, no business-domain or navigation/action logic, no page migration and no unrelated edits. Existing RFQ command center, executive hero and report header remain on their local layouts pending controlled adoption. Next: 13C-17 — Component regression review.</x:v>
      </x:c>
    </x:row>
    <x:row r="263">
      <x:c r="A263" s="133" t="str">
        <x:v>✓</x:v>
      </x:c>
      <x:c r="B263" s="133" t="str">
        <x:v>13C-17</x:v>
      </x:c>
      <x:c r="C263" s="133" t="str">
        <x:v>13C Shared Enterprise Components</x:v>
      </x:c>
      <x:c r="D263" s="133" t="str">
        <x:v>Components</x:v>
      </x:c>
      <x:c r="E263" s="133" t="str">
        <x:v>Component regression review</x:v>
      </x:c>
      <x:c r="F263" s="133" t="str">
        <x:v>Shared component changes are verified before page-level adoption begins.</x:v>
      </x:c>
      <x:c r="G263" s="133" t="str">
        <x:v>P0</x:v>
      </x:c>
      <x:c r="H263" s="133" t="str">
        <x:v>Completed</x:v>
      </x:c>
      <x:c r="I263" s="133" t="str">
        <x:v>Project Owner / Product / Engineering</x:v>
      </x:c>
      <x:c r="J263" s="133"/>
      <x:c r="K263" s="133" t="str">
        <x:v>13B-12</x:v>
      </x:c>
      <x:c r="L263" s="133"/>
      <x:c r="M263" s="133" t="str">
        <x:v>PASS / PHASE 13C COMPONENT REGRESSION GATE CLOSED — Read-only regression review completed at HEAD cb982b1fa12656caa7a1ec0ae92753125e93a028 with no file modifications. The Phase 13C shared-component foundation was verified before page-level adoption: no duplicate component conflicts, no circular dependency risk, no regressions in ExecutiveConfirmDialog, ExecutiveProgress, ExecutiveWorkflowStepper, ExecutiveIntelligenceCard or ExecutivePageHeader, and no internal design-system contract inconsistency.</x:v>
      </x:c>
      <x:c r="N263" s="249"/>
      <x:c r="O263" s="249" t="n">
        <x:v>46296</x:v>
      </x:c>
      <x:c r="P263" s="135" t="str">
        <x:v>Focused Phase 13C/shared-component tests PASS; lint PASS; build PASS; git diff --check PASS. No business/procurement/auth/data logic leaked into shared UI, no page migration occurred within the reviewed Phase 13C scope, no artificial delay was introduced, accessibility contracts remain coherent and reduced-motion handling remains intact. Blocking issue: NONE. Phase 13C is complete. Next: 13D-01 — Implement dark-first authenticated Workspace Shell.</x:v>
      </x:c>
    </x:row>
    <x:row r="264">
      <x:c r="A264" s="133" t="str">
        <x:v>✓</x:v>
      </x:c>
      <x:c r="B264" s="133" t="str">
        <x:v>13D-01</x:v>
      </x:c>
      <x:c r="C264" s="133" t="str">
        <x:v>13D Workspace Shell &amp; Navigation</x:v>
      </x:c>
      <x:c r="D264" s="133" t="str">
        <x:v>Shell</x:v>
      </x:c>
      <x:c r="E264" s="133" t="str">
        <x:v>Implement dark-first authenticated Workspace Shell</x:v>
      </x:c>
      <x:c r="F264" s="133" t="str">
        <x:v>All authenticated pages inherit common background, max-width, content spacing and responsive structure.</x:v>
      </x:c>
      <x:c r="G264" s="133" t="str">
        <x:v>P0</x:v>
      </x:c>
      <x:c r="H264" s="133" t="str">
        <x:v>Completed</x:v>
      </x:c>
      <x:c r="I264" s="133" t="str">
        <x:v>Project Owner / Product / Engineering</x:v>
      </x:c>
      <x:c r="J264" s="133" t="str">
        <x:v>Cursor UI 04</x:v>
      </x:c>
      <x:c r="K264" s="133" t="str">
        <x:v>13C-17</x:v>
      </x:c>
      <x:c r="L264" s="133"/>
      <x:c r="M264" s="133" t="str">
        <x:v>PASS / AUTHENTICATED WORKSPACE SHELL STANDARDIZED — Published commit d8c4c1fa34affb0fa28f2259fe7d51ebe7e8e0d6 updates only src/components/app-shell.tsx and src/lib/navigation/application-shell.test.ts. Existing AppShell is reused as the single authenticated shell. Authenticated content now inherits the shared dark-first page foundation through EXECUTIVE_PAGE_CLASS, with Nexus navy background, shared max-width/padding/vertical spacing, and root overflow protection.</x:v>
      </x:c>
      <x:c r="N264" s="249"/>
      <x:c r="O264" s="249" t="n">
        <x:v>46296</x:v>
      </x:c>
      <x:c r="P264" s="135" t="str">
        <x:v>Validation before publication: focused shell/layout tests PASS, lint PASS, build PASS, git diff --check PASS. Pre-commit boundary review confirmed both files CLEAN-SCOPE, no parallel shell, no sidebar/topbar structure change, no navigation/auth/session/permission/business/data behavior change, no page migration, no Corporate surface change and no unrelated edits. Known deferred adoption issue: pages that already apply the page container may temporarily nest max-width/padding until controlled page adoption. Next: 13D-02 — Implement enterprise sidebar treatment.</x:v>
      </x:c>
    </x:row>
    <x:row r="265">
      <x:c r="A265" s="133" t="str">
        <x:v>✓</x:v>
      </x:c>
      <x:c r="B265" s="133" t="str">
        <x:v>13D-02</x:v>
      </x:c>
      <x:c r="C265" s="133" t="str">
        <x:v>13D Workspace Shell &amp; Navigation</x:v>
      </x:c>
      <x:c r="D265" s="133" t="str">
        <x:v>Sidebar</x:v>
      </x:c>
      <x:c r="E265" s="133" t="str">
        <x:v>Implement enterprise sidebar treatment</x:v>
      </x:c>
      <x:c r="F265" s="133" t="str">
        <x:v>Company Workspace sections, active state, hover, collapse, icons and tooltips are consistent and calm.</x:v>
      </x:c>
      <x:c r="G265" s="133" t="str">
        <x:v>P0</x:v>
      </x:c>
      <x:c r="H265" s="133" t="str">
        <x:v>Completed</x:v>
      </x:c>
      <x:c r="I265" s="133" t="str">
        <x:v>Project Owner / Product / Engineering</x:v>
      </x:c>
      <x:c r="J265" s="133"/>
      <x:c r="K265" s="133" t="str">
        <x:v>13D-01</x:v>
      </x:c>
      <x:c r="L265" s="133"/>
      <x:c r="M265" s="133" t="str">
        <x:v>PASS / ENTERPRISE SIDEBAR STANDARDIZED — Published commit 3f0567498712526bf37d110597f766bd05b3d68a updates only src/components/sidebar.tsx and src/lib/navigation/application-shell.test.ts. The existing Sidebar is reused; section hierarchy, active/hover states, collapsed treatment, icon treatment, compact labels/tooltips and motion/focus styling were standardized without creating a parallel navigation system.</x:v>
      </x:c>
      <x:c r="N265" s="249"/>
      <x:c r="O265" s="249" t="n">
        <x:v>46296</x:v>
      </x:c>
      <x:c r="P265" s="133" t="str">
        <x:v>Validation before publication: focused sidebar/navigation tests PASS, lint PASS, build PASS, git diff --check PASS. The previously logged hydration defect was structurally possible because experience-specific description text could differ after client context load. The fix defers experience-specific sublabels until context resolution while keeping labels/routes deterministic on the first render. Pre-commit review confirmed no nav-item/href changes, no route-visibility/auth changes, no company/workspace selection changes, no Topbar/AppShell changes, native keyboard/focus semantics preserved, navigation-neutral tooltip behavior, and no unrelated edits. Remaining note: the nav item set still follows loaded workspace experience after first paint; descriptions no longer expose the wrong sublabel during that wait. Next: 13D-03 — Implement global top/context header.</x:v>
      </x:c>
    </x:row>
    <x:row r="266">
      <x:c r="A266" s="133" t="str">
        <x:v>✓</x:v>
      </x:c>
      <x:c r="B266" s="133" t="str">
        <x:v>13D-03</x:v>
      </x:c>
      <x:c r="C266" s="133" t="str">
        <x:v>13D Workspace Shell &amp; Navigation</x:v>
      </x:c>
      <x:c r="D266" s="133" t="str">
        <x:v>Header</x:v>
      </x:c>
      <x:c r="E266" s="133" t="str">
        <x:v>Implement global top/context header</x:v>
      </x:c>
      <x:c r="F266" s="133" t="str">
        <x:v>Current company/context, breadcrumb, key actions and status/deadlines follow one layout.</x:v>
      </x:c>
      <x:c r="G266" s="133" t="str">
        <x:v>P0</x:v>
      </x:c>
      <x:c r="H266" s="133" t="str">
        <x:v>Completed</x:v>
      </x:c>
      <x:c r="I266" s="133" t="str">
        <x:v>Project Owner / Product / Engineering</x:v>
      </x:c>
      <x:c r="J266" s="133"/>
      <x:c r="K266" s="133" t="str">
        <x:v>13D-01</x:v>
      </x:c>
      <x:c r="L266" s="133"/>
      <x:c r="M266" s="133" t="str">
        <x:v>PASS / GLOBAL TOP-CONTEXT HEADER STANDARDIZED — Published commit d20566e4e3690d296df1d129454c28046b91868e updates AppTopbar, AppPageContext and the focused shell/navigation test only. The existing AppTopbar and AppPageContext were reused; no competing header system was created. Topbar context, breadcrumb hierarchy, action placement and status presentation were aligned to the executive design system while preserving one clear page-title hierarchy.</x:v>
      </x:c>
      <x:c r="N266" s="249"/>
      <x:c r="O266" s="249" t="n">
        <x:v>46296</x:v>
      </x:c>
      <x:c r="P266" s="135" t="str">
        <x:v>Validation before publication: focused topbar/context/shell tests PASS, lint PASS, build PASS, git diff --check PASS. Pre-commit boundary review confirmed all three files CLEAN-SCOPE, no duplicate page h1, no company-selection change, no breadcrumb/navigation change, no action-handler change, no status/deadline calculation change, no fabricated shell deadline, no auth/session/permission change, no Sidebar/AppShell change, hydration determinism preserved and no unrelated edits. Known remaining scope: shell has no deadline value to present; page-level deadlines remain on their pages. Next: 13D-04 — Add Search / Ask Nexus global entry point.</x:v>
      </x:c>
    </x:row>
    <x:row r="267">
      <x:c r="A267" s="133" t="str"/>
      <x:c r="B267" s="133" t="str">
        <x:v>13D-04</x:v>
      </x:c>
      <x:c r="C267" s="133" t="str">
        <x:v>13D Workspace Shell &amp; Navigation</x:v>
      </x:c>
      <x:c r="D267" s="133" t="str">
        <x:v>Search</x:v>
      </x:c>
      <x:c r="E267" s="133" t="str">
        <x:v>Add Search / Ask Nexus global entry point</x:v>
      </x:c>
      <x:c r="F267" s="133" t="str">
        <x:v>A single global entry exists without forcing a chatbot into every page.</x:v>
      </x:c>
      <x:c r="G267" s="133" t="str">
        <x:v>P1</x:v>
      </x:c>
      <x:c r="H267" s="133" t="str">
        <x:v>Blocked</x:v>
      </x:c>
      <x:c r="I267" s="133" t="str">
        <x:v>Project Owner / Product / Engineering</x:v>
      </x:c>
      <x:c r="J267" s="133"/>
      <x:c r="K267" s="133" t="str">
        <x:v>13D-03</x:v>
      </x:c>
      <x:c r="L267" s="133"/>
      <x:c r="M267" s="133" t="str">
        <x:v>BLOCKED / NO STABLE ASK NEXUS DESTINATION — Read-only search at HEAD 849e5d2059287beccf585bc753bfc5251e42349f found no existing Ask Nexus route, trigger, search destination or reusable global entry. The existing shell Insights link targets /analytics and is not an Ask Nexus experience. Per 13D-04 early-stop rules, no route, AI/chat experience, backend, search algorithm or shell entry was invented.</x:v>
      </x:c>
      <x:c r="N267" s="249"/>
      <x:c r="O267" s="249" t="n">
        <x:v>46296</x:v>
      </x:c>
      <x:c r="P267" s="135" t="str">
        <x:v>No files changed. Tests/lint/build/diff-check were not run because implementation did not begin. No Ask Nexus intelligence/payload, search algorithm, auth/permission, Sidebar or page-level chatbot behavior changed. Unblock criterion: an approved stable Ask Nexus/Search destination or existing trigger must exist so the shell can link to it without creating a new AI flow. 13D-04 remains open/Blocked. Next executable canonical task: 13D-05 — Connect workflow stepper to issuer/respondent context.</x:v>
      </x:c>
    </x:row>
    <x:row r="268">
      <x:c r="A268" s="133" t="str"/>
      <x:c r="B268" s="133" t="str">
        <x:v>13D-05</x:v>
      </x:c>
      <x:c r="C268" s="133" t="str">
        <x:v>13D Workspace Shell &amp; Navigation</x:v>
      </x:c>
      <x:c r="D268" s="133" t="str">
        <x:v>Context</x:v>
      </x:c>
      <x:c r="E268" s="133" t="str">
        <x:v>Connect workflow stepper to issuer/respondent context</x:v>
      </x:c>
      <x:c r="F268" s="133" t="str">
        <x:v>Current stage is visible without introducing permanent buyer/supplier mode.</x:v>
      </x:c>
      <x:c r="G268" s="133" t="str">
        <x:v>P0</x:v>
      </x:c>
      <x:c r="H268" s="133" t="str">
        <x:v>Blocked</x:v>
      </x:c>
      <x:c r="I268" s="133" t="str">
        <x:v>Project Owner / Product / Engineering</x:v>
      </x:c>
      <x:c r="J268" s="133"/>
      <x:c r="K268" s="133" t="str">
        <x:v>13C-14</x:v>
      </x:c>
      <x:c r="L268" s="133"/>
      <x:c r="M268" s="133" t="str">
        <x:v>BLOCKED / NO SAFE SHARED LIFECYCLE MAPPING — Read-only review at HEAD a73bb8df3e2037dfc02f887cbf75e865f3e15c70 found that issuer and respondent RFQ procurement stages are represented as different navigation lists in RFQExecutiveActions, and neither exposes completed/current/upcoming state compatible with ExecutiveWorkflowStepper. The decision timeline uses a different complete/active/locked/pending/watch model. Connecting the shared stepper now would require inventing current-stage semantics or dropping lock/watch meaning.</x:v>
      </x:c>
      <x:c r="N268" s="249"/>
      <x:c r="O268" s="249" t="n">
        <x:v>46296</x:v>
      </x:c>
      <x:c r="P268" s="135" t="str">
        <x:v>No files changed. Tests/lint/build/diff-check were not run because implementation stopped at the task's early-stop condition. No RFQ lifecycle/state-machine, deadline/commercial-lock, authorization, Workspace Membership, quotation/evaluation/award, route or navigation behavior changed. Unblock criterion: an approved caller-owned lifecycle mapping must expose stepper-compatible completed/current/upcoming semantics for the targeted issuer/respondent context without losing lock/watch states or inventing stage meaning. 13D-05 remains open/Blocked. Next executable canonical task: 13D-06 — Implement compact authenticated enterprise footer.</x:v>
      </x:c>
    </x:row>
    <x:row r="269">
      <x:c r="A269" s="133" t="str">
        <x:v>✓</x:v>
      </x:c>
      <x:c r="B269" s="133" t="str">
        <x:v>13D-06</x:v>
      </x:c>
      <x:c r="C269" s="133" t="str">
        <x:v>13D Workspace Shell &amp; Navigation</x:v>
      </x:c>
      <x:c r="D269" s="133" t="str">
        <x:v>Footer</x:v>
      </x:c>
      <x:c r="E269" s="133" t="str">
        <x:v>Implement compact authenticated enterprise footer</x:v>
      </x:c>
      <x:c r="F269" s="133" t="str">
        <x:v>Privacy, Security, Help, System Status and version/environment area are available without marketing clutter.</x:v>
      </x:c>
      <x:c r="G269" s="133" t="str">
        <x:v>P1</x:v>
      </x:c>
      <x:c r="H269" s="133" t="str">
        <x:v>Completed</x:v>
      </x:c>
      <x:c r="I269" s="133" t="str">
        <x:v>Project Owner / Product / Engineering</x:v>
      </x:c>
      <x:c r="J269" s="133" t="str">
        <x:v>Cursor UI 05</x:v>
      </x:c>
      <x:c r="K269" s="133" t="str">
        <x:v>13D-01</x:v>
      </x:c>
      <x:c r="L269" s="133"/>
      <x:c r="M269" s="133" t="str">
        <x:v>PASS / AUTHENTICATED ENTERPRISE FOOTER STANDARDIZED — Published commit 05d826e2dfb46bb788b198c227fa6cea7e7ae5a4 updates only src/components/application-footer.tsx and src/lib/navigation/application-shell.test.ts. The existing authenticated ApplicationFooter is reused. Privacy, Terms and Support retain their existing real destinations; version is sourced from package.json and runtime environment from NODE_ENV. No unsupported Security, Help or System Status destination was invented.</x:v>
      </x:c>
      <x:c r="N269" s="249"/>
      <x:c r="O269" s="249" t="n">
        <x:v>46296</x:v>
      </x:c>
      <x:c r="P269" s="135" t="str">
        <x:v>Validation before publication: focused footer/shell tests PASS (41), lint PASS, build PASS, git diff --check PASS. Pre-commit boundary review confirmed both files CLEAN-SCOPE, no second footer, no route changes, no fabricated system-health data, no invented destinations/values, no marketing copy, no auth/session behavior change, no AppShell/Sidebar/AppTopbar change, no Corporate-footer change and no unrelated edits. Known remaining scope: no existing Security, Help or System Status destination is available; these remain intentionally absent until real destinations exist. Next executable canonical task: 13D-07 — Implement sidebar/header responsive behavior.</x:v>
      </x:c>
    </x:row>
    <x:row r="270">
      <x:c r="A270" s="133" t="str">
        <x:v>✓</x:v>
      </x:c>
      <x:c r="B270" s="133" t="str">
        <x:v>13D-07</x:v>
      </x:c>
      <x:c r="C270" s="133" t="str">
        <x:v>13D Workspace Shell &amp; Navigation</x:v>
      </x:c>
      <x:c r="D270" s="133" t="str">
        <x:v>Responsive</x:v>
      </x:c>
      <x:c r="E270" s="133" t="str">
        <x:v>Implement sidebar/header responsive behavior</x:v>
      </x:c>
      <x:c r="F270" s="133" t="str">
        <x:v>Desktop/tablet/mobile shell remains usable and content-first.</x:v>
      </x:c>
      <x:c r="G270" s="133" t="str">
        <x:v>P0</x:v>
      </x:c>
      <x:c r="H270" s="133" t="str">
        <x:v>Completed</x:v>
      </x:c>
      <x:c r="I270" s="133" t="str">
        <x:v>Project Owner / Product / Engineering</x:v>
      </x:c>
      <x:c r="J270" s="133"/>
      <x:c r="K270" s="133" t="str">
        <x:v>13D-02</x:v>
      </x:c>
      <x:c r="L270" s="133"/>
      <x:c r="M270" s="133" t="str">
        <x:v>PASS / AUTHENTICATED SHELL RESPONSIVE BEHAVIOR HARDENED — Published commit 62897f8b263c00f668e95d7c7adaee3aa3560d92 updates only src/components/sidebar.tsx, src/components/common/AppTopbar.tsx, src/components/app-page-context.tsx and src/lib/navigation/application-shell.test.ts. Shared shell presentation was tightened for mobile/tablet/desktop overflow protection, topbar wrapping and breadcrumb truncation while preserving existing navigation behavior.</x:v>
      </x:c>
      <x:c r="N270" s="249"/>
      <x:c r="O270" s="249" t="n">
        <x:v>46296</x:v>
      </x:c>
      <x:c r="P270" s="135" t="str">
        <x:v>Validation before publication: focused responsive shell/navigation tests PASS (83), lint PASS, build PASS, git diff --check PASS. Pre-commit boundary review confirmed all four files CLEAN-SCOPE: desktop/collapsed/mobile sidebar behavior preserved; topbar wrapping/height changes do not alter actions; breadcrumb wrapping/truncation does not alter destinations; no nav item/route/active-state/auth/permission/workspace-selection/action-handler/page redesign/AppShell/Corporate change; no unrelated edits. Known remaining behavior: AppTopbar remains hidden below lg, preserving the existing mobile header; once visible, actions wrap rather than clip. Next: 13D-08 — Verify shell keyboard/focus/reduced-motion behavior.</x:v>
      </x:c>
    </x:row>
    <x:row r="271">
      <x:c r="A271" s="133" t="str">
        <x:v>✓</x:v>
      </x:c>
      <x:c r="B271" s="133" t="str">
        <x:v>13D-08</x:v>
      </x:c>
      <x:c r="C271" s="133" t="str">
        <x:v>13D Workspace Shell &amp; Navigation</x:v>
      </x:c>
      <x:c r="D271" s="133" t="str">
        <x:v>Accessibility</x:v>
      </x:c>
      <x:c r="E271" s="133" t="str">
        <x:v>Verify shell keyboard/focus/reduced-motion behavior</x:v>
      </x:c>
      <x:c r="F271" s="133" t="str">
        <x:v>Core navigation is accessible before page upgrades.</x:v>
      </x:c>
      <x:c r="G271" s="133" t="str">
        <x:v>P0</x:v>
      </x:c>
      <x:c r="H271" s="133" t="str">
        <x:v>Completed</x:v>
      </x:c>
      <x:c r="I271" s="133" t="str">
        <x:v>Project Owner / Product / Engineering</x:v>
      </x:c>
      <x:c r="J271" s="133"/>
      <x:c r="K271" s="133" t="str">
        <x:v>13D-07</x:v>
      </x:c>
      <x:c r="L271" s="133"/>
      <x:c r="M271" s="133" t="str">
        <x:v>PASS / EVIDENCE-ONLY SHELL ACCESSIBILITY VERIFICATION — At HEAD be1fef69fa9c7c2ea5428b21238fd0289c37377f, read-only verification confirmed keyboard reachability, native Link/Button semantics, mobile menu ARIA state, consistent visible focus treatment, collapsed navigation keyboard operability, topbar/breadcrumb/footer keyboard focus, absence of keyboard traps or responsive focus loss, and reduced-motion compliance. No shell-level accessibility defect required a code change.</x:v>
      </x:c>
      <x:c r="N271" s="249"/>
      <x:c r="O271" s="249" t="n">
        <x:v>46296</x:v>
      </x:c>
      <x:c r="P271" s="135" t="str">
        <x:v>Validation: focused shell accessibility/navigation tests PASS (83), lint PASS, build PASS, git diff --check PASS. Files changed: none. No navigation behavior, auth/permission behavior, page-specific work or intentional visual change. No incorrect tabbable decorative element found. 13D-08 is closed without a source commit because verification required no modification. Next executable canonical task: 13D-09 — Run route/navigation regression after shell adoption.</x:v>
      </x:c>
    </x:row>
    <x:row r="272">
      <x:c r="A272" s="133" t="str">
        <x:v>✓</x:v>
      </x:c>
      <x:c r="B272" s="133" t="str">
        <x:v>13D-09</x:v>
      </x:c>
      <x:c r="C272" s="133" t="str">
        <x:v>13D Workspace Shell &amp; Navigation</x:v>
      </x:c>
      <x:c r="D272" s="133" t="str">
        <x:v>Regression</x:v>
      </x:c>
      <x:c r="E272" s="133" t="str">
        <x:v>Run route/navigation regression after shell adoption</x:v>
      </x:c>
      <x:c r="F272" s="133" t="str">
        <x:v>Invitation/auth next paths and existing route behavior remain intact.</x:v>
      </x:c>
      <x:c r="G272" s="133" t="str">
        <x:v>P0</x:v>
      </x:c>
      <x:c r="H272" s="133" t="str">
        <x:v>Completed</x:v>
      </x:c>
      <x:c r="I272" s="133" t="str">
        <x:v>Project Owner / Product / Engineering</x:v>
      </x:c>
      <x:c r="J272" s="133"/>
      <x:c r="K272" s="133" t="str">
        <x:v>13D-01</x:v>
      </x:c>
      <x:c r="L272" s="133" t="str">
        <x:v>G2</x:v>
      </x:c>
      <x:c r="M272" s="133" t="str">
        <x:v>PASS / EVIDENCE-ONLY ROUTE-NAVIGATION REGRESSION — At HEAD 881ce17c23c94fd3fe6a98ab479c58227f84738c, regression verification confirmed authenticated destinations, Sidebar/AppTopbar/breadcrumb destinations, invitation next-path behavior, login/auth next behavior, protected routes, RFQ protected-route behavior, and public/authenticated boundaries remain intact after shell adoption. No auth bypass, legacy/duplicate route reintroduction, Corporate route impact, or route/navigation regression was found.</x:v>
      </x:c>
      <x:c r="N272" s="249"/>
      <x:c r="O272" s="249" t="n">
        <x:v>46296</x:v>
      </x:c>
      <x:c r="P272" s="135" t="str">
        <x:v>Validation: focused route/navigation/auth regression tests PASS (101), lint PASS, build PASS, git diff --check PASS. Files changed: none. No intentional visual change. 13D-09 is closed without a source commit because verification required no modification. Next executable canonical task: 13D-10 — Workspace Shell sign-off.</x:v>
      </x:c>
    </x:row>
    <x:row r="273">
      <x:c r="A273" s="133" t="str">
        <x:v>✓</x:v>
      </x:c>
      <x:c r="B273" s="133" t="str">
        <x:v>13D-10</x:v>
      </x:c>
      <x:c r="C273" s="133" t="str">
        <x:v>13D Workspace Shell &amp; Navigation</x:v>
      </x:c>
      <x:c r="D273" s="133" t="str">
        <x:v>Review</x:v>
      </x:c>
      <x:c r="E273" s="133" t="str">
        <x:v>Workspace Shell sign-off</x:v>
      </x:c>
      <x:c r="F273" s="133" t="str">
        <x:v>Shared shell is approved before broad page-by-page visual migration.</x:v>
      </x:c>
      <x:c r="G273" s="133" t="str">
        <x:v>P0</x:v>
      </x:c>
      <x:c r="H273" s="133" t="str">
        <x:v>Completed</x:v>
      </x:c>
      <x:c r="I273" s="133" t="str">
        <x:v>Project Owner / Product / Engineering</x:v>
      </x:c>
      <x:c r="J273" s="133"/>
      <x:c r="K273" s="133" t="str">
        <x:v>13D-09</x:v>
      </x:c>
      <x:c r="L273" s="133"/>
      <x:c r="M273" s="133" t="str">
        <x:v>PASS / WORKSPACE SHELL SIGN-OFF — At HEAD d67b4030d011a4aa62016cad11d6e60bc975643e, read-only sign-off confirmed the shared authenticated shell is stable, non-duplicative, responsive, accessible, route-safe, and coherent across Sidebar, AppTopbar, AppPageContext, ApplicationFooter and AppShell. Desktop/mobile navigation, authenticated/public boundaries, accessibility verification and route/navigation regression remain preserved. No known shell-level defect remains and no PASS/CLOSED task requires reopening.</x:v>
      </x:c>
      <x:c r="N273" s="249"/>
      <x:c r="O273" s="249" t="n">
        <x:v>46296</x:v>
      </x:c>
      <x:c r="P273" s="135" t="str">
        <x:v>No files changed. 13D-04 remains BLOCKED/Open because no approved Ask Nexus/Search destination exists; 13D-05 remains BLOCKED/Open because issuer/respondent RFQ workflow presentation lacks a safe caller-owned mapping compatible with ExecutiveWorkflowStepper. Sign-off review determined neither blocker is an unfinished shared-shell contract and neither prevents broad page migration. Broad page migration is safe without immediate shell rework. Next executable canonical task: 13E-01 — Create reusable Nexus Completion Moment.</x:v>
      </x:c>
    </x:row>
    <x:row r="274">
      <x:c r="A274" s="133" t="str">
        <x:v>✓</x:v>
      </x:c>
      <x:c r="B274" s="133" t="str">
        <x:v>13E-01</x:v>
      </x:c>
      <x:c r="C274" s="133" t="str">
        <x:v>13E Motion &amp; Completion System</x:v>
      </x:c>
      <x:c r="D274" s="133" t="str">
        <x:v>Motion</x:v>
      </x:c>
      <x:c r="E274" s="133" t="str">
        <x:v>Create reusable Nexus Completion Moment</x:v>
      </x:c>
      <x:c r="F274" s="133" t="str">
        <x:v>Action → processing → confirmation → state change → next-best-action is a reusable enterprise pattern.</x:v>
      </x:c>
      <x:c r="G274" s="133" t="str">
        <x:v>P0</x:v>
      </x:c>
      <x:c r="H274" s="133" t="str">
        <x:v>Completed</x:v>
      </x:c>
      <x:c r="I274" s="133" t="str">
        <x:v>Project Owner / Product / Engineering</x:v>
      </x:c>
      <x:c r="J274" s="133" t="str">
        <x:v>Cursor UI 06</x:v>
      </x:c>
      <x:c r="K274" s="133" t="str">
        <x:v>13B-10</x:v>
      </x:c>
      <x:c r="L274" s="133"/>
      <x:c r="M274" s="133" t="str">
        <x:v>PASS / REUSABLE EXECUTIVE COMPLETION MOMENT CREATED — Published commit f1e9c57aed1ee38a94ed13746faa0605b0308c30 adds only src/components/executive/executive-completion-moment.tsx and src/components/executive/executive-completion-moment.test.ts. No reusable equivalent existed, so one small presentation-only primitive was created. It supports caller-owned processing and confirmed states, state-change summary, supporting detail, next-best-action and secondary action while reusing ExecutiveProgress and existing feedback/motion contracts.</x:v>
      </x:c>
      <x:c r="N274" s="249"/>
      <x:c r="O274" s="249" t="n">
        <x:v>46296</x:v>
      </x:c>
      <x:c r="P274" s="135" t="str">
        <x:v>Validation before publication: focused completion tests PASS (2), lint PASS, build PASS, git diff --check PASS. Pre-commit boundary review confirmed both files CLEAN-SCOPE: presentation-only; no API/async ownership, timers, auto-navigation, route/auth imports, RFQ lifecycle logic, quotation/evaluation/award logic, Workspace Membership logic, existing workflow migration, Corporate changes or unrelated edits. Native caller-provided action semantics remain accessibility-safe and reduced-motion behavior is inherited through the existing ExecutiveProgress/design-system contract. Next executable canonical task: 13E-02 — Implement RFQ created completion moment.</x:v>
      </x:c>
    </x:row>
    <x:row r="275">
      <x:c r="A275" s="133" t="str"/>
      <x:c r="B275" s="133" t="str">
        <x:v>13E-02</x:v>
      </x:c>
      <x:c r="C275" s="133" t="str">
        <x:v>13E Motion &amp; Completion System</x:v>
      </x:c>
      <x:c r="D275" s="133" t="str">
        <x:v>Motion</x:v>
      </x:c>
      <x:c r="E275" s="133" t="str">
        <x:v>Implement RFQ created completion moment</x:v>
      </x:c>
      <x:c r="F275" s="133" t="str">
        <x:v>RFQ creation confirms success and guides next configuration step without confetti.</x:v>
      </x:c>
      <x:c r="G275" s="133" t="str">
        <x:v>P1</x:v>
      </x:c>
      <x:c r="H275" s="133" t="str">
        <x:v>Blocked</x:v>
      </x:c>
      <x:c r="I275" s="133" t="str">
        <x:v>Project Owner / Product / Engineering</x:v>
      </x:c>
      <x:c r="J275" s="133"/>
      <x:c r="K275" s="133" t="str">
        <x:v>13E-01</x:v>
      </x:c>
      <x:c r="L275" s="133"/>
      <x:c r="M275" s="133" t="str">
        <x:v>BLOCKED / NO STABLE RFQ-CREATION SUCCESS SURFACE — Read-only review at HEAD 9920cda91534f0c953d08f9835d4e112cec0b42c found that successful RFQ creation waits about two seconds and then always navigates to /rfq/{slug}. There is no stable existing success state on which to mount ExecutiveCompletionMoment without changing current navigation behavior.</x:v>
      </x:c>
      <x:c r="N275" s="249"/>
      <x:c r="O275" s="249" t="n">
        <x:v>46296</x:v>
      </x:c>
      <x:c r="P275" s="135" t="str">
        <x:v>No files changed. Tests/lint/build/diff-check were not run because implementation stopped at the explicit early-stop condition. RFQ creation behavior, validation/submit behavior, created RFQ identity/slug handling, payload/schema, sourcing/deadline logic, authorization, supplier invitation behavior, quotation/evaluation/award logic and Workspace Membership behavior remain unchanged. No new route, auto-publish behavior or altered auto-navigation was introduced. Unblock criterion: an approved stable RFQ-creation success state must exist, or the navigation contract must be explicitly changed in a separate governed task. Next executable canonical task: 13E-03 — Implement RFQ published completion moment.</x:v>
      </x:c>
    </x:row>
    <x:row r="276">
      <x:c r="A276" s="133" t="str"/>
      <x:c r="B276" s="133" t="str">
        <x:v>13E-03</x:v>
      </x:c>
      <x:c r="C276" s="133" t="str">
        <x:v>13E Motion &amp; Completion System</x:v>
      </x:c>
      <x:c r="D276" s="133" t="str">
        <x:v>Motion</x:v>
      </x:c>
      <x:c r="E276" s="133" t="str">
        <x:v>Implement RFQ published completion moment</x:v>
      </x:c>
      <x:c r="F276" s="133" t="str">
        <x:v>Publish state shows invited count/deadlines and next engagement action.</x:v>
      </x:c>
      <x:c r="G276" s="133" t="str">
        <x:v>P1</x:v>
      </x:c>
      <x:c r="H276" s="133" t="str">
        <x:v>Blocked</x:v>
      </x:c>
      <x:c r="I276" s="133" t="str">
        <x:v>Project Owner / Product / Engineering</x:v>
      </x:c>
      <x:c r="J276" s="133"/>
      <x:c r="K276" s="133" t="str">
        <x:v>13E-01</x:v>
      </x:c>
      <x:c r="L276" s="133"/>
      <x:c r="M276" s="133" t="str">
        <x:v>BLOCKED / NO STABLE RFQ-PUBLISH SUCCESS SURFACE — Read-only review at HEAD dd7272e2c986d591fe7943397665104e3a185f89 found that the RFQ publish wizard sets success and then always navigates to /rfq/{slug} after about two seconds. The transient overlay has no stable host for ExecutiveCompletionMoment, no truthful invited-count source at that surface, and no separate existing next engagement action.</x:v>
      </x:c>
      <x:c r="N276" s="249"/>
      <x:c r="O276" s="249" t="n">
        <x:v>46296</x:v>
      </x:c>
      <x:c r="P276" s="135" t="str">
        <x:v>No files changed. Tests/lint/build/diff-check were not run because implementation stopped at the explicit early-stop condition. RFQ publish behavior and gating, status-transition logic, publish payload, supplier invitation behavior, deadline/commercial-lock logic, authorization, Workspace Membership and quotation/evaluation/award logic remain unchanged. No route/action, invited count, deadline, or next engagement action was invented. Unblock criterion: an approved stable post-publish success state must exist, or the navigation/state contract must be explicitly changed in a separate governed task; truthful invited-count/deadline/next-action sources must be available at that surface. Next executable canonical task: 13E-04 — Implement invitation sent feedback.</x:v>
      </x:c>
    </x:row>
    <x:row r="277">
      <x:c r="A277" s="133" t="str">
        <x:v>✓</x:v>
      </x:c>
      <x:c r="B277" s="133" t="str">
        <x:v>13E-04</x:v>
      </x:c>
      <x:c r="C277" s="133" t="str">
        <x:v>13E Motion &amp; Completion System</x:v>
      </x:c>
      <x:c r="D277" s="133" t="str">
        <x:v>Motion</x:v>
      </x:c>
      <x:c r="E277" s="133" t="str">
        <x:v>Implement invitation sent feedback</x:v>
      </x:c>
      <x:c r="F277" s="133" t="str">
        <x:v>Delivery/retry state is animated subtly and truthfully reflects sent/skipped/failed.</x:v>
      </x:c>
      <x:c r="G277" s="133" t="str">
        <x:v>P1</x:v>
      </x:c>
      <x:c r="H277" s="133" t="str">
        <x:v>Completed</x:v>
      </x:c>
      <x:c r="I277" s="133" t="str">
        <x:v>Project Owner / Product / Engineering</x:v>
      </x:c>
      <x:c r="J277" s="133"/>
      <x:c r="K277" s="133" t="str">
        <x:v>13E-01</x:v>
      </x:c>
      <x:c r="L277" s="133"/>
      <x:c r="M277" s="133" t="str">
        <x:v>PASS / EXISTING RFQ INVITATION DELIVERY FEEDBACK VERIFIED — At HEAD 508f25555495881739d36070bf9bd9bfe93fb9db, read-only verification confirmed the existing RFQ Procurement Invitation feedback already exposes a stable delivery-result state with truthful sent, skipped and failed outcomes and preserves the existing retry action. No ExecutiveCompletionMoment migration or presentation change was required.</x:v>
      </x:c>
      <x:c r="N277" s="249"/>
      <x:c r="O277" s="249" t="n">
        <x:v>46296</x:v>
      </x:c>
      <x:c r="P277" s="135" t="str">
        <x:v>Validation: focused RFQ invitation feedback tests PASS (13), lint PASS, build PASS, git diff --check PASS. Files changed: none. Invitation send behavior, recipient selection, deduplication/skipping rules, email delivery logic, retry eligibility, authorization, RFQ lifecycle/deadline logic, routes/navigation and Workspace Membership Invitation remain unchanged. No auto-retry introduced. Keyboard/focus, reduced-motion and accessibility/live-region behavior remain preserved. 13E-04 is closed without a source commit. Next executable canonical task: 13E-05 — Implement RFI submitted completion moment.</x:v>
      </x:c>
    </x:row>
    <x:row r="278">
      <x:c r="A278" s="133" t="str">
        <x:v>✓</x:v>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str">
        <x:v>Completed</x:v>
      </x:c>
      <x:c r="I278" s="133" t="str">
        <x:v>Project Owner / Product / Engineering</x:v>
      </x:c>
      <x:c r="J278" s="133" t="str"/>
      <x:c r="K278" s="133" t="inlineStr">
        <x:is>
          <x:t xml:space="preserve">13E-01</x:t>
        </x:is>
      </x:c>
      <x:c r="L278" s="133" t="str"/>
      <x:c r="M278" s="133" t="str">
        <x:v>PASS / RFI SUBMISSION COMPLETION MOMENT PUBLISHED — Commit 696c0f917a820bd0bf7b69d533ab258a7e24143f changes only src/components/rfq-workspace/rfq-rfi-workspace.tsx and src/components/rfq-workspace/rfq-rfi-submission.test.ts. The existing stable RFI submission success state now reuses ExecutiveCompletionMoment and presents confirmation from the returned/persisted RFI record.</x:v>
      </x:c>
      <x:c r="N278" s="249" t="n"/>
      <x:c r="O278" s="249" t="n">
        <x:v>46296</x:v>
      </x:c>
      <x:c r="P278" s="135" t="str">
        <x:v>Validation before publication: focused RFI submission tests PASS (49), lint PASS, build PASS, git diff --check PASS. Boundary review confirmed both task files CLEAN-SCOPE. Existing POST /api/rfq-rfis submit behavior and question payload are preserved; timestamp is sourced from rfi.created_at and status from existing rfi.status. No next action was invented because no existing proposal destination exists on the success surface. No route/auto-navigation, RFI payload/schema, RFQ lifecycle/status, quotation/proposal, deadline/commercial-lock, authorization, Workspace Membership, Corporate or unrelated changes were introduced. Remote branch verification confirmed parent b1358379cdd844d1b16ca01521075cc3ef1ce4e8 and exactly two changed files. Next executable canonical task: 13E-06 — Implement clarification/addendum published feedback.</x:v>
      </x:c>
    </x:row>
    <x:row r="279">
      <x:c r="A279" s="133" t="str">
        <x:v>✓</x:v>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str">
        <x:v>Completed</x:v>
      </x:c>
      <x:c r="I279" s="133" t="str">
        <x:v>Project Owner / Product / Engineering</x:v>
      </x:c>
      <x:c r="J279" s="133" t="str"/>
      <x:c r="K279" s="133" t="inlineStr">
        <x:is>
          <x:t xml:space="preserve">13E-01</x:t>
        </x:is>
      </x:c>
      <x:c r="L279" s="133" t="str"/>
      <x:c r="M279" s="133" t="str">
        <x:v>PASS / ADDENDUM PUBLICATION COMPLETION FEEDBACK PUBLISHED — Commit 8179c3939f2be8559f888142396a272d8fa03f19 changes only src/components/rfq-addenda-manager.tsx and src/components/rfq-workspace/rfq-addenda-manager.test.ts. The existing stable Addendum publication success state now reuses ExecutiveCompletionMoment and truthfully separates publication confirmation, acknowledgement implication, and returned notification delivery outcomes.</x:v>
      </x:c>
      <x:c r="N279" s="249" t="n"/>
      <x:c r="O279" s="249" t="n">
        <x:v>46296</x:v>
      </x:c>
      <x:c r="P279" s="135" t="str">
        <x:v>Validation before publication: focused addenda tests PASS (6), lint PASS, build PASS, git diff --check PASS. Boundary diagnosis found clean 13E-06 hunks mixed with pre-existing governed-handoff work; a temporary-index isolation check proved the task stands independently from HEAD and the isolated focused test PASS. Remote verification confirmed parent 43db5aa9a77546f805085e25cf68f56fde562781 and exactly two authorized files. Existing POST /api/rfq-addenda request, payload, validation, create lock, loading, error handling, list insertion, form reset, acknowledgement execution flow, RFQ lifecycle, deadline/commercial-lock, authorization, Workspace Membership, routes and Corporate scope remain unchanged. Publication remains confirmed even when notification delivery reports skipped/failed outcomes; no next action, route, supplier count or acknowledgement count was invented. Next executable canonical task: 13E-07 — Implement quote/proposal submitted completion moment.</x:v>
      </x:c>
    </x:row>
    <x:row r="280">
      <x:c r="A280" s="133" t="str">
        <x:f>IF(H280="Completed","✓",IF(H280="Blocked","!",""))</x:f>
        <x:v>!</x:v>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str">
        <x:v>Blocked</x:v>
      </x:c>
      <x:c r="I280" s="133" t="str">
        <x:v>Project Owner / Product / Engineering</x:v>
      </x:c>
      <x:c r="J280" s="133" t="str"/>
      <x:c r="K280" s="133" t="inlineStr">
        <x:is>
          <x:t xml:space="preserve">13E-01</x:t>
        </x:is>
      </x:c>
      <x:c r="L280" s="133" t="str"/>
      <x:c r="M280" s="133" t="str">
        <x:v>BLOCKED / NO STABLE QUOTE-SUBMISSION COMPLETION SURFACE — Read-only inspection at HEAD 777656999c0138dcd5b02a3d2d80709e44d1e049 confirmed the canonical respondent submit workspace uses /api/quotes and immediately router.push(`/rfq/${slug}`) plus router.refresh() after successful new submission, revised resubmission, or reconfirmation. The returned POST response contains truthful quote identity/state and the PATCH revalidation response contains truthful quote/revalidation identity/time, but no stable existing success host remains on the submit surface for ExecutiveCompletionMoment.</x:v>
      </x:c>
      <x:c r="N280" s="249" t="n"/>
      <x:c r="O280" s="249" t="n">
        <x:v>46296</x:v>
      </x:c>
      <x:c r="P280" s="135" t="str">
        <x:v>No files changed. Tests/lint/build/diff-check were not rerun because implementation stopped at the explicit early-stop condition. Existing quote POST/PATCH behavior, deadline/addenda acknowledgement gates, authorization, confidentiality, duplicate-submission protection, payload/schema, quote revalidation, routes and Workspace Membership remain unchanged. A completion moment with ID/time and next tracking action would require changing the existing auto-navigation/state contract or introducing a new stable post-submit state. Unblock criterion: an approved stable post-submission success state must exist, or the navigation contract must be explicitly changed in a separate governed task. Next executable canonical task: 13E-08 — Implement award completion feedback.</x:v>
      </x:c>
    </x:row>
    <x:row r="281">
      <x:c r="A281" s="133" t="str">
        <x:f>IF(H281="Completed","✓",IF(H281="Blocked","!",""))</x:f>
        <x:v>!</x:v>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str">
        <x:v>Blocked</x:v>
      </x:c>
      <x:c r="I281" s="133" t="str">
        <x:v>Project Owner / Product / Engineering</x:v>
      </x:c>
      <x:c r="J281" s="133" t="str"/>
      <x:c r="K281" s="133" t="inlineStr">
        <x:is>
          <x:t xml:space="preserve">13E-01</x:t>
        </x:is>
      </x:c>
      <x:c r="L281" s="133" t="str"/>
      <x:c r="M281" s="133" t="str">
        <x:v>BLOCKED / NO STABLE AWARD-COMPLETION SURFACE — Read-only inspection at HEAD 0963d89958730d96ead64406f4cea3da0e754e28 confirmed AwardContractButton closes the confirmation dialog and immediately navigates to data.redirectTo or /rfq/{slug}, followed by router.refresh(), after a successful POST /api/award-contract. The API returns truthful awardedQuote, RFQ, redirectTo, Buyer/Supplier notification outcomes and warnings, but no stable existing success host remains on the award control surface for ExecutiveCompletionMoment.</x:v>
      </x:c>
      <x:c r="N281" s="249" t="n"/>
      <x:c r="O281" s="249" t="n">
        <x:v>46296</x:v>
      </x:c>
      <x:c r="P281" s="135" t="str">
        <x:v>No files changed. Tests/lint/build/diff-check were not rerun because implementation stopped at the explicit early-stop condition. Existing award RPC/API behavior, authorization, deadline/commercial-opening governance, Buyer/Supplier notification delivery, audit warnings, RFQ/Quote state transition, routes and Workspace Membership remain unchanged. Presenting an award completion moment and transition to commercial handoff would require changing the current post-award navigation/state contract or introducing a stable post-award success state. Unblock criterion: an approved stable post-award success state must exist, or the navigation contract must be explicitly changed in a separate governed task. Next executable canonical task: 13E-09 — Create processing-state pattern.</x:v>
      </x:c>
    </x:row>
    <x:row r="282">
      <x:c r="A282" s="133" t="str">
        <x:v>✓</x:v>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str">
        <x:v>Completed</x:v>
      </x:c>
      <x:c r="I282" s="133" t="str">
        <x:v>Project Owner / Product / Engineering</x:v>
      </x:c>
      <x:c r="J282" s="133" t="str"/>
      <x:c r="K282" s="133" t="inlineStr">
        <x:is>
          <x:t xml:space="preserve">13E-01</x:t>
        </x:is>
      </x:c>
      <x:c r="L282" s="133" t="str"/>
      <x:c r="M282" s="133" t="str">
        <x:v>PASS / EXISTING PROCESSING-STATE PATTERN VERIFIED — Read-only verification at HEAD d992098031a6468c90ec6babe6276b9b69985249 confirmed ExecutiveCompletionMoment already provides the reusable processing-state contract required by 13E-09. The existing `processing` state sets aria-busy, uses the shared informational feedback/live-region contract, and can render caller-provided real progress through ExecutiveProgress.</x:v>
      </x:c>
      <x:c r="N282" s="249" t="n"/>
      <x:c r="O282" s="249" t="n">
        <x:v>46296</x:v>
      </x:c>
      <x:c r="P282" s="135" t="str">
        <x:v>No source files changed. Existing focused ExecutiveCompletionMoment tests already verify processing before confirmed state, conditional ExecutiveProgress rendering, aria-busy/live-region semantics, shared motion tokens and motion-reduce behavior. The component owns no fetch/async workflow, timers, setTimeout, auto-navigation or fabricated stages, so fast actions do not gain fake delays; callers may show progress only when they have truthful progress values. No duplicate processing component was created. Next executable canonical task: 13E-10 — Standardize success animation.</x:v>
      </x:c>
    </x:row>
    <x:row r="283">
      <x:c r="A283" s="133" t="str">
        <x:v>✓</x:v>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str">
        <x:v>Completed</x:v>
      </x:c>
      <x:c r="I283" s="133" t="str">
        <x:v>Project Owner / Product / Engineering</x:v>
      </x:c>
      <x:c r="J283" s="133" t="str"/>
      <x:c r="K283" s="133" t="inlineStr">
        <x:is>
          <x:t xml:space="preserve">13B-10</x:t>
        </x:is>
      </x:c>
      <x:c r="L283" s="133" t="str"/>
      <x:c r="M283" s="133" t="str">
        <x:v>PASS / EXECUTIVE ATTENTION MOTION PATTERN PUBLISHED — Commit 786e7e3cdeb36e120b91624a78da6f6866a677e3 changes only src/lib/design-system/executive-contract.ts, src/app/globals.css, and src/lib/design-system/executive-contract.test.ts. A shared `np-attention` contract now provides a subtle one-shot warning/gold/cyan wash-and-edge highlight using existing executive motion tokens.</x:v>
      </x:c>
      <x:c r="N283" s="249" t="n"/>
      <x:c r="O283" s="249" t="n">
        <x:v>46296</x:v>
      </x:c>
      <x:c r="P283" s="135" t="str">
        <x:v>Validation before publication: focused design-system tests PASS (34), lint PASS, build PASS, git diff --check PASS; all three files CLEAN-SCOPE. Remote verification confirmed parent 4e1e770f3d456078839415265923ca3152742980 and exactly three authorized files. Animation iteration count is one, uses existing context/milestone durations and standard easing, returns to a static transparent state, and is disabled by the existing global prefers-reduced-motion contract. No infinite loop, scale, bounce, confetti, React component, product-page integration, token-value change, business logic, authorization, route or domain behavior was introduced. Next executable canonical task: 13E-11 — Standardize error/recovery motion.</x:v>
      </x:c>
    </x:row>
    <x:row r="284">
      <x:c r="A284" s="133" t="str">
        <x:v>✓</x:v>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str">
        <x:v>Completed</x:v>
      </x:c>
      <x:c r="I284" s="133" t="str">
        <x:v>Project Owner / Product / Engineering</x:v>
      </x:c>
      <x:c r="J284" s="133" t="str"/>
      <x:c r="K284" s="133" t="inlineStr">
        <x:is>
          <x:t xml:space="preserve">13B-10</x:t>
        </x:is>
      </x:c>
      <x:c r="L284" s="133" t="str"/>
      <x:c r="M284" s="133" t="str">
        <x:v>PASS / EXECUTIVE ERROR-RECOVERY PATTERN PUBLISHED — Commit fb37b1af5a4866327d444be6e9bab9364448dd42 changes only src/components/executive/executive-error-recovery.tsx, src/components/executive/executive-error-recovery.test.ts, src/lib/design-system/executive-contract.ts, and src/app/globals.css. A reusable presentation-only ExecutiveErrorRecovery primitive now reuses existing executive error contracts, supports caller-owned recovery copy/action and optional caller-owned focus transfer, and adds a subtle one-shot error highlight.</x:v>
      </x:c>
      <x:c r="N284" s="249" t="n"/>
      <x:c r="O284" s="249" t="n">
        <x:v>46296</x:v>
      </x:c>
      <x:c r="P284" s="135" t="str">
        <x:v>Validation before publication: focused tests PASS (5), lint PASS, build PASS, git diff --check PASS; all four files CLEAN-SCOPE. Remote verification confirmed parent 1af7bfdc537b640e8b9df84df2f142ca84b06218 and exactly four authorized files. The primitive owns no fetch/API, router/navigation, business logic, timers, or product-specific behavior. Focus moves only to a caller-provided target when active. The error highlight runs once, uses existing context/milestone durations and standard easing, returns to static state, and is disabled by the existing global reduced-motion policy. No product-page integration or existing token-value change was introduced. Next executable canonical task: 13E-12 — Set animation performance budget.</x:v>
      </x:c>
    </x:row>
    <x:row r="285">
      <x:c r="A285" s="133" t="str">
        <x:v>✓</x:v>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str">
        <x:v>Completed</x:v>
      </x:c>
      <x:c r="I285" s="133" t="str">
        <x:v>Project Owner / Product / Engineering</x:v>
      </x:c>
      <x:c r="J285" s="133" t="str"/>
      <x:c r="K285" s="133" t="inlineStr">
        <x:is>
          <x:t xml:space="preserve">13E-01</x:t>
        </x:is>
      </x:c>
      <x:c r="L285" s="133" t="str"/>
      <x:c r="M285" s="133" t="str">
        <x:v>PASS / EXECUTIVE MOTION PERFORMANCE BUDGET PUBLISHED — Commit 4afa4545e4f9cee1697d584311e6e6ceb6b8f21a changes only src/app/globals.css, src/lib/design-system/executive-contract.ts, src/lib/design-system/executive-contract.test.ts, and src/components/executive/executive-error-recovery.test.ts. The shared attention/recovery patterns now render their warning/risk visual state on non-interactive pseudo-element overlays and animate opacity only; the shared contract records opacity/transform as the permitted core motion performance properties and pointer-events:none for overlays.</x:v>
      </x:c>
      <x:c r="N285" s="249" t="n"/>
      <x:c r="O285" s="249" t="n">
        <x:v>46296</x:v>
      </x:c>
      <x:c r="P285" s="135" t="str">
        <x:v>Validation before publication: focused tests PASS (39), lint PASS, build PASS, git diff --check PASS; all four files CLEAN-SCOPE. Remote verification confirmed parent 00d4663dbd4da1126867f89acc830ee788a8a5b6 and exactly four authorized files. Attention/recovery remain one-shot; no animated background-color, box-shadow or layout properties remain in keyframes; overlays use pointer-events:none and therefore do not block interaction. Existing motion duration/easing token values and the global reduced-motion policy remain unchanged. No runtime instrumentation, timers, product-page integration, business logic, authorization, route or domain behavior changed. Next executable canonical task: 13E-13 — Reduced-motion QA for all milestone/attention patterns.</x:v>
      </x:c>
    </x:row>
    <x:row r="286">
      <x:c r="A286" s="133" t="str">
        <x:v>✓</x:v>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str">
        <x:v>Completed</x:v>
      </x:c>
      <x:c r="I286" s="133" t="str">
        <x:v>Project Owner / Product / Engineering</x:v>
      </x:c>
      <x:c r="J286" s="133" t="str"/>
      <x:c r="K286" s="133" t="inlineStr">
        <x:is>
          <x:t xml:space="preserve">13E-12</x:t>
        </x:is>
      </x:c>
      <x:c r="L286" s="133" t="str"/>
      <x:c r="M286" s="133" t="str">
        <x:v>PASS / REDUCED-MOTION QA PUBLISHED — Commit 15a6f528cad2fcacf3f0d37745ce76956f469893 changes only src/app/globals.css, src/lib/design-system/executive-contract.test.ts, src/components/executive/executive-error-recovery.test.ts, and src/components/executive/executive-completion-moment.test.ts. Under prefers-reduced-motion, Attention and Error Recovery now retain visible static overlays while animation remains globally disabled; Completion Moment remains fully understandable through its status, title, summary, detail and caller actions without depending on motion.</x:v>
      </x:c>
      <x:c r="N286" s="249" t="n"/>
      <x:c r="O286" s="249" t="n">
        <x:v>46296</x:v>
      </x:c>
      <x:c r="P286" s="135" t="str">
        <x:v>Validation before publication: focused tests PASS (42), lint PASS, build PASS, git diff --check PASS; all four files CLEAN-SCOPE. Remote verification confirmed parent becdb875cc9665e242ef1785ff710293154ba15f and exactly four authorized files. Normal-motion behavior and motion token values remain unchanged; no runtime media-query detection, requestAnimationFrame, timers, new components, product-page integration, business logic, authorization, route or domain behavior changed. Phase 13E executable work is exhausted, but 13E-02, 13E-03, 13E-07 and 13E-08 remain BLOCKED/Open pending approved stable completion-state/navigation contracts. Next executable canonical task: 13F-01 — Define five-level guidance model.</x:v>
      </x:c>
    </x:row>
    <x:row r="287">
      <x:c r="A287" s="133" t="str">
        <x:v>✓</x:v>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str">
        <x:v>Completed</x:v>
      </x:c>
      <x:c r="I287" s="133" t="str">
        <x:v>Project Owner / Product / Engineering</x:v>
      </x:c>
      <x:c r="J287" s="133" t="inlineStr">
        <x:is>
          <x:t xml:space="preserve">Cursor UI 07</x:t>
        </x:is>
      </x:c>
      <x:c r="K287" s="133" t="inlineStr">
        <x:is>
          <x:t xml:space="preserve">13D-10</x:t>
        </x:is>
      </x:c>
      <x:c r="L287" s="133" t="str"/>
      <x:c r="M287" s="133" t="str">
        <x:v>PASS / FIVE-LEVEL EXECUTIVE GUIDANCE MODEL PUBLISHED — Commit 2e653196cbcf1dc73938f0c2f955c924264cb751 adds exactly two domain-neutral files: src/lib/guidance/executive-guidance-model.ts and src/lib/guidance/executive-guidance-model.test.ts. The shared contract defines exactly five stable levels: L0 Silent Intelligence, L1 Inline Hint, L2 Guidance Card, L3 Anchored Coachmark, and L4 Interactive Nexus Guide, with typed purpose, interaction, proactive eligibility, interruption, persistence, visibility, modality, blocking and consequential-action boundaries.</x:v>
      </x:c>
      <x:c r="N287" s="249" t="n"/>
      <x:c r="O287" s="249" t="n">
        <x:v>46296</x:v>
      </x:c>
      <x:c r="P287" s="135" t="str">
        <x:v>Validation before publication: focused tests PASS (5), lint PASS, build PASS, git diff --check PASS; both files CLEAN-SCOPE. Remote verification confirmed parent 0d332523a7b478fa7ad116123c327bd7684e3005 and exactly two authorized files. No RFQ/procurement/business-specific logic, React/UI components, eligibility/frequency/memory implementation, routes, API, database, auth, Ask Nexus implementation or product-page integration was introduced. L4 remains explicitly user-requested and all levels are non-blocking, do not invent controls and do not perform consequential actions. Next executable canonical task: 13F-02 — Implement guidance eligibility rules.</x:v>
      </x:c>
    </x:row>
    <x:row r="288">
      <x:c r="A288" s="133" t="str">
        <x:v>✓</x:v>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str">
        <x:v>Completed</x:v>
      </x:c>
      <x:c r="I288" s="133" t="str">
        <x:v>Project Owner / Product / Engineering</x:v>
      </x:c>
      <x:c r="J288" s="133" t="str"/>
      <x:c r="K288" s="133" t="inlineStr">
        <x:is>
          <x:t xml:space="preserve">13F-01</x:t>
        </x:is>
      </x:c>
      <x:c r="L288" s="133" t="str"/>
      <x:c r="M288" s="133" t="str">
        <x:v>PASS / EXECUTIVE GUIDANCE ELIGIBILITY RULES PUBLISHED — Commit f8b53f587c14e2049e1c6ea52db10c0ac6d179d8 adds exactly two domain-neutral files: src/lib/guidance/executive-guidance-eligibility.ts and src/lib/guidance/executive-guidance-eligibility.test.ts. The closed eligibility contract defines exactly five canonical contexts: FIRST_TIME, CHANGE, RISK, INCOMPLETE and REQUESTED. FIRST_TIME/CHANGE/RISK/INCOMPLETE are eligible proactive contexts; REQUESTED is eligible but explicitly user-requested and non-proactive; unknown/empty values are ineligible.</x:v>
      </x:c>
      <x:c r="N288" s="249" t="n"/>
      <x:c r="O288" s="249" t="n">
        <x:v>46296</x:v>
      </x:c>
      <x:c r="P288" s="135" t="str">
        <x:v>Validation before publication: focused tests PASS (5), lint PASS, build PASS, git diff --check PASS; both files CLEAN-SCOPE. Remote verification confirmed parent 9da88f195e33742113f39f4841dbdc313a6cc07c and exactly two authorized files. No RFQ/procurement/business-specific logic, frequency controls, seen/dismissed/snoozed memory, persistence, React/UI components, routes, API, database, auth, Ask Nexus behavior or product integration was introduced. Next executable canonical task: 13F-03 — Implement guidance frequency controls.</x:v>
      </x:c>
    </x:row>
    <x:row r="289">
      <x:c r="A289" s="133" t="str">
        <x:v>✓</x:v>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str">
        <x:v>Completed</x:v>
      </x:c>
      <x:c r="I289" s="133" t="str">
        <x:v>Project Owner / Product / Engineering</x:v>
      </x:c>
      <x:c r="J289" s="133" t="str"/>
      <x:c r="K289" s="133" t="inlineStr">
        <x:is>
          <x:t xml:space="preserve">13F-02</x:t>
        </x:is>
      </x:c>
      <x:c r="L289" s="133" t="str"/>
      <x:c r="M289" s="133" t="str">
        <x:v>PASS / EXECUTIVE GUIDANCE FREQUENCY CONTROLS PUBLISHED — Commit b94f88cf7c1d713310ed582b6f048beaa0839362 adds exactly two domain-neutral files: src/lib/guidance/executive-guidance-frequency.ts and src/lib/guidance/executive-guidance-frequency.test.ts. The pure caller-state contract enforces a proactive page-load quota of one, keeps REQUESTED guidance independent of that quota, blocks dismissed/completed L3 anchored coachmarks, and rejects unknown/ineligible contexts without consuming quota.</x:v>
      </x:c>
      <x:c r="N289" s="249" t="n"/>
      <x:c r="O289" s="249" t="n">
        <x:v>46296</x:v>
      </x:c>
      <x:c r="P289" s="135" t="str">
        <x:v>Validation before publication: focused tests PASS (7), lint PASS, build PASS, git diff --check PASS; both files CLEAN-SCOPE. Remote verification confirmed parent d3519bcc850fcf6ced4c57e25351e8da7d106f8d and exactly two authorized files. No localStorage/sessionStorage/cookies/indexedDB/database persistence, snooze/timestamp/cooldown logic, React/hooks/context, UI components, routes, API, auth, Ask Nexus behavior or product integration was introduced. Non-coachmark dismissal/completion semantics were not invented. Next executable canonical task: 13F-04 — Implement seen/dismissed/snoozed guidance memory.</x:v>
      </x:c>
    </x:row>
    <x:row r="290">
      <x:c r="A290" s="133" t="str">
        <x:v>✓</x:v>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str">
        <x:v>Completed</x:v>
      </x:c>
      <x:c r="I290" s="133" t="str">
        <x:v>Project Owner / Product / Engineering</x:v>
      </x:c>
      <x:c r="J290" s="133" t="str"/>
      <x:c r="K290" s="133" t="inlineStr">
        <x:is>
          <x:t xml:space="preserve">13F-03</x:t>
        </x:is>
      </x:c>
      <x:c r="L290" s="133" t="str"/>
      <x:c r="M290" s="133" t="str">
        <x:v>PASS / EXECUTIVE GUIDANCE MEMORY CONTRACT PUBLISHED — Commit 61e8f84005b4884d96b18a00df476038ea6dead7 adds exactly two domain-neutral files: src/lib/guidance/executive-guidance-memory.ts and src/lib/guidance/executive-guidance-memory.test.ts. The caller-owned contract defines unseen, seen, dismissed, snoozed and completed states; seen does not permanently suppress; dismissed/completed suppress repeat tutorial guidance; snoozed suppresses only until caller-provided snoozedUntil and then reopens consideration.</x:v>
      </x:c>
      <x:c r="N290" s="249" t="n"/>
      <x:c r="O290" s="249" t="n">
        <x:v>46296</x:v>
      </x:c>
      <x:c r="P290" s="135" t="str">
        <x:v>Validation before publication: focused tests PASS (6), lint PASS, build PASS, git diff --check PASS; both files CLEAN-SCOPE. Remote verification confirmed parent f7fd16450bebca44149b810091d2300ec9a918fe and exactly two authorized files. Remind Me Later maps to snoozed, invalid/missing snooze deadlines fail safely without indefinite suppression, and all time evaluation uses caller-provided now. No localStorage/sessionStorage/cookies/indexedDB/database/Supabase persistence, hidden clocks, timers, React/hooks/context, UI components, routes, API, auth, Ask Nexus behavior or product integration was introduced. Next executable canonical task: 13F-05 — Create inline hint component.</x:v>
      </x:c>
    </x:row>
    <x:row r="291">
      <x:c r="A291" s="133" t="str">
        <x:v>✓</x:v>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str">
        <x:v>Completed</x:v>
      </x:c>
      <x:c r="I291" s="133" t="str">
        <x:v>Project Owner / Product / Engineering</x:v>
      </x:c>
      <x:c r="J291" s="133" t="str"/>
      <x:c r="K291" s="133" t="inlineStr">
        <x:is>
          <x:t xml:space="preserve">13C-09</x:t>
        </x:is>
      </x:c>
      <x:c r="L291" s="133" t="str"/>
      <x:c r="M291" s="133" t="str">
        <x:v>PASS / EXECUTIVE INLINE HINT COMPONENT PUBLISHED — Commit d1793c8253449ad4d71aedf6908e44daf057461c adds exactly two files: src/components/executive/executive-inline-hint.tsx and src/components/executive/executive-inline-hint.test.ts. ExecutiveInlineHint is a reusable L1 presentation-only contextual hint that reuses EXECUTIVE_FORM_HELPER, accepts caller-provided id for aria-describedby associations, wraps long text responsively, and remains always-visible, non-modal and non-blocking.</x:v>
      </x:c>
      <x:c r="N291" s="249" t="n"/>
      <x:c r="O291" s="249" t="n">
        <x:v>46296</x:v>
      </x:c>
      <x:c r="P291" s="135" t="str">
        <x:v>Validation before publication: focused tests PASS (5), lint PASS, build PASS, git diff --check PASS; both files CLEAN-SCOPE. Remote verification confirmed parent 135770ecd32f94a8003e210f5b893aa58c5ae0a2 and exactly two authorized files. No buttons/links/dialogs/popovers/tooltips/live regions, React state/hooks, routing, requests, timers, eligibility/frequency/memory ownership, new design tokens, RFQ/procurement-specific logic or product-page integration was introduced. Next executable canonical task: 13F-06 — Create contextual guidance card.</x:v>
      </x:c>
    </x:row>
    <x:row r="292">
      <x:c r="A292" s="133" t="str">
        <x:v>✓</x:v>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str">
        <x:v>Completed</x:v>
      </x:c>
      <x:c r="I292" s="133" t="str">
        <x:v>Project Owner / Product / Engineering</x:v>
      </x:c>
      <x:c r="J292" s="133" t="str"/>
      <x:c r="K292" s="133" t="inlineStr">
        <x:is>
          <x:t xml:space="preserve">13C-15</x:t>
        </x:is>
      </x:c>
      <x:c r="L292" s="133" t="str"/>
      <x:c r="M292" s="133" t="str">
        <x:v>PASS / EXECUTIVE CONTEXTUAL GUIDANCE CARD PUBLISHED — Commit f90844661a664a12354c2a239c6aec9c3ce2ab0e adds exactly two files: src/components/executive/executive-guidance-card.tsx and src/components/executive/executive-guidance-card.test.ts. ExecutiveGuidanceCard is a reusable L2 embedded guidance primitive built on ExecutivePanel with optional caller-owned Review and Dismiss actions using the shared EXECUTIVE_BUTTON_SECONDARY and EXECUTIVE_BUTTON_TERTIARY contracts.</x:v>
      </x:c>
      <x:c r="N292" s="249" t="n"/>
      <x:c r="O292" s="249" t="n">
        <x:v>46296</x:v>
      </x:c>
      <x:c r="P292" s="135" t="str">
        <x:v>Validation before publication: focused tests PASS (6), lint PASS, build PASS, git diff --check PASS; both files CLEAN-SCOPE. Remote verification confirmed parent c0998c1973e833e7fb6b58c63b01f940a3fef65c and exactly two authorized files. The card remains embedded, non-modal and non-blocking; action buttons render only when both label and handler are supplied and use type=button. No component-owned state, routing, persistence, eligibility/frequency/memory logic, new design tokens, API/database/auth, RFQ/procurement-specific behavior or product-page integration was introduced. Next executable canonical task: 13F-07 — Create anchored first-use coachmark.</x:v>
      </x:c>
    </x:row>
    <x:row r="293">
      <x:c r="A293" s="133" t="str">
        <x:v>✓</x:v>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str">
        <x:v>Completed</x:v>
      </x:c>
      <x:c r="I293" s="133" t="str">
        <x:v>Project Owner / Product / Engineering</x:v>
      </x:c>
      <x:c r="J293" s="133" t="str"/>
      <x:c r="K293" s="133" t="inlineStr">
        <x:is>
          <x:t xml:space="preserve">13F-04</x:t>
        </x:is>
      </x:c>
      <x:c r="L293" s="133" t="str"/>
      <x:c r="M293" s="133" t="str">
        <x:v>PASS / EXECUTIVE ANCHORED COACHMARK PUBLISHED — Commit 397bbfcfaecaec1c34c19f3a1863b983ff55f75a adds exactly two files: src/components/executive/executive-coachmark.tsx and src/components/executive/executive-coachmark.test.ts. ExecutiveCoachmark is a reusable L3 caller-controlled anchored coachmark that preserves the real caller-provided anchor, renders only when open, and reuses EXECUTIVE_POPOVER_SURFACE / PLACEMENT / MOTION plus shared executive button contracts.</x:v>
      </x:c>
      <x:c r="N293" s="249" t="n"/>
      <x:c r="O293" s="249" t="n">
        <x:v>46296</x:v>
      </x:c>
      <x:c r="P293" s="135" t="str">
        <x:v>Validation before publication: focused tests PASS (7), lint PASS, build PASS, git diff --check PASS; both files CLEAN-SCOPE. Remote verification confirmed parent 9e51861f692f17c478f6148c11c931ea303c7bef and exactly two authorized files. The coachmark is non-modal with no overlay, portal, dialog role, focus trap or invented anchor; open/replay state and optional action/dismiss effects remain caller-owned. No eligibility/frequency/memory/persistence, Help system, routing, API/database/auth, RFQ/procurement-specific behavior or product-page integration was introduced. Next executable canonical task: 13F-08 — Create Nexus Guide side panel.</x:v>
      </x:c>
    </x:row>
    <x:row r="294">
      <x:c r="A294" s="133" t="str">
        <x:v>✓</x:v>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str">
        <x:v>Completed</x:v>
      </x:c>
      <x:c r="I294" s="133" t="str">
        <x:v>Project Owner / Product / Engineering</x:v>
      </x:c>
      <x:c r="J294" s="133" t="str"/>
      <x:c r="K294" s="133" t="inlineStr">
        <x:is>
          <x:t xml:space="preserve">13C-08</x:t>
        </x:is>
      </x:c>
      <x:c r="L294" s="133" t="str"/>
      <x:c r="M294" s="133" t="str">
        <x:v>PASS / EXECUTIVE NEXUS GUIDE PANEL PUBLISHED — Commit aa358c01d7f4869a5ae2e77cb00ea62bc85478b4 adds exactly two files: src/components/executive/executive-nexus-guide.tsx and src/components/executive/executive-nexus-guide.test.ts. ExecutiveNexusGuide is a reusable caller-controlled side panel built on the shared Executive Drawer contracts and presents only caller-supplied workflow, readiness, attention items, suggested next step, and optional action nodes.</x:v>
      </x:c>
      <x:c r="N294" s="249" t="n"/>
      <x:c r="O294" s="249" t="n">
        <x:v>46296</x:v>
      </x:c>
      <x:c r="P294" s="135" t="str">
        <x:v>Validation before publication: focused tests PASS (6), lint PASS, build PASS, git diff --check PASS; both files CLEAN-SCOPE. Remote verification confirmed parent 23d90057f02902b319ae75397529400e9ce5a17e and exactly two authorized files. Closed state renders nothing; empty sections are omitted; close is a caller-owned type=button control; long content wraps responsively. No AI/Ask Nexus/chat/prompt behavior, workflow/readiness/risk inference, fetching/data loading, routing/deep-link generation, eligibility/frequency/memory ownership, persistence/storage, API/database/auth, RFQ/procurement logic, new design tokens or product-page integration was introduced. Next executable canonical task: 13F-09 — Add RFI/clarification contextual guidance.</x:v>
      </x:c>
    </x:row>
    <x:row r="295">
      <x:c r="A295" s="133" t="str">
        <x:v>✓</x:v>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str">
        <x:v>Completed</x:v>
      </x:c>
      <x:c r="I295" s="133" t="str">
        <x:v>Project Owner / Product / Engineering</x:v>
      </x:c>
      <x:c r="J295" s="133" t="str"/>
      <x:c r="K295" s="133" t="inlineStr">
        <x:is>
          <x:t xml:space="preserve">13F-06</x:t>
        </x:is>
      </x:c>
      <x:c r="L295" s="133" t="str"/>
      <x:c r="M295" s="133" t="str">
        <x:v>PASS / RFI CONTEXTUAL GUIDANCE PUBLISHED — Commit 0bc78e96f7dcbe425f27548f964f10e4e7c31477 changes exactly four authorized files: src/lib/guidance/rfi-contextual-guidance.ts, src/lib/guidance/rfi-contextual-guidance.test.ts, src/components/rfq-workspace/rfq-rfi-workspace.tsx, and src/components/rfq-workspace/rfq-rfi-submission.test.ts. A pure RFI guidance resolver now produces at most one truthful contextual guidance item from explicit caller signals and existing deadline/open-RFI state.</x:v>
      </x:c>
      <x:c r="N295" s="249" t="n"/>
      <x:c r="O295" s="249" t="n">
        <x:v>46296</x:v>
      </x:c>
      <x:c r="P295" s="135" t="str">
        <x:v>Validation before publication: focused tests PASS (9), lint PASS, build PASS, git diff --check PASS; all four files CLEAN-SCOPE. Remote verification confirmed parent 3ac2a514ea32ad2aa53f89b51a6a4a4ed2ef041b and exactly four authorized files. Approaching-deadline and owner/open-RFI guidance use real current state; ambiguity and Addendum impact require explicit true signals and are never inferred from RFI text or responses. RFQ RFI confidentiality wording, POST/PATCH submit/answer behavior, Addendum workflow, API/database/auth/RLS, deadline enforcement and product navigation remain unchanged. Next executable canonical task: 13F-10 — Add proposal readiness contextual guidance.</x:v>
      </x:c>
    </x:row>
    <x:row r="296">
      <x:c r="A296" s="133" t="str">
        <x:v>✓</x:v>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str">
        <x:v>Completed</x:v>
      </x:c>
      <x:c r="I296" s="133" t="str">
        <x:v>Project Owner / Product / Engineering</x:v>
      </x:c>
      <x:c r="J296" s="133" t="str"/>
      <x:c r="K296" s="133" t="inlineStr">
        <x:is>
          <x:t xml:space="preserve">13F-06</x:t>
        </x:is>
      </x:c>
      <x:c r="L296" s="133" t="str"/>
      <x:c r="M296" s="133" t="str">
        <x:v>PASS / QUOTATION READINESS CONTEXTUAL GUIDANCE PUBLISHED — Commit b553b9758ae99f802a96688ef34bf48af6efc130 changes exactly four authorized files: src/lib/guidance/quotation-readiness-guidance.ts, src/lib/guidance/quotation-readiness-guidance.test.ts, src/components/rfq-workspace/rfq-submit-workspace.tsx, and src/components/rfq-workspace/rfq-submit-page.test.ts. A pure quotation readiness resolver now produces at most one contextual guidance item from verified completeness evidence and outstanding required Addendum acknowledgement state.</x:v>
      </x:c>
      <x:c r="N296" s="249" t="n"/>
      <x:c r="O296" s="249" t="n">
        <x:v>46296</x:v>
      </x:c>
      <x:c r="P296" s="135" t="str">
        <x:v>Validation before publication: focused tests PASS (18), lint PASS, build PASS, git diff --check PASS; all four files CLEAN-SCOPE. Remote verification confirmed parent 768b247f2305dcd33a81901b8c7f86f207e24cf2 and exactly four authorized files. Required Addendum acknowledgement is prioritized; missing amount/timeline/commercial-note evidence is combined into one truthful guidance item; compliance/documents require explicit true signals and are not inferred in the submit workspace. Existing completeness UI and submit/reconfirm/resubmit mutation contracts, Quote API/payloads, deadline enforcement, revalidation logic, database/auth/RLS and navigation remain unchanged. Next executable canonical task: 13F-11 — Add evaluation exception guidance.</x:v>
      </x:c>
    </x:row>
    <x:row r="297">
      <x:c r="A297" s="133" t="str">
        <x:v>✓</x:v>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str">
        <x:v>Completed</x:v>
      </x:c>
      <x:c r="I297" s="133" t="str">
        <x:v>Project Owner / Product / Engineering</x:v>
      </x:c>
      <x:c r="J297" s="133" t="str"/>
      <x:c r="K297" s="133" t="inlineStr">
        <x:is>
          <x:t xml:space="preserve">13F-06</x:t>
        </x:is>
      </x:c>
      <x:c r="L297" s="133" t="str"/>
      <x:c r="M297" s="133" t="str">
        <x:v>PASS / EVALUATION EXCEPTION GUIDANCE PUBLISHED — Commit 53911307de96669fd5091f92375b2015301536b4 changes exactly four authorized files: src/lib/guidance/evaluation-exception-guidance.ts, src/lib/guidance/evaluation-exception-guidance.test.ts, src/components/rfq-workspace/rfq-quote-comparison.tsx, and src/components/rfq-workspace/rfq-quote-comparison.test.ts. A pure evaluation-exception resolver now produces at most one issuer review guidance item from existing comparison evidence.</x:v>
      </x:c>
      <x:c r="N297" s="249" t="n"/>
      <x:c r="O297" s="249" t="n">
        <x:v>46296</x:v>
      </x:c>
      <x:c r="P297" s="135" t="str">
        <x:v>Validation before publication: focused tests PASS (14), lint PASS, build PASS, git diff --check PASS; all four files CLEAN-SCOPE. Remote verification confirmed parent 1becc32b1665c33ffa43b8a3cc7181c86e2ecda4 and exactly four authorized files. Material revalidation is prioritized; high-risk evidence is derived only from existing riskLevel; highest-price evidence only from existing isHighest. No new thresholds, data access, AI/inference, commercial unlock change, issuer authorization change, ranking/scoring/recommendation change or award behavior change was introduced. Next executable canonical task: 13F-12 — Add attention guidance to Activity Center.</x:v>
      </x:c>
    </x:row>
    <x:row r="298">
      <x:c r="A298" s="133" t="str">
        <x:v>✓</x:v>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str">
        <x:v>Completed</x:v>
      </x:c>
      <x:c r="I298" s="133" t="str">
        <x:v>Project Owner / Product / Engineering</x:v>
      </x:c>
      <x:c r="J298" s="133" t="str"/>
      <x:c r="K298" s="133" t="inlineStr">
        <x:is>
          <x:t xml:space="preserve">13F-06</x:t>
        </x:is>
      </x:c>
      <x:c r="L298" s="133" t="str"/>
      <x:c r="M298" s="133" t="str">
        <x:v>PASS / ACTIVITY CENTER ATTENTION GUIDANCE PUBLISHED — Commit 9d2060830c903e6bb184197b3bae78571aa05b7b changes exactly four authorized files: src/lib/guidance/activity-attention-guidance.ts, src/lib/guidance/activity-attention-guidance.test.ts, src/app/notifications/page.tsx, and src/lib/procurement/activity-center-prioritization.test.ts. Needs Attention rows now explain why supported priority events matter and reuse only the already-authorized RFQ source href.</x:v>
      </x:c>
      <x:c r="N298" s="249" t="n"/>
      <x:c r="O298" s="249" t="n">
        <x:v>46296</x:v>
      </x:c>
      <x:c r="P298" s="135" t="str">
        <x:v>Validation before publication: focused tests PASS (11), lint PASS, build PASS, git diff --check PASS; all four files CLEAN-SCOPE. Remote verification confirmed parent 380ff3d097fbe5856a7f77056d4c8c6a74e85305 and exactly four authorized files. Supported rationales cover addendum_action_required, rfi, rfi_response, and quote; unknown/non-attention types are suppressed. Deep links use only resolveRfqSourceHref()-derived sourceHref, no title/message parsing or invented routes, no priority-order change, no Updates/History change, no duplicate source action, and no new data/API/database/AI behavior. Next executable canonical task: 13F-13 — Standardize guidance writing tone.</x:v>
      </x:c>
    </x:row>
    <x:row r="299">
      <x:c r="A299" s="133" t="str">
        <x:v>✓</x:v>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str">
        <x:v>Completed</x:v>
      </x:c>
      <x:c r="I299" s="133" t="str">
        <x:v>Project Owner / Product / Engineering</x:v>
      </x:c>
      <x:c r="J299" s="133" t="str"/>
      <x:c r="K299" s="133" t="inlineStr">
        <x:is>
          <x:t xml:space="preserve">13F-01</x:t>
        </x:is>
      </x:c>
      <x:c r="L299" s="133" t="str"/>
      <x:c r="M299" s="133" t="str">
        <x:v>PASS / GUIDANCE WRITING TONE STANDARDIZED — Commit 9324616d59d52f4b614c8cc3712e1f4caa87caef changes exactly eight authorized guidance source/test files across RFI, quotation readiness, evaluation exceptions, and Activity attention. Guidance copy is now concise, professional, procurement-accurate, non-patronizing, and action-oriented while preserving resolver logic and priorities.</x:v>
      </x:c>
      <x:c r="N299" s="249" t="n"/>
      <x:c r="O299" s="249" t="n">
        <x:v>46296</x:v>
      </x:c>
      <x:c r="P299" s="135" t="str">
        <x:v>Validation before publication: focused tests PASS (27), lint PASS, build PASS, git diff --check PASS; all eight files CLEAN-SCOPE. Remote verification confirmed parent 727e0bcb5fba0263091a64fb96d6b6301c368c74 and exactly eight authorized files. No UI/product file, resolver input/output shape, resolver condition/priority, routing, API, database/auth/RLS, commercial lifecycle, scoring/ranking, award behavior or guidance eligibility/frequency/memory logic changed. Tone-contract tests prohibit patronizing/informal/hype language and preserve procurement terminology, confidentiality and governance semantics. Next executable canonical task: 13F-14 — Guidance annoyance review.</x:v>
      </x:c>
    </x:row>
    <x:row r="300">
      <x:c r="A300" s="133" t="str">
        <x:v>✓</x:v>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str">
        <x:v>Completed</x:v>
      </x:c>
      <x:c r="I300" s="133" t="str">
        <x:v>Project Owner / Product / Engineering</x:v>
      </x:c>
      <x:c r="J300" s="133" t="str"/>
      <x:c r="K300" s="133" t="inlineStr">
        <x:is>
          <x:t xml:space="preserve">13F-12</x:t>
        </x:is>
      </x:c>
      <x:c r="L300" s="133" t="str"/>
      <x:c r="M300" s="133" t="str">
        <x:v>PASS / GUIDANCE ANNOYANCE REVIEW COMPLETE — Real-user walkthrough now covers all integrated Phase 13F guidance surfaces. Quote Comparison, Private RFI, Activity Center, and Quotation Submit/Revalidation all PASS. Final respondent QA used the existing Gulf Coast Concrete Solutions LLC supplier session and existing Development data only; no code, database, auth-data, fixture, RFQ, quotation, Addendum, or deadline mutation occurred.</x:v>
      </x:c>
      <x:c r="N300" s="249" t="n"/>
      <x:c r="O300" s="249" t="n">
        <x:v>46296</x:v>
      </x:c>
      <x:c r="P300" s="135" t="str">
        <x:v>Final QA on HEAD e94e48429f8252cc0af7e72152788ae7d040dfd4: Outstanding Addendum state PASS — submit workspace mounted; evidence-matched guidance; exactly one card; Addendum precedence correct; no competing missing-input guidance; primary controls dominant/reachable; no unsupported compliance/documents guidance. Complete state PASS — submit workspace mounted; quiet state; completeness presentation acceptable; primary controls dominant/reachable; no unsupported compliance/documents guidance. Responsive PASS — no horizontal overflow and no viewport takeover. Prior PASS evidence retained for Quote Comparison, Private RFI, Activity Center, and global annoyance checks. No confidentiality/domain regression, unsupported guidance, P0/P1 product defect, code change, database change, auth-data change, commit or push. 13F-14 CLOSED. Phase 13F Contextual Guidance Framework CLOSED.</x:v>
      </x:c>
    </x:row>
    <x:row r="301">
      <x:c r="A301" s="133" t="str">
        <x:v>✓</x:v>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str">
        <x:v>Completed</x:v>
      </x:c>
      <x:c r="I301" s="133" t="str">
        <x:v>Project Owner / Product / Engineering</x:v>
      </x:c>
      <x:c r="J301" s="133" t="inlineStr">
        <x:is>
          <x:t xml:space="preserve">Cursor UI 08</x:t>
        </x:is>
      </x:c>
      <x:c r="K301" s="133" t="inlineStr">
        <x:is>
          <x:t xml:space="preserve">13F-14</x:t>
        </x:is>
      </x:c>
      <x:c r="L301" s="133" t="str"/>
      <x:c r="M301" s="133" t="str">
        <x:v>PASS / ASK NEXUS TRUST BOUNDARIES PUBLISHED — Commit f0681a33374947f1fe0ff5063c8d248d0f905f9a adds exactly two authorized files: src/lib/ask-nexus/ask-nexus-trust-policy.ts and src/lib/ask-nexus/ask-nexus-trust-policy.test.ts. The pure domain-neutral policy separates explain, navigate, advise, and consequential-action trust states without executing mutations or duplicating domain authorization.</x:v>
      </x:c>
      <x:c r="N301" s="249" t="n"/>
      <x:c r="O301" s="249" t="n">
        <x:v>46296</x:v>
      </x:c>
      <x:c r="P301" s="135" t="str">
        <x:v>Validation before publication: focused tests PASS (14), lint PASS, build PASS, git diff --check PASS; both files CLEAN-SCOPE. Remote verification confirmed parent b41912228b79848c92aca59bf93d9720447f3afc and exactly two authorized files. Explain/advise remain informational and non-binding; navigation accepts only caller-supplied authorized hrefs; consequential actions require explicit permission and confirmation and still require execution-time authorization revalidation. No UI/API/database/auth, route synthesis, AI permission inference, mutation execution, or duplicated domain authorization logic was introduced. Next executable canonical task: 13G-02 — Pass authorized page/workflow context to help.</x:v>
      </x:c>
    </x:row>
    <x:row r="302">
      <x:c r="A302" s="133" t="str">
        <x:v>✓</x:v>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str">
        <x:v>Completed</x:v>
      </x:c>
      <x:c r="I302" s="133" t="str">
        <x:v>Project Owner / Product / Engineering</x:v>
      </x:c>
      <x:c r="J302" s="133" t="str"/>
      <x:c r="K302" s="133" t="inlineStr">
        <x:is>
          <x:t xml:space="preserve">13G-01</x:t>
        </x:is>
      </x:c>
      <x:c r="L302" s="133" t="inlineStr">
        <x:is>
          <x:t xml:space="preserve">G7</x:t>
        </x:is>
      </x:c>
      <x:c r="M302" s="133" t="str">
        <x:v>PASS / ASK NEXUS AUTHORIZED CONTEXT PUBLISHED — Commit 81ce911695fa88340b142a044cbca7c9dfe0e898 adds exactly two authorized files: src/lib/ask-nexus/ask-nexus-context.ts and src/lib/ask-nexus/ask-nexus-context.test.ts. The pure context contract retains only caller-authorized company/project/RFQ resources, preserves caller-supplied RFQ navigation, and normalizes facts without permission or role inference.</x:v>
      </x:c>
      <x:c r="N302" s="249" t="n"/>
      <x:c r="O302" s="249" t="n">
        <x:v>46296</x:v>
      </x:c>
      <x:c r="P302" s="135" t="str">
        <x:v>Validation before publication: focused tests PASS (19), lint PASS, build PASS, git diff --check PASS; both files CLEAN-SCOPE. Remote verification confirmed parent cbb5e52369436192daa4dd93c49fecd257169ee5 and exactly two authorized files. Company/project/RFQ authorization remains independently scoped; unauthorized resources are dropped; RFQ href is caller-supplied only; facts normalize/deduplicate without creating authorization. No route synthesis, role/procurement inference, data/API/database access, broad repository import, duplicated authorization logic, UI/API/database/auth change, or execution fields were introduced. Next executable canonical task: 13G-03 — Add context-specific suggested questions.</x:v>
      </x:c>
    </x:row>
    <x:row r="303">
      <x:c r="A303" s="133" t="str">
        <x:v>✓</x:v>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str">
        <x:v>Completed</x:v>
      </x:c>
      <x:c r="I303" s="133" t="str">
        <x:v>Project Owner / Product / Engineering</x:v>
      </x:c>
      <x:c r="J303" s="133" t="str"/>
      <x:c r="K303" s="133" t="inlineStr">
        <x:is>
          <x:t xml:space="preserve">13G-02</x:t>
        </x:is>
      </x:c>
      <x:c r="L303" s="133" t="str"/>
      <x:c r="M303" s="133" t="str">
        <x:v>PASS / ASK NEXUS SUGGESTED QUESTIONS PUBLISHED — Commit 4305f500996a9849a08c654872e6503db675b730 adds exactly two authorized files: src/lib/ask-nexus/ask-nexus-suggested-questions.ts and src/lib/ask-nexus/ask-nexus-suggested-questions.test.ts. The pure resolver generates at most four deterministic context-specific questions from AskNexusAuthorizedContext only.</x:v>
      </x:c>
      <x:c r="N303" s="249" t="n"/>
      <x:c r="O303" s="249" t="n">
        <x:v>46296</x:v>
      </x:c>
      <x:c r="P303" s="135" t="str">
        <x:v>Validation before publication: focused tests PASS (16), lint PASS, build PASS, git diff --check PASS; both files CLEAN-SCOPE. Remote verification confirmed parent 5146f2dc7cd4d13587f2d72bd424f631da3d52af and exactly two authorized files. Stable order is next_step, change, incomplete, explain; RFQ/project/company specificity is derived only from already-authorized non-null resources. No authorization inheritance, fact-value parsing, label-based permission/domain inference, consequential-action wording, route synthesis, permission/role logic, AI/data/API/database access, or context/trust module changes were introduced. Next executable canonical task: 13G-04 — Add Guide This Page mode.</x:v>
      </x:c>
    </x:row>
    <x:row r="304">
      <x:c r="A304" s="133" t="str">
        <x:v>✓</x:v>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str">
        <x:v>Completed</x:v>
      </x:c>
      <x:c r="I304" s="133" t="str">
        <x:v>Project Owner / Product / Engineering</x:v>
      </x:c>
      <x:c r="J304" s="133" t="str"/>
      <x:c r="K304" s="133" t="inlineStr">
        <x:is>
          <x:t xml:space="preserve">13F-07</x:t>
        </x:is>
      </x:c>
      <x:c r="L304" s="133" t="str"/>
      <x:c r="M304" s="133" t="str">
        <x:v>PASS / GUIDE THIS PAGE REPLAY MODE PUBLISHED — Commit 6cd8ab4178274169bba26e6f3953d3c364480e15 adds exactly two authorized files: src/components/executive/ask-nexus-guide-this-page.tsx and src/components/executive/ask-nexus-guide-this-page.test.ts. The reusable controller provides explicit user-invoked replay over existing ExecutiveCoachmark anchors with caller-owned active-step state.</x:v>
      </x:c>
      <x:c r="N304" s="249" t="n"/>
      <x:c r="O304" s="249" t="n">
        <x:v>46296</x:v>
      </x:c>
      <x:c r="P304" s="135" t="str">
        <x:v>Validation before publication: focused tests PASS (15), lint PASS, build PASS, git diff --check PASS; both files CLEAN-SCOPE. Remote verification confirmed parent f3214c2e4282b04998a766a48f45928fb2f9f8ff and exactly two authorized files. Guide start is explicit only; replay remains available after close/completion; invalid/duplicate steps normalize deterministically; next/previous/close are caller-state transitions only; final step closes. ExecutiveCoachmark is reused without modifying the primitive, real caller anchors stay in place, and no auto-open, recurring popup logic, persistence/memory, DOM lookup/focus/scroll behavior, consequential action, routing, AI/data/API access, or existing primitive/module changes were introduced. Next executable canonical task: 13G-05 — Support safe deep-link navigation actions.</x:v>
      </x:c>
    </x:row>
    <x:row r="305">
      <x:c r="A305" s="133" t="str">
        <x:v>✓</x:v>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str">
        <x:v>Completed</x:v>
      </x:c>
      <x:c r="I305" s="133" t="str">
        <x:v>Project Owner / Product / Engineering</x:v>
      </x:c>
      <x:c r="J305" s="133" t="str"/>
      <x:c r="K305" s="133" t="inlineStr">
        <x:is>
          <x:t xml:space="preserve">13G-02</x:t>
        </x:is>
      </x:c>
      <x:c r="L305" s="133" t="str"/>
      <x:c r="M305" s="133" t="str">
        <x:v>PASS / SAFE ASK NEXUS DEEP LINKS PUBLISHED — Commit 6755bf19b4a8a2417e92e2c6993b5d14e791fc34 adds exactly two authorized files: src/lib/ask-nexus/ask-nexus-deep-link-actions.ts and src/lib/ask-nexus/ask-nexus-deep-link-actions.test.ts. The pure resolver projects caller-authorized destinations through the canonical Ask Nexus trust policy and returns navigation-ready metadata only.</x:v>
      </x:c>
      <x:c r="N305" s="249" t="n"/>
      <x:c r="O305" s="249" t="n">
        <x:v>46296</x:v>
      </x:c>
      <x:c r="P305" s="135" t="str">
        <x:v>Validation before publication: focused tests PASS (13), lint PASS, build PASS, git diff --check PASS; both files CLEAN-SCOPE. Remote verification confirmed parent 35947f15c54d80e0600f00e7e83c4589b183fa51 and exactly two authorized files. Every destination href is caller-supplied and routed through resolveAskNexusTrustPolicy(kind='navigate'); missing/empty hrefs and invalid id/label are dropped; duplicate ids preserve the first valid action; valid order is preserved. Kind/id/label do not grant authorization. No route synthesis, application-nav dependency, role/procurement authorization logic, navigation execution, mutation/consequential action, AI/data/API/database access, or existing trust/context/UI/API/database/auth change was introduced. Next executable canonical task: 13G-06 — Support Why is this flagged? evidence view.</x:v>
      </x:c>
    </x:row>
    <x:row r="306">
      <x:c r="A306" s="133" t="str">
        <x:v>✓</x:v>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str">
        <x:v>Completed</x:v>
      </x:c>
      <x:c r="I306" s="133" t="str">
        <x:v>Project Owner / Product / Engineering</x:v>
      </x:c>
      <x:c r="J306" s="133" t="str"/>
      <x:c r="K306" s="133" t="inlineStr">
        <x:is>
          <x:t xml:space="preserve">13G-02</x:t>
        </x:is>
      </x:c>
      <x:c r="L306" s="133" t="str"/>
      <x:c r="M306" s="133" t="str">
        <x:v>PASS / ASK NEXUS EVIDENCE VIEW PUBLISHED — Commit 972e3fc398429ec3d8609cfc0c39c5dcfef33de7 adds exactly two authorized files: src/lib/ask-nexus/ask-nexus-evidence-view.ts and src/lib/ask-nexus/ask-nexus-evidence-view.test.ts. The pure evidence projection exposes caller-supplied claim, explanation, evidence sources and limitations without generating rationale or recomputing evidence.</x:v>
      </x:c>
      <x:c r="N306" s="249" t="n"/>
      <x:c r="O306" s="249" t="n">
        <x:v>46296</x:v>
      </x:c>
      <x:c r="P306" s="135" t="str">
        <x:v>Validation before publication: focused tests PASS (12), lint PASS, build PASS, git diff --check PASS; both files CLEAN-SCOPE. Remote verification confirmed parent 44cd92582e99e308e77ef5b536dd7bf91ea42fa3 and exactly two authorized files. Invalid evidence sources are dropped; duplicate evidence ids preserve the first valid occurrence; source links pass through resolveAskNexusTrustPolicy(kind='navigate'); limitations normalize/deduplicate; evidence status is deterministic supported/limited; every valid result remains nonBinding. No route synthesis, risk/confidence/readiness/recommendation logic, executive evidence duplication, business-text parsing, role/permission inference, evidence discovery, AI/data/API/database access, or existing evidence/explainability/UI/API/database/auth change was introduced. Next executable canonical task: 13G-07 — Require confirmation for consequential assistant actions.</x:v>
      </x:c>
    </x:row>
    <x:row r="307">
      <x:c r="A307" s="133" t="str">
        <x:v>✓</x:v>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str">
        <x:v>Completed</x:v>
      </x:c>
      <x:c r="I307" s="133" t="str">
        <x:v>Project Owner / Product / Engineering</x:v>
      </x:c>
      <x:c r="J307" s="133" t="str"/>
      <x:c r="K307" s="133" t="inlineStr">
        <x:is>
          <x:t xml:space="preserve">13G-01</x:t>
        </x:is>
      </x:c>
      <x:c r="L307" s="133" t="str"/>
      <x:c r="M307" s="133" t="str">
        <x:v>PASS / ASK NEXUS CONSEQUENTIAL CONFIRMATION GATE PUBLISHED — Commit 262b8975cbe9343cefd12412fa99e815f15b6ce8 adds exactly two authorized files: src/lib/ask-nexus/ask-nexus-consequential-confirmation.ts and src/lib/ask-nexus/ask-nexus-consequential-confirmation.test.ts. The pure interaction-level contract reuses the canonical trust policy and requires both current caller-supplied permission and explicit user confirmation before an action can become execution-eligible.</x:v>
      </x:c>
      <x:c r="N307" s="249" t="n"/>
      <x:c r="O307" s="249" t="n">
        <x:v>46296</x:v>
      </x:c>
      <x:c r="P307" s="135" t="str">
        <x:v>Validation before publication: focused tests PASS (12), lint PASS, build PASS, git diff --check PASS; both files CLEAN-SCOPE. Remote verification confirmed parent 9dd63b1d85888b5d3d2b84bd5c2db490638acf12 and exactly two authorized files. Permission denial remains authoritative even when confirmation is true; permission plus confirmation is required for eligible_for_authorized_execution; every result requires permission, confirmation, and execution-time revalidation. Action kind/title/description do not infer authorization. No domain authorization duplication, execution helper/callback, mutation/API/data/database access, router/navigation, confirmation persistence/memory, UI/dialog integration, or existing trust/auth module change was introduced. Next executable canonical task: 13G-08 — Test Ask Nexus permission inheritance.</x:v>
      </x:c>
    </x:row>
    <x:row r="308">
      <x:c r="A308" s="133" t="str">
        <x:v>✓</x:v>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str">
        <x:v>Completed</x:v>
      </x:c>
      <x:c r="I308" s="133" t="str">
        <x:v>Project Owner / Product / Engineering</x:v>
      </x:c>
      <x:c r="J308" s="133" t="str"/>
      <x:c r="K308" s="133" t="inlineStr">
        <x:is>
          <x:t xml:space="preserve">13G-02</x:t>
        </x:is>
      </x:c>
      <x:c r="L308" s="133" t="inlineStr">
        <x:is>
          <x:t xml:space="preserve">G7</x:t>
        </x:is>
      </x:c>
      <x:c r="M308" s="133" t="str">
        <x:v>PASS / ASK NEXUS RFQ PERMISSION SCOPE PUBLISHED — Commit 3faecacf079c33323801f1fb020b21e7b065b4eb adds exactly two authorized files: src/lib/ask-nexus/ask-nexus-permission-scope.ts and src/lib/ask-nexus/ask-nexus-permission-scope.test.ts. The pure scope projection narrows existing authoritative RfqCapabilities for Ask Nexus and fails closed for respondent issuer-style capability inconsistencies.</x:v>
      </x:c>
      <x:c r="N308" s="249" t="n"/>
      <x:c r="O308" s="249" t="n">
        <x:v>46296</x:v>
      </x:c>
      <x:c r="P308" s="135" t="str">
        <x:v>Validation before publication: focused tests PASS (10), lint PASS, build PASS, git diff --check PASS; both files CLEAN-SCOPE. Remote verification confirmed parent 34ea98e4ce25ac3a17d4ea9fa34906c5021fa81c and exactly two authorized files. Tests exercise the real buildRfqCapabilities producer: respondent executive intelligence, commercial evaluation, recommended award path and competitor data are blocked; own-submission explanation follows authoritative capability; malformed respondent issuer-style flags fail closed. Issuer executive/commercial/recommendation explanation scopes never widen beyond authoritative booleans, and generic competitor-data scope is always false. No role/company/text inference, commercial deadline duplication, domain authorization duplication, data/API/database access, mutation/action logic, or existing procurement/Ask Nexus/UI/API/database/auth change was introduced. Next executable canonical task: 13G-09 — Define safe unavailable/low-confidence behavior.</x:v>
      </x:c>
    </x:row>
    <x:row r="309">
      <x:c r="A309" s="133" t="str">
        <x:v>✓</x:v>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str">
        <x:v>Completed</x:v>
      </x:c>
      <x:c r="I309" s="133" t="str">
        <x:v>Project Owner / Product / Engineering</x:v>
      </x:c>
      <x:c r="J309" s="133" t="str"/>
      <x:c r="K309" s="133" t="inlineStr">
        <x:is>
          <x:t xml:space="preserve">13G-06</x:t>
        </x:is>
      </x:c>
      <x:c r="L309" s="133" t="str"/>
      <x:c r="M309" s="133" t="str">
        <x:v>PASS / ASK NEXUS SAFE AVAILABILITY FALLBACK PUBLISHED — Commit 58961e78cc2ae77720c07b98f2d59353f34c18da adds exactly two authorized files: src/lib/ask-nexus/ask-nexus-availability.ts and src/lib/ask-nexus/ask-nexus-availability.test.ts. The pure fallback contract projects caller-supplied availability/confidence without calculating confidence or fabricating certainty.</x:v>
      </x:c>
      <x:c r="N309" s="249" t="n"/>
      <x:c r="O309" s="249" t="n">
        <x:v>46296</x:v>
      </x:c>
      <x:c r="P309" s="135" t="str">
        <x:v>Validation before publication: focused tests PASS (10), lint PASS, build PASS, git diff --check PASS; both files CLEAN-SCOPE. Remote verification confirmed parent 0ca05ba294e9b3ce3e6df317390c9206709975b6 and exactly two authorized files. Unavailable and limited evidence always remain non-definitive regardless of confidence; available+high may be definitive, while medium/low/unavailable/null remain caveated. Caller summaries are preserved after trim, safe fixed fallback copy is used only when missing, limitations normalize/deduplicate without invention, malformed runtime values fail closed, and all results remain nonBinding. No confidence scoring/threshold duplication, evidence discovery, business/domain inference, text parsing, AI/data/API/database access, navigation/mutation/confirmation logic, UI changes, or existing module changes were introduced. Next executable canonical task: 13G-10 — Lazy-load help/intelligence panel.</x:v>
      </x:c>
    </x:row>
    <x:row r="310">
      <x:c r="A310" s="133" t="str">
        <x:v>✓</x:v>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str">
        <x:v>Completed</x:v>
      </x:c>
      <x:c r="I310" s="133" t="str">
        <x:v>Project Owner / Product / Engineering</x:v>
      </x:c>
      <x:c r="J310" s="133" t="str"/>
      <x:c r="K310" s="133" t="inlineStr">
        <x:is>
          <x:t xml:space="preserve">13G-01</x:t>
        </x:is>
      </x:c>
      <x:c r="L310" s="133" t="str"/>
      <x:c r="M310" s="133" t="str">
        <x:v>PASS / ASK NEXUS LAZY PERFORMANCE BOUNDARY PUBLISHED — Commit 35c81262a20beb7bfc8c8e0df9a051daa45d1497 adds exactly two authorized files: src/components/executive/lazy-executive-nexus-guide.tsx and src/components/executive/lazy-executive-nexus-guide.test.ts. The reusable client wrapper uses next/dynamic with ssr:false, returns null while closed, and defers ExecutiveNexusGuide rendering behind the dynamic import boundary.</x:v>
      </x:c>
      <x:c r="N310" s="249" t="n"/>
      <x:c r="O310" s="249" t="n">
        <x:v>46296</x:v>
      </x:c>
      <x:c r="P310" s="135" t="str">
        <x:v>Validation before publication: focused tests PASS (7), lint PASS, build PASS, dynamic build boundary PASS, git diff --check PASS; both files CLEAN-SCOPE. Remote verification confirmed parent 9b74b80ba808d7651d401eb4fca311149b0652b5 and exactly two authorized files. The wrapper has no runtime static ExecutiveNexusGuide import, uses a null loading fallback, leaves open state caller-owned, adds no auto-prefetch/preload, Ask Nexus business logic, data/API/database/AI access, drawer UI duplication, page/layout changes, or existing guide/design-system changes. Phase 13G Ask Nexus Interactive Help is now 10/10 PASS/CLOSED/PUBLISHED. Next executable canonical task: 13H-01 — Upgrade Executive Overview.</x:v>
      </x:c>
    </x:row>
    <x:row r="311">
      <x:c r="A311" s="133" t="str">
        <x:v>✓</x:v>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str">
        <x:v>Completed</x:v>
      </x:c>
      <x:c r="I311" s="133" t="str">
        <x:v>Project Owner / Product / Engineering</x:v>
      </x:c>
      <x:c r="J311" s="133" t="str"/>
      <x:c r="K311" s="133" t="inlineStr">
        <x:is>
          <x:t xml:space="preserve">13G-10</x:t>
        </x:is>
      </x:c>
      <x:c r="L311" s="133" t="str"/>
      <x:c r="M311" s="133" t="str">
        <x:v>PASS / EXECUTIVE OVERVIEW PAGE UPGRADE PUBLISHED — Commit dfd7700c25f270a381d3fa81ec87a4911b346cf2 changes exactly three authorized presentation files: src/components/dashboard/executive-decision-workspace.tsx, src/components/dashboard/executive-attention-strip.tsx, and src/components/dashboard/strategic-intelligence-workspace.tsx. Executive Decision Context, Action Queue, and Portfolio Snapshot were refined using the existing Executive Design System without changing dashboard data/business logic.</x:v>
      </x:c>
      <x:c r="N311" s="249" t="n"/>
      <x:c r="O311" s="249" t="n">
        <x:v>46296</x:v>
      </x:c>
      <x:c r="P311" s="135" t="str">
        <x:v>Validation before publication: focused tests PASS, lint PASS, build PASS, git diff --check PASS; desktop/tablet/mobile visual verification reported PASS; accessibility review PASS; no horizontal overflow reported. Remote verification confirmed parent fdee4d4ca7f8efb9a74fb693fe79bbbfd86e6245 and exactly three authorized component files. src/app/dashboard/page.tsx and src/components/dashboard/executive-dashboard-golden.test.ts were not committed. Shared primitives/design tokens were reused; no page-specific primitive, business logic/data contract/procurement semantic/route/commercial confidentiality/design-system source change, new metric/claim, or unrelated hunk was introduced. Implementation visual rescore reported 9.4/10 overall, above the 9.2 launch threshold. Next executable canonical task: 13H-02 — Upgrade Procurement Center landing.</x:v>
      </x:c>
    </x:row>
    <x:row r="312">
      <x:c r="A312" s="133" t="str">
        <x:v>✓</x:v>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str">
        <x:v>Completed</x:v>
      </x:c>
      <x:c r="I312" s="133" t="str">
        <x:v>Project Owner / Product / Engineering</x:v>
      </x:c>
      <x:c r="J312" s="133" t="str"/>
      <x:c r="K312" s="133" t="inlineStr">
        <x:is>
          <x:t xml:space="preserve">13G-10</x:t>
        </x:is>
      </x:c>
      <x:c r="L312" s="133" t="str"/>
      <x:c r="M312" s="133" t="str">
        <x:v>PASS / PROCUREMENT CENTER LANDING UPGRADE PUBLISHED — Commit f6e84ce88e0ca00ca74a1bea894a76c735b26419 changes exactly one authorized file: src/app/rfq/page.tsx. The Procurement Center landing now reuses the Executive Design System for hero, operating snapshot, pipeline, RFQ cards, invitation handoff and empty state while preserving the authoritative marketplace view model and procurement access semantics.</x:v>
      </x:c>
      <x:c r="N312" s="249" t="n"/>
      <x:c r="O312" s="249" t="n">
        <x:v>46296</x:v>
      </x:c>
      <x:c r="P312" s="135" t="str">
        <x:v>Validation before publication: focused tests PASS, lint PASS, build PASS, git diff --check PASS; desktop/tablet/mobile visual verification reported PASS; accessibility PASS; no horizontal overflow reported. Remote verification confirmed parent 06c8aaa36728f2694a139e8039d7f67db6116cb1 and exactly one changed file: src/app/rfq/page.tsx. Buyer/issuer and supplier/respondent experiences remain upstream-driven by buildProcurementMarketplaceViewModel; status/scope/sourcing metrics, RFQ card semantics, Commercially Sealed budget behavior, network invitation routing hooks/statuses, Create RFQ authorization and routes/hrefs remain semantically unchanged. Shared ExecutivePanel/ExecutiveMetricCard/ExecutiveBadge/button/empty-state contracts replaced page-specific colors/radii/shadows without creating a new primitive. No business logic, authorization, data loading, view-model, database/API/auth or unrelated change was introduced. Implementation visual rescore reported 9.4/10 overall. Next executable canonical task: 13H-03 — Upgrade RFQ Drafting &amp; Configuration.</x:v>
      </x:c>
    </x:row>
    <x:row r="313">
      <x:c r="A313" s="133" t="str">
        <x:v>✓</x:v>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str">
        <x:v>Completed</x:v>
      </x:c>
      <x:c r="I313" s="133" t="str">
        <x:v>Project Owner / Product / Engineering</x:v>
      </x:c>
      <x:c r="J313" s="133" t="str"/>
      <x:c r="K313" s="133" t="inlineStr">
        <x:is>
          <x:t xml:space="preserve">13G-10</x:t>
        </x:is>
      </x:c>
      <x:c r="L313" s="133" t="str"/>
      <x:c r="M313" s="133" t="str">
        <x:v>PASS / RFQ DRAFTING &amp; CONFIGURATION UPGRADE PUBLISHED — Commit e9a710ea187e6dccacab2432a3ab94b0bc9886f0 changes exactly one authorized file: src/app/rfq/new/page.tsx. The RFQ drafting wizard now reuses shared Executive panels, badges, metric cards, form, stepper, dialog, feedback and progress contracts while preserving authoritative drafting, completeness, deadline, autosave and publication logic.</x:v>
      </x:c>
      <x:c r="N313" s="249" t="n"/>
      <x:c r="O313" s="249" t="n">
        <x:v>46296</x:v>
      </x:c>
      <x:c r="P313" s="135" t="str">
        <x:v>Validation before publication: focused tests PASS, lint PASS, build PASS, git diff --check PASS; desktop/tablet/mobile visual verification reported PASS; accessibility PASS; no horizontal overflow reported. Remote verification confirmed parent 818d57e9fa7429b34bfcf04aff79de034446a9a5 and exactly one changed file: src/app/rfq/new/page.tsx. Project/scope drafting, procurement strategy and evaluation semantics, RFI deadline/timezone behavior, requirements completeness, scope review, publication acknowledgement, autosave, replacement procurement lineage, POST payload, publish timers and redirect destination remain unchanged. Shared Executive Design System primitives replaced local duplicate panel/badge/form/stepper/dialog styling; no new page-specific primitive, validation/business/data/API/database/auth change, or unrelated hunk was introduced. Duplicate success-overlay UI blocks were removed without changing publication sequencing. Implementation visual rescore reported 9.4/10 overall. Next executable canonical task: 13H-04 — Upgrade Market Engagement &amp; Publishing.</x:v>
      </x:c>
    </x:row>
    <x:row r="314">
      <x:c r="A314" s="133" t="str">
        <x:v>✓</x:v>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str">
        <x:v>Completed</x:v>
      </x:c>
      <x:c r="I314" s="133" t="str">
        <x:v>Project Owner / Product / Engineering</x:v>
      </x:c>
      <x:c r="J314" s="133" t="str"/>
      <x:c r="K314" s="133" t="inlineStr">
        <x:is>
          <x:t xml:space="preserve">13G-10</x:t>
        </x:is>
      </x:c>
      <x:c r="L314" s="133" t="str"/>
      <x:c r="M314" s="133" t="str">
        <x:v>PASS / MARKET ENGAGEMENT &amp; PUBLISHING UPGRADE PUBLISHED — Commit c21d2f045112bdd0af9b5acc363bedfe5a1d6648 changes exactly four authorized files: src/components/invite-vendor-form.tsx, src/components/rfq-workspace/supplier-avl-panel.tsx, src/components/rfq-workspace/supplier-invitation-delivery.tsx, and src/components/rfq-workspace/supplier-invitation-result.tsx. Supplier invitation, AVL selection, delivery feedback, and secure invite-link presentation now reuse shared Executive Design System contracts while preserving invitation and communication truthfulness.</x:v>
      </x:c>
      <x:c r="N314" s="249" t="n"/>
      <x:c r="O314" s="249" t="n">
        <x:v>46296</x:v>
      </x:c>
      <x:c r="P314" s="135" t="str">
        <x:v>Validation before publication: focused tests PASS, lint PASS, build PASS, git diff --check PASS; desktop/tablet/mobile visual verification reported PASS; accessibility PASS; no horizontal overflow reported. Remote verification confirmed parent 511ab8d42d8429c29d7f6bea4b925e40afec4ac5 and exactly four changed files, all within the authorized supplier engagement stack. RFQ Supplier Invitation remained distinct from Workspace Membership; invitation creation/reuse logic, email sent/skipped/failed distinctions, secure invite-link fallback, AVL availability/selection semantics and direct-email governance fallback were preserved. No participation was inferred from invitations; quotation/award, parent RFQ page, RFI/Addenda, API/email/auth/data/database logic remained unchanged. Shared Executive primitives/form/feedback/button/empty-state contracts replaced local styling; no new page-specific primitive or business logic change was introduced. Implementation visual rescore reported 9.4/10 overall. Next executable canonical task: 13H-05 — Upgrade Issuer RFI / Addenda Management.</x:v>
      </x:c>
    </x:row>
    <x:row r="315">
      <x:c r="A315" s="133" t="str">
        <x:v>✓</x:v>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str">
        <x:v>Completed</x:v>
      </x:c>
      <x:c r="I315" s="133" t="str">
        <x:v>Project Owner / Product / Engineering</x:v>
      </x:c>
      <x:c r="J315" s="133" t="str"/>
      <x:c r="K315" s="133" t="inlineStr">
        <x:is>
          <x:t xml:space="preserve">13G-10</x:t>
        </x:is>
      </x:c>
      <x:c r="L315" s="133" t="str"/>
      <x:c r="M315" s="133" t="str">
        <x:v>PASS / ISSUER RFI &amp; ADDENDA MANAGEMENT UPGRADE PUBLISHED — Commit 74cdae5f556fb1c276ee430a1adc4b5a7d42ec05 changes exactly three authorized files: src/components/rfq-workspace/rfq-rfi-workspace.tsx, src/components/rfq-addenda-manager.tsx, and src/components/rfq-addendum-acknowledgement-center.tsx. Private RFI, governed Addenda, publication communication, and acknowledgement surfaces now reuse shared Executive Design System contracts while preserving confidentiality, package-change governance, notification truthfulness, and quote-blocking acknowledgement semantics.</x:v>
      </x:c>
      <x:c r="N315" s="249" t="n"/>
      <x:c r="O315" s="249" t="n">
        <x:v>46296</x:v>
      </x:c>
      <x:c r="P315" s="135" t="str">
        <x:v>Validation before publication: focused tests PASS (93/93), lint PASS, build PASS, git diff --check PASS; desktop/tablet/mobile visual verification reported PASS; accessibility PASS; no horizontal overflow reported. Remote verification confirmed branch commit 74cdae5f556fb1c276ee430a1adc4b5a7d42ec05 and exactly three changed files, all within the authorized RFI/Addenda/Acknowledgement presentation scope. Private RFI confidentiality, deadline/submission/issuer-response behavior, governed package-change detection, amendment-reason gate, RFQ_GOVERNED_REQUIREMENT_HANDOFF_EVENT handoff, explicit downstream issuer action, ordinary Addendum path and affectedDocuments POST semantics remained unchanged. Addendum numbering, sent/skipped/failed notification truthfulness, acknowledgement requirement, Clear/Blocked calculation and acknowledgement POST behavior remained unchanged. No Document Requirements, parent RFQ page, API/email/data/database, quotation/evaluation/award, market-engagement invitation, schema/RLS/RPC/migration or unrelated change was introduced. Implementation visual rescore reported 9.35/10 overall. Issuer Addenda create/governed handoff interaction remained contract/code verified rather than live-mutated because the visual QA fixture mounts canManage=false. Prerequisite governed package-change cluster was separately completed and published at commit 466b0ee1c8845a2e930a23c816a9a618814ebfd6 before this presentation upgrade. Next executable canonical task: 13H-06 — Upgrade Response Evaluation &amp; Award.</x:v>
      </x:c>
    </x:row>
    <x:row r="316">
      <x:c r="A316" s="133" t="str">
        <x:v>✓</x:v>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str">
        <x:v>Completed</x:v>
      </x:c>
      <x:c r="I316" s="133" t="str">
        <x:v>Project Owner / Product / Engineering</x:v>
      </x:c>
      <x:c r="J316" s="133" t="str"/>
      <x:c r="K316" s="133" t="inlineStr">
        <x:is>
          <x:t xml:space="preserve">13G-10</x:t>
        </x:is>
      </x:c>
      <x:c r="L316" s="133" t="str"/>
      <x:c r="M316" s="133" t="str">
        <x:v>PASS / RESPONSE EVALUATION &amp; AWARD UPGRADE PUBLISHED — Commit 2d8f4ae948eedbca4bc6bbd61f4c592499ff9e4a changes exactly three authorized files: src/components/rfq-workspace/rfq-quote-comparison.tsx, src/components/rfq-workspace/rfq-recommended-award-path.tsx, and src/components/award-contract-button.tsx. Comparison, exception/risk, recommendation, and award presentation now reuse shared Executive Design System contracts while preserving commercial confidentiality, ranking/scoring, material-revalidation gating, recommendation non-binding semantics, and consequential award confirmation.</x:v>
      </x:c>
      <x:c r="N316" s="249" t="n"/>
      <x:c r="O316" s="249" t="n">
        <x:v>46296</x:v>
      </x:c>
      <x:c r="P316" s="135" t="str">
        <x:v>Validation before publication: focused tests PASS, lint PASS, build PASS, git diff --check PASS; desktop/tablet/mobile visual verification reported PASS; accessibility PASS; no horizontal overflow reported. Remote verification confirmed branch commit 2d8f4ae948eedbca4bc6bbd61f4c592499ff9e4a and exactly three changed files, all within the authorized evaluation/award presentation scope. Commercial-opening confidentiality, deferred respondent search, 12-row pagination, container-gated table/card architecture, scores/rankings, risk and exception semantics, material-revalidation award block, quote.canAward authority, recommendation metrics and non-binding wording remained unchanged. AwardContractButton preserved POST /api/award-contract with { quoteId }, mandatory ExecutiveConfirmDialog, rejection/award side-effect warning, award lock/loading, redirects, focus restoration and internal error sanitization. No parent RFQ page, owner quote mapping, Executive Decision Center, API/auth/confidentiality/data/database, schema/RLS/RPC/migration or unrelated change was introduced. Implementation visual rescore reported 9.34/10 overall. Recommended Award Path was code/contract verified because the visual-QA fixture does not mount it. Next executable canonical task: 13H-07 — Upgrade Respondent RFQ Review &amp; Scoping.</x:v>
      </x:c>
    </x:row>
    <x:row r="317">
      <x:c r="A317" s="133" t="str">
        <x:v>✓</x:v>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str">
        <x:v>Completed</x:v>
      </x:c>
      <x:c r="I317" s="133" t="str">
        <x:v>Project Owner / Product / Engineering</x:v>
      </x:c>
      <x:c r="J317" s="133" t="str"/>
      <x:c r="K317" s="133" t="inlineStr">
        <x:is>
          <x:t xml:space="preserve">13G-10</x:t>
        </x:is>
      </x:c>
      <x:c r="L317" s="133" t="str"/>
      <x:c r="M317" s="133" t="str">
        <x:v>PASS / RESPONDENT RFQ REVIEW &amp; SCOPING UPGRADE PUBLISHED — Commit 5de338c618ce9d227654e1b744e591c362fad3bb changes exactly three authorized files: src/components/rfq-workspace/rfq-procurement-context.tsx, src/components/rfq-workspace/rfq-governance-controls.tsx, and src/components/rfq-workspace/rfq-document-requirements.tsx. Respondent procurement-model, governance/confidentiality, and required-document review surfaces now reuse shared Executive Design System contracts while preserving read-only access, governed requirement mutation boundaries, safe aggregate confidentiality, and respondent commercial agency.</x:v>
      </x:c>
      <x:c r="N317" s="249" t="n"/>
      <x:c r="O317" s="249" t="n">
        <x:v>46296</x:v>
      </x:c>
      <x:c r="P317" s="135" t="str">
        <x:v>Validation before publication: focused tests PASS (89/89), lint PASS, build PASS, git diff --check PASS; accessibility PASS; no horizontal overflow reported. Visual verification was PARTIAL because respondent Document Requirements was exercised at desktop/tablet/mobile while Procurement Context and Governance Notices are not mounted in the visual-QA fixture; those surfaces were code/contract verified. Remote verification confirmed branch commit 5de338c618ce9d227654e1b744e591c362fad3bb and exactly three changed files, all within the authorized respondent review/scoping presentation scope. Procurement context, sourcing/framework and commercial-control semantics, buyer reservation rights, confidentiality/anti-collusion, blind-bidding controls and safe aggregate quote-count semantics remained unchanged. Document requirement Complete/Incomplete/No Requirements Declared, Required Present/Missing/Not Declared and unavailable-state semantics remained unchanged. Respondent mode remained read-only; issuer mutation controls, governed package-change events/focus/API behavior remained unchanged. No automated bid/no-bid recommendation, new ambiguity/risk score, buyer-only intelligence exposure, business/auth/API/data/database, parent RFQ page, ScopeReview, respondent RFI, quote-submission or unrelated change was introduced. Implementation visual rescore reported 9.34/10 overall. Next executable canonical task: 13H-08 — Upgrade Respondent RFI &amp; Clarifications.</x:v>
      </x:c>
    </x:row>
    <x:row r="318">
      <x:c r="A318" s="133" t="str">
        <x:v>✓</x:v>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str">
        <x:v>Completed</x:v>
      </x:c>
      <x:c r="I318" s="133" t="str">
        <x:v>Project Owner / Product / Engineering</x:v>
      </x:c>
      <x:c r="J318" s="133" t="str"/>
      <x:c r="K318" s="133" t="inlineStr">
        <x:is>
          <x:t xml:space="preserve">13G-10</x:t>
        </x:is>
      </x:c>
      <x:c r="L318" s="133" t="str"/>
      <x:c r="M318" s="133" t="str">
        <x:v>PASS / RESPONDENT RFI &amp; CLARIFICATIONS UPGRADE PUBLISHED — Commit b31effc48c13f6fbc8a5d972747acfd7e0cd2e1a changes exactly one authorized file: src/components/rfq-workspace/rfq-document-workspace.tsx. The respondent Clarifications &amp; Addenda wrapper is now role-aware, removing issuer-authority language while preserving the already-completed Private RFI, issuer-response, Addendum-impact and acknowledgement presentation from 13H-05.</x:v>
      </x:c>
      <x:c r="N318" s="249" t="n"/>
      <x:c r="O318" s="249" t="n">
        <x:v>46296</x:v>
      </x:c>
      <x:c r="P318" s="135" t="str">
        <x:v>Acceptance gate classified PATH B: existing 13H-05 implementation already satisfied RFI creation, response/update visibility, confidentiality, RFI-vs-Addendum distinction, Addendum impact and acknowledgement semantics. A genuine wrapper-copy gap remained because respondent-facing text said 'manage issued addenda'. The one-file fix used existing isOwner context to make the Clarifications &amp; Addenda introduction role-aware without changing child composition, props, permissions, APIs, quote submission, RFI logic, Addendum logic or acknowledgement logic. Focused tests PASS (62/62), lint PASS, build PASS, git diff --check PASS; desktop/tablet/mobile visual verification PASS; no horizontal overflow reported. Remote verification confirmed branch commit b31effc48c13f6fbc8a5d972747acfd7e0cd2e1a and exactly one changed file. Frozen 13H-05 components were not reopened. Next executable canonical task: 13H-09 — Upgrade Quote &amp; Proposal Preparation.</x:v>
      </x:c>
    </x:row>
    <x:row r="319">
      <x:c r="A319" s="133" t="str">
        <x:v>✓</x:v>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str">
        <x:v>Completed</x:v>
      </x:c>
      <x:c r="I319" s="133" t="str">
        <x:v>Project Owner / Product / Engineering</x:v>
      </x:c>
      <x:c r="J319" s="133" t="str"/>
      <x:c r="K319" s="133" t="inlineStr">
        <x:is>
          <x:t xml:space="preserve">13G-10</x:t>
        </x:is>
      </x:c>
      <x:c r="L319" s="133" t="str"/>
      <x:c r="M319" s="133" t="str">
        <x:v>PASS / QUOTE &amp; PROPOSAL PREPARATION UPGRADE PUBLISHED — Commit 1d92ab206de37f51b1608ddb7626f88f2802e41c changes exactly one authorized file: src/components/rfq-workspace/rfq-submit-workspace.tsx. Pricing, commercial terms, completeness, readiness, deadline-risk, material revalidation and submission-action presentation now reuse shared Executive Design System contracts while preserving all quote business logic, access boundaries, API payloads and redirect behavior.</x:v>
      </x:c>
      <x:c r="N319" s="249" t="n"/>
      <x:c r="O319" s="249" t="n">
        <x:v>46296</x:v>
      </x:c>
      <x:c r="P319" s="135" t="str">
        <x:v>Validation before publication: focused tests PASS, lint PASS, build PASS, git diff --check PASS; accessibility PASS; no horizontal overflow reported. Visual verification was PARTIAL because the static visual-QA fixture does not mount the live submit workspace; safe live-page inspection was used where available without mutating RFQ governance. Remote verification confirmed branch commit 1d92ab206de37f51b1608ddb7626f88f2802e41c and exactly one changed file. Pricing/currency, timeline/commercial-note, quote-validity, completeness/readiness, deadline-risk, material-revalidation, required-Addenda acknowledgement gate, reconfirm-vs-resubmit distinction, POST/PATCH quote payloads, error sanitization and success redirect behavior remained unchanged. No submit page, invitation entry page, RFI/Addenda, evaluation/award, API/auth/data/database, schema/RLS/RPC/migration or unrelated change was introduced. Implementation visual rescore reported 9.4/10 overall. Next executable canonical task: 13H-10 — Upgrade Submission &amp; Award Tracking.</x:v>
      </x:c>
    </x:row>
    <x:row r="320">
      <x:c r="A320" s="133" t="str">
        <x:v>✓</x:v>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str">
        <x:v>Completed</x:v>
      </x:c>
      <x:c r="I320" s="133" t="str">
        <x:v>Project Owner / Product / Engineering</x:v>
      </x:c>
      <x:c r="J320" s="133" t="str"/>
      <x:c r="K320" s="133" t="inlineStr">
        <x:is>
          <x:t xml:space="preserve">13G-10</x:t>
        </x:is>
      </x:c>
      <x:c r="L320" s="133" t="str"/>
      <x:c r="M320" s="133" t="str">
        <x:v>PASS / SUBMISSION &amp; AWARD TRACKING UPGRADE PUBLISHED — Commit 4f0340ed8074028e3cfee407f3e04054a3ecbc17 changes exactly two authorized files: src/components/rfq-workspace/rfq-quote-workspace.tsx and src/components/rfq-workspace/rfq-supplier-quotes.tsx. Respondent tracking now presents own submission state, confidentiality, material-amendment review, commercial terms and recorded outcome with clearer Executive Design System hierarchy while preserving all security, confidentiality, revalidation, deadline and outcome semantics.</x:v>
      </x:c>
      <x:c r="N320" s="249" t="n"/>
      <x:c r="O320" s="249" t="n">
        <x:v>46296</x:v>
      </x:c>
      <x:c r="P320" s="135" t="str">
        <x:v>Validation before publication: focused tests PASS, lint PASS, build PASS, git diff --check PASS; desktop/tablet/mobile visual verification PASS; deadline-context verification PASS; accessibility PASS; no horizontal overflow reported. Remote verification confirmed branch commit 4f0340ed8074028e3cfee407f3e04054a3ecbc17 and exactly two changed files, both within the authorized submission/award tracking presentation scope. Respondent own-quote isolation, competitor confidentiality, commercial-read authorization, issuer pre-opening lockbox, safe aggregate count, submission status mapping, Approved-vs-Awarded distinction, material revalidation, closed-state CTA gating and own outcome semantics remained unchanged. No deadline duplication, parent/Command Center change, submit/award redirect change, security-helper change, API/data/database, owner quote mapping, evaluation/award component, submit-workspace or unrelated change was introduced. Implementation visual rescore reported 9.4/10 overall. Requires Review / Approved / Rejected fixture states were contract-tested rather than live-mutated. Prerequisite security remediation was separately completed and published at commit 530dbae552f51c63f75e596850374d2d41179d20, which aligned application commercial-read authorization with RLS, fail-closed RFQ detail/compare commercial data access, preserved respondent isolation, and separated commercial read from owner/admin award authority. Next executable canonical task: 13H-11 — Upgrade Activity Center.</x:v>
      </x:c>
    </x:row>
    <x:row r="321">
      <x:c r="A321" s="133" t="str"/>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str">
        <x:v>Blocked</x:v>
      </x:c>
      <x:c r="I321" s="133" t="str">
        <x:v>Project Owner / Product / Engineering</x:v>
      </x:c>
      <x:c r="J321" s="133" t="str"/>
      <x:c r="K321" s="133" t="inlineStr">
        <x:is>
          <x:t xml:space="preserve">13G-10</x:t>
        </x:is>
      </x:c>
      <x:c r="L321" s="133" t="str"/>
      <x:c r="M321" s="133" t="str">
        <x:v>BLOCKED / MY TASKS DATA MODEL NOT AVAILABLE — Activity Center currently has a launch-frozen company-scoped taxonomy of Needs Attention, Updates, and History only. Repository contracts explicitly prohibit rendering My Tasks or deriving personal tasks from notification title/message or compatibility fields. Existing notifications have no assignee/recipient-user/due-date/task-status/completion model, so implementing My Tasks would require a new data/ownership contract outside the presentation-only scope of 13H-11.</x:v>
      </x:c>
      <x:c r="N321" s="249" t="n"/>
      <x:c r="O321" s="249" t="n">
        <x:v>46296</x:v>
      </x:c>
      <x:c r="P321" s="135" t="str">
        <x:v>Evidence: src/lib/launch/procurement-activity-event-writers-contract.test.ts explicitly asserts Activity Center does not render 'My Tasks' or personal task derivation and locks exact Attention/Updates taxonomy. src/lib/procurement/activity-center-prioritization.ts defines only attention/updates/history; no task classification exists. Company-scoped notification query, source-link authorization, attention prioritization, Updates and History remain valid and unchanged. No code, API, DB, RLS, notification-generation or taxonomy change was made. Focused tests/lint/build/diff-check PASS; responsive review PARTIAL with no horizontal overflow; current page visual quality remains below 13H acceptance because the mandatory My Tasks requirement cannot be truthfully implemented. Resolution requires an approved My Tasks data/ownership model or explicit change to Master Plan acceptance. Until then 13H-11 remains BLOCKED. Next dependency-independent executable canonical task: 13H-12 — Upgrade Project Portfolio.</x:v>
      </x:c>
    </x:row>
    <x:row r="322">
      <x:c r="A322" s="133" t="str">
        <x:v>✓</x:v>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str">
        <x:v>Completed</x:v>
      </x:c>
      <x:c r="I322" s="133" t="str">
        <x:v>Project Owner / Product / Engineering</x:v>
      </x:c>
      <x:c r="J322" s="133" t="str"/>
      <x:c r="K322" s="133" t="inlineStr">
        <x:is>
          <x:t xml:space="preserve">13G-10</x:t>
        </x:is>
      </x:c>
      <x:c r="L322" s="133" t="str"/>
      <x:c r="M322" s="133" t="str">
        <x:v>PASS / PROJECT PORTFOLIO UPGRADE PUBLISHED — Commit 696400d4f4e8a8b8b453be19bbc23971b9148b1d changes exactly five authorized files: src/app/projects/page.tsx, src/components/projects/project-portfolio-list.tsx, src/app/projects/loading.tsx, src/components/projects/project-system-state.tsx, and src/lib/projects/project-portfolio-contract.test.ts. The upgrade standardizes the Project Portfolio presentation while preserving company scope, active membership, owner/admin creation authority, independent Project identity, same-company RFQ associations, evidence-only insights, and procurement-accurate award wording.</x:v>
      </x:c>
      <x:c r="N322" s="249" t="n"/>
      <x:c r="O322" s="249" t="n">
        <x:v>46297</x:v>
      </x:c>
      <x:c r="P322" s="135" t="str">
        <x:v>Validation before publication: focused Project tests PASS, lint PASS, build PASS, git diff --check PASS, accessibility PASS, no horizontal overflow. Remote verification confirmed branch commit 696400d4f4e8a8b8b453be19bbc23971b9148b1d and exactly five changed files, all within the authorized Project Portfolio presentation scope. No repository/API/RLS/auth/data logic changed. Project records remain active exact-company scoped; Create Project remains owner/admin only; Project identity remains independent from RFQ lifecycle; Project Code ↔ RFQ internal_project_id same-company association semantics remain unchanged. No quote, supplier, commercial analytics, Project risk, spend/savings, schedule/performance or unsupported benchmark data was introduced. Verified award semantics remain status='awarded' plus awarded_at evidence, with user-facing wording standardized to 'Award Recorded' to avoid overstating contract execution. Project Insights calculations and availability semantics remain unchanged; evidence limitations remain visible. Live visual QA was PARTIAL because only the fail-closed system state was safely available; multi-project/open-RFQ/award/identifier-gap/empty layouts were covered by contract tests and preserved responsive contracts. Implementation visual rescore reported 9.4/10 overall. Next executable canonical task: 13H-13 — Upgrade Company Network.</x:v>
      </x:c>
    </x:row>
    <x:row r="323">
      <x:c r="A323" s="133" t="str">
        <x:v>✓</x:v>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str">
        <x:v>Completed</x:v>
      </x:c>
      <x:c r="I323" s="133" t="str">
        <x:v>Project Owner / Product / Engineering</x:v>
      </x:c>
      <x:c r="J323" s="133" t="str"/>
      <x:c r="K323" s="133" t="inlineStr">
        <x:is>
          <x:t xml:space="preserve">13G-10</x:t>
        </x:is>
      </x:c>
      <x:c r="L323" s="133" t="str"/>
      <x:c r="M323" s="133" t="str">
        <x:v>PASS / COMPANY NETWORK UPGRADE PUBLISHED — Commit 4be2577c78e99cf473101683461122a629965871 changes exactly three authorized files: src/app/company/[slug]/page.tsx, src/components/company-capabilities-display.tsx, and src/components/company-qualifications-display.tsx. The Company Network public discovery experience now uses shared Executive Design System presentation while preserving company-neutral organization identity, public capability taxonomy, public-only qualifications, factual verification wording, and the frozen public data boundary.</x:v>
      </x:c>
      <x:c r="N323" s="249" t="n"/>
      <x:c r="O323" s="249" t="n">
        <x:v>46297</x:v>
      </x:c>
      <x:c r="P323" s="135" t="str">
        <x:v>Validation before publication: focused tests PASS, lint PASS, build PASS, git diff --check PASS; desktop/tablet/mobile visual verification PASS; accessibility PASS; no horizontal overflow; visual rescore 9.4/10. Remote verification confirmed branch commit 4be2577c78e99cf473101683461122a629965871 and exactly three changed files, all within the authorized public discovery presentation scope. No internal Company Workspace, API/data/database, RLS/auth or unrelated files were included. Public data boundary remained frozen: no RFQ, audit, notification, quote, invitation, member/governance, award-value, commercial recommendation or viewer-dependent data was reintroduced. Public capabilities remained unscored and taxonomy-preserving; public qualifications remained is_public-filtered with credential identifiers/private records hidden. Network role remains descriptive only and verification wording remains factual. Prerequisite public-data remediation was separately completed and published at commit 312d5a4579176d8c43538786f69b7cf2f8af03a6, removing viewer-dependent RFQ portfolio/audit disclosures, misleading Procurement Volume/Award Rate metrics, and internal/commercial activity from the public route. Next executable canonical task: 13H-14 — Upgrade Strategic Insights.</x:v>
      </x:c>
    </x:row>
    <x:row r="324">
      <x:c r="A324" s="133" t="str"/>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str">
        <x:v>Blocked</x:v>
      </x:c>
      <x:c r="I324" s="133" t="str">
        <x:v>Project Owner / Product / Engineering</x:v>
      </x:c>
      <x:c r="J324" s="133" t="str"/>
      <x:c r="K324" s="133" t="inlineStr">
        <x:is>
          <x:t xml:space="preserve">13G-10</x:t>
        </x:is>
      </x:c>
      <x:c r="L324" s="133" t="str"/>
      <x:c r="M324" s="133" t="str">
        <x:v>BLOCKED / STRATEGIC INSIGHTS FREEZE CONFLICT — Canonical Strategic Insights resolves to direct /analytics, which previously passed Product-Gate and remains explicitly FROZEN. Read-only reconciliation found no canonical tracker/repository evidence that 13H-14 supersedes that freeze. The current HEAD Analytics surface already scores approximately 9.3/10 and preserves commercial confidentiality, recommendation-vs-award distinctions, and evidence/inference truthfulness contracts, but some design-system shell drift remains. Because that drift cannot be acted on without reopening the frozen surface, no implementation is authorized.</x:v>
      </x:c>
      <x:c r="N324" s="249" t="n"/>
      <x:c r="O324" s="249" t="n">
        <x:v>46297</x:v>
      </x:c>
      <x:c r="P324" s="135" t="str">
        <x:v>Evidence: canonical route is /analytics; Dashboard StrategicIntelligenceWorkspace is only a teaser/CTA and not a substitute implementation target. Direct /analytics was previously Product-Gate PASS/FROZEN; freeze remains applicable. Master Plan 13H-14 does not contain explicit language superseding the freeze, and no repository/tracker evidence was found granting a presentation-only reopen. Current shared Executive system application is partial on HEAD; page-local shell/chrome drift exists, but there is no authorized defect or changed requirement permitting modification. Commercial confidentiality remains deadline-locked; recommendation remains distinct from award; evidence vs inference wording passes current truthfulness contracts. Working tree contains substantial unrelated dirty Analytics WIP, including page rewrite and analytics components/tests, and none of it may be treated as authorized 13H-14 scope. Resolution requires explicit Product Owner/Master Plan authorization to reopen exact allowlisted presentation files, or an explicit decision that prior Product-Gate evidence satisfies 13H-14. Until resolved, 13H-14 remains BLOCKED. Next dependency-independent executable canonical task: 13H-15 — Upgrade Identity &amp; Profile.</x:v>
      </x:c>
    </x:row>
    <x:row r="325">
      <x:c r="A325" s="133" t="str">
        <x:v>✓</x:v>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str">
        <x:v>Completed</x:v>
      </x:c>
      <x:c r="I325" s="133" t="str">
        <x:v>Project Owner / Product / Engineering</x:v>
      </x:c>
      <x:c r="J325" s="133" t="str"/>
      <x:c r="K325" s="133" t="inlineStr">
        <x:is>
          <x:t xml:space="preserve">13G-10</x:t>
        </x:is>
      </x:c>
      <x:c r="L325" s="133" t="str"/>
      <x:c r="M325" s="133" t="str">
        <x:v>PASS / IDENTITY &amp; PROFILE UPGRADE PUBLISHED — Commit 611e561dcb9df09033545adf8e119894b6728fe4 changes exactly five authorized files: src/app/company/settings/page.tsx, src/components/professional-identity-settings-form.tsx, src/components/company-settings-form.tsx, src/components/account-identity-line.tsx, and src/components/company-logo-upload.tsx. The upgrade standardizes Professional Identity and Company Profile presentation while preserving the separation between descriptive identity, workspace authority, and procurement function.</x:v>
      </x:c>
      <x:c r="N325" s="249" t="n"/>
      <x:c r="O325" s="249" t="n">
        <x:v>46297</x:v>
      </x:c>
      <x:c r="P325" s="135" t="str">
        <x:v>Validation before publication: lint PASS, build PASS, git diff --check PASS; desktop/tablet/mobile visual verification PASS; accessibility PASS; no horizontal overflow; visual rescore 9.5/10. Remote verification confirmed branch commit 611e561dcb9df09033545adf8e119894b6728fe4 and exactly five authorized files. Professional name semantics, optional descriptive job title, read-only account email, company name/category/location/network-role fields, company update authorization, and logo upload/storage behavior were preserved. No professional identity API, company API payload, auth/RLS/database, Team &amp; Access, invitation, ownership/governance, capability, qualification, compliance, document, or unrelated changes were included. Workspace role and procurement function remain distinct from professional identity and company network role. Known pre-existing out-of-scope stale test defect: src/lib/auth/professional-identity-surfaces.test.ts still expects public-company copy 'Location N/A', while the canonical public profile after 13H-13 uses 'Location not specified'. This mismatch predates 13H-15, was not included in the commit, and must not trigger reopening 13H-15. Next executable canonical task: 13H-16 — Upgrade Team &amp; Access.</x:v>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1df3f49957b9444e"/>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2f09c3265ef74347"/>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340</x:v>
      </x:c>
      <x:c r="D6" s="133" t="inlineStr">
        <x:is>
          <x:t xml:space="preserve">G0A — Corporate platform architecture ready</x:t>
        </x:is>
      </x:c>
      <x:c r="E6" s="32" t="str">
        <x:f>'03 Launch Gates'!D20</x:f>
        <x:v>Completed</x:v>
      </x:c>
      <x:c r="G6" t="inlineStr">
        <x:is>
          <x:t xml:space="preserve">UI Tasks Complete</x:t>
        </x:is>
      </x:c>
      <x:c r="H6" t="n">
        <x:f>SUM(B36:B46)</x:f>
        <x:v>118</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8</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0.9264305177111717</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0.9454545454545454</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3</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12</x:v>
      </x:c>
      <x:c r="C37" s="133" t="n">
        <x:f>COUNTIFS('01 Master Plan'!C$5:C$383,A37,'01 Master Plan'!H$5:H$383,"In Progress")</x:f>
        <x:v>0</x:v>
      </x:c>
      <x:c r="D37" s="133" t="n">
        <x:f>COUNTIFS('01 Master Plan'!C$5:C$383,A37,'01 Master Plan'!H$5:H$383,"Not Started")</x:f>
        <x:v>0</x:v>
      </x:c>
      <x:c r="E37" s="133" t="n">
        <x:f>COUNTIFS('01 Master Plan'!C$5:C$383,A37,'01 Master Plan'!H$5:H$383,"Blocked")</x:f>
        <x:v>0</x:v>
      </x:c>
      <x:c r="F37" s="133" t="n">
        <x:f>COUNTIFS('01 Master Plan'!C$5:C$383,A37,'01 Master Plan'!H$5:H$383,"Deferred")</x:f>
        <x:v>0</x:v>
      </x:c>
      <x:c r="G37" s="255" t="n">
        <x:f>IFERROR(B37/(B37+C37+D37+E37),0)</x:f>
        <x:v>1</x:v>
      </x:c>
    </x:row>
    <x:row r="38">
      <x:c r="A38" s="133" t="inlineStr">
        <x:is>
          <x:t xml:space="preserve">13C Shared Enterprise Components</x:t>
        </x:is>
      </x:c>
      <x:c r="B38" s="133" t="n">
        <x:f>COUNTIFS('01 Master Plan'!C$5:C$383,A38,'01 Master Plan'!H$5:H$383,"Completed")+COUNTIFS('01 Master Plan'!C$5:C$383,A38,'01 Master Plan'!H$5:H$383,"Complete")</x:f>
        <x:v>17</x:v>
      </x:c>
      <x:c r="C38" s="133" t="n">
        <x:f>COUNTIFS('01 Master Plan'!C$5:C$383,A38,'01 Master Plan'!H$5:H$383,"In Progress")</x:f>
        <x:v>0</x:v>
      </x:c>
      <x:c r="D38" s="133" t="n">
        <x:f>COUNTIFS('01 Master Plan'!C$5:C$383,A38,'01 Master Plan'!H$5:H$383,"Not Started")</x:f>
        <x:v>0</x:v>
      </x:c>
      <x:c r="E38" s="133" t="n">
        <x:f>COUNTIFS('01 Master Plan'!C$5:C$383,A38,'01 Master Plan'!H$5:H$383,"Blocked")</x:f>
        <x:v>0</x:v>
      </x:c>
      <x:c r="F38" s="133" t="n">
        <x:f>COUNTIFS('01 Master Plan'!C$5:C$383,A38,'01 Master Plan'!H$5:H$383,"Deferred")</x:f>
        <x:v>0</x:v>
      </x:c>
      <x:c r="G38" s="255" t="n">
        <x:f>IFERROR(B38/(B38+C38+D38+E38),0)</x:f>
        <x:v>1</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8</x:v>
      </x:c>
      <x:c r="C40" s="162" t="n">
        <x:f>COUNTIFS('01 Master Plan'!C$5:C$383,A40,'01 Master Plan'!H$5:H$383,"In Progress")</x:f>
        <x:v>0</x:v>
      </x:c>
      <x:c r="D40" s="162" t="n">
        <x:f>COUNTIFS('01 Master Plan'!C$5:C$383,A40,'01 Master Plan'!H$5:H$383,"Not Started")</x:f>
        <x:v>0</x:v>
      </x:c>
      <x:c r="E40" s="162" t="n">
        <x:f>COUNTIFS('01 Master Plan'!C$5:C$383,A40,'01 Master Plan'!H$5:H$383,"Blocked")</x:f>
        <x:v>2</x:v>
      </x:c>
      <x:c r="F40" s="162" t="n">
        <x:f>COUNTIFS('01 Master Plan'!C$5:C$383,A40,'01 Master Plan'!H$5:H$383,"Deferred")</x:f>
        <x:v>0</x:v>
      </x:c>
      <x:c r="G40" s="257" t="n">
        <x:f>IFERROR(B40/(B40+C40+D40+E40),0)</x:f>
        <x:v>0.8</x:v>
      </x:c>
    </x:row>
    <x:row r="41">
      <x:c r="A41" s="133" t="inlineStr">
        <x:is>
          <x:t xml:space="preserve">13E Motion &amp; Completion System</x:t>
        </x:is>
      </x:c>
      <x:c r="B41" s="133" t="n">
        <x:f>COUNTIFS('01 Master Plan'!C$5:C$383,A41,'01 Master Plan'!H$5:H$383,"Completed")+COUNTIFS('01 Master Plan'!C$5:C$383,A41,'01 Master Plan'!H$5:H$383,"Complete")</x:f>
        <x:v>9</x:v>
      </x:c>
      <x:c r="C41" s="133" t="n">
        <x:f>COUNTIFS('01 Master Plan'!C$5:C$383,A41,'01 Master Plan'!H$5:H$383,"In Progress")</x:f>
        <x:v>0</x:v>
      </x:c>
      <x:c r="D41" s="133" t="n">
        <x:f>COUNTIFS('01 Master Plan'!C$5:C$383,A41,'01 Master Plan'!H$5:H$383,"Not Started")</x:f>
        <x:v>0</x:v>
      </x:c>
      <x:c r="E41" s="133" t="n">
        <x:f>COUNTIFS('01 Master Plan'!C$5:C$383,A41,'01 Master Plan'!H$5:H$383,"Blocked")</x:f>
        <x:v>4</x:v>
      </x:c>
      <x:c r="F41" s="133" t="n">
        <x:f>COUNTIFS('01 Master Plan'!C$5:C$383,A41,'01 Master Plan'!H$5:H$383,"Deferred")</x:f>
        <x:v>0</x:v>
      </x:c>
      <x:c r="G41" s="255" t="n">
        <x:f>IFERROR(B41/(B41+C41+D41+E41),0)</x:f>
        <x:v>0.6923076923076923</x:v>
      </x:c>
    </x:row>
    <x:row r="42">
      <x:c r="A42" s="133" t="inlineStr">
        <x:is>
          <x:t xml:space="preserve">13F Contextual Guidance Framework</x:t>
        </x:is>
      </x:c>
      <x:c r="B42" s="133" t="n">
        <x:f>COUNTIFS('01 Master Plan'!C$5:C$383,A42,'01 Master Plan'!H$5:H$383,"Completed")+COUNTIFS('01 Master Plan'!C$5:C$383,A42,'01 Master Plan'!H$5:H$383,"Complete")</x:f>
        <x:v>14</x:v>
      </x:c>
      <x:c r="C42" s="133" t="n">
        <x:f>COUNTIFS('01 Master Plan'!C$5:C$383,A42,'01 Master Plan'!H$5:H$383,"In Progress")</x:f>
        <x:v>0</x:v>
      </x:c>
      <x:c r="D42" s="133" t="n">
        <x:f>COUNTIFS('01 Master Plan'!C$5:C$383,A42,'01 Master Plan'!H$5:H$383,"Not Started")</x:f>
        <x:v>0</x:v>
      </x:c>
      <x:c r="E42" s="133" t="n">
        <x:f>COUNTIFS('01 Master Plan'!C$5:C$383,A42,'01 Master Plan'!H$5:H$383,"Blocked")</x:f>
        <x:v>0</x:v>
      </x:c>
      <x:c r="F42" s="133" t="n">
        <x:f>COUNTIFS('01 Master Plan'!C$5:C$383,A42,'01 Master Plan'!H$5:H$383,"Deferred")</x:f>
        <x:v>0</x:v>
      </x:c>
      <x:c r="G42" s="255" t="n">
        <x:f>IFERROR(B42/(B42+C42+D42+E42),0)</x:f>
        <x:v>1</x:v>
      </x:c>
    </x:row>
    <x:row r="43">
      <x:c r="A43" s="162" t="inlineStr">
        <x:is>
          <x:t xml:space="preserve">13G Ask Nexus Interactive Help</x:t>
        </x:is>
      </x:c>
      <x:c r="B43" s="162" t="n">
        <x:f>COUNTIFS('01 Master Plan'!C$5:C$383,A43,'01 Master Plan'!H$5:H$383,"Completed")+COUNTIFS('01 Master Plan'!C$5:C$383,A43,'01 Master Plan'!H$5:H$383,"Complete")</x:f>
        <x:v>10</x:v>
      </x:c>
      <x:c r="C43" s="162" t="n">
        <x:f>COUNTIFS('01 Master Plan'!C$5:C$383,A43,'01 Master Plan'!H$5:H$383,"In Progress")</x:f>
        <x:v>0</x:v>
      </x:c>
      <x:c r="D43" s="162" t="n">
        <x:f>COUNTIFS('01 Master Plan'!C$5:C$383,A43,'01 Master Plan'!H$5:H$383,"Not Started")</x:f>
        <x:v>0</x:v>
      </x:c>
      <x:c r="E43" s="162" t="n">
        <x:f>COUNTIFS('01 Master Plan'!C$5:C$383,A43,'01 Master Plan'!H$5:H$383,"Blocked")</x:f>
        <x:v>0</x:v>
      </x:c>
      <x:c r="F43" s="162" t="n">
        <x:f>COUNTIFS('01 Master Plan'!C$5:C$383,A43,'01 Master Plan'!H$5:H$383,"Deferred")</x:f>
        <x:v>0</x:v>
      </x:c>
      <x:c r="G43" s="257" t="n">
        <x:f>IFERROR(B43/(B43+C43+D43+E43),0)</x:f>
        <x:v>1</x:v>
      </x:c>
    </x:row>
    <x:row r="44">
      <x:c r="A44" s="28" t="inlineStr">
        <x:is>
          <x:t xml:space="preserve">13H Page-by-Page UI Upgrade</x:t>
        </x:is>
      </x:c>
      <x:c r="B44" s="28" t="n">
        <x:f>COUNTIFS('01 Master Plan'!C$5:C$383,A44,'01 Master Plan'!H$5:H$383,"Completed")+COUNTIFS('01 Master Plan'!C$5:C$383,A44,'01 Master Plan'!H$5:H$383,"Complete")</x:f>
        <x:v>13</x:v>
      </x:c>
      <x:c r="C44" s="28" t="n">
        <x:f>COUNTIFS('01 Master Plan'!C$5:C$383,A44,'01 Master Plan'!H$5:H$383,"In Progress")</x:f>
        <x:v>0</x:v>
      </x:c>
      <x:c r="D44" s="28" t="n">
        <x:f>COUNTIFS('01 Master Plan'!C$5:C$383,A44,'01 Master Plan'!H$5:H$383,"Not Started")</x:f>
        <x:v>5</x:v>
      </x:c>
      <x:c r="E44" s="28" t="n">
        <x:f>COUNTIFS('01 Master Plan'!C$5:C$383,A44,'01 Master Plan'!H$5:H$383,"Blocked")</x:f>
        <x:v>2</x:v>
      </x:c>
      <x:c r="F44" s="28" t="n">
        <x:f>COUNTIFS('01 Master Plan'!C$5:C$383,A44,'01 Master Plan'!H$5:H$383,"Deferred")</x:f>
        <x:v>0</x:v>
      </x:c>
      <x:c r="G44" s="258" t="n">
        <x:f>IFERROR(B44/(B44+C44+D44+E44),0)</x:f>
        <x:v>0.65</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34153b8aa4134e48"/>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b0e17279b67e4370"/>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0f6f2711b21843f6"/>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8aa1b6ffb16a42d5"/>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2a0d6552ae6442e9"/>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52b2e8610955431c"/>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row r="1191">
      <x:c r="A1191" t="n">
        <x:v>46295</x:v>
      </x:c>
      <x:c r="B1191" t="str">
        <x:v>Phase 13B / 13B-03</x:v>
      </x:c>
      <x:c r="C1191" t="str">
        <x:v>13B-03 Executive Typography Scale Published</x:v>
      </x:c>
      <x:c r="D1191" t="str">
        <x:v>executive-benchmark-engine</x:v>
      </x:c>
      <x:c r="E1191" t="str">
        <x:v>2ca09d789eb57b6fec51c4fc5ca9f48d79d98323</x:v>
      </x:c>
      <x:c r="F1191" t="str">
        <x:v>Centralized the existing Inter-based application type hierarchy into shared responsive typography tokens without changing page design.</x:v>
      </x:c>
      <x:c r="G1191" t="str">
        <x:v>Exactly three files published: src/app/globals.css, src/lib/design-system/executive-contract.ts, src/lib/design-system/executive-contract.test.ts. Focused tests 34 PASS; lint/build/diff-check PASS.</x:v>
      </x:c>
      <x:c r="H1191" t="str">
        <x:v>PASS / 13B-03 CLOSED / PUBLISHED</x:v>
      </x:c>
      <x:c r="I1191" t="str">
        <x:v>No intentional visual redesign. Local page text-* classes remain for later controlled adoption. No DB/Auth/RLS/Production change.</x:v>
      </x:c>
      <x:c r="J1191" t="str">
        <x:v>Next canonical Master Plan task: Phase 13B / 13B-04 — Standardize spacing/grid tokens.</x:v>
      </x:c>
    </x:row>
    <x:row r="1192">
      <x:c r="A1192" t="n">
        <x:v>46295</x:v>
      </x:c>
      <x:c r="B1192" t="str">
        <x:v>Phase 13B / 13B-04</x:v>
      </x:c>
      <x:c r="C1192" t="str">
        <x:v>13B-04 Executive Spacing &amp; Grid Tokens Published</x:v>
      </x:c>
      <x:c r="D1192" t="str">
        <x:v>executive-benchmark-engine</x:v>
      </x:c>
      <x:c r="E1192" t="str">
        <x:v>b401de987f20bf696be6f244c4d5bab075d72a76</x:v>
      </x:c>
      <x:c r="F1192" t="str">
        <x:v>Centralized the existing application spacing/grid contract into shared layout variables and roles without changing page layout.</x:v>
      </x:c>
      <x:c r="G1192" t="str">
        <x:v>Exactly three files published: src/app/globals.css, src/lib/design-system/executive-contract.ts, src/lib/design-system/executive-contract.test.ts. Focused tests 35 PASS; lint/build/diff-check PASS.</x:v>
      </x:c>
      <x:c r="H1192" t="str">
        <x:v>PASS / 13B-04 CLOSED / PUBLISHED</x:v>
      </x:c>
      <x:c r="I1192" t="str">
        <x:v>No intentional visual redesign. Page/shell hard-coded layout values remain for later controlled adoption. No DB/Auth/RLS/Production change.</x:v>
      </x:c>
      <x:c r="J1192" t="str">
        <x:v>Next canonical Master Plan task: Phase 13B / 13B-05 — Standardize surface, border, radius and elevation tokens.</x:v>
      </x:c>
    </x:row>
    <x:row r="1193">
      <x:c r="A1193" t="n">
        <x:v>46295</x:v>
      </x:c>
      <x:c r="B1193" t="str">
        <x:v>Phase 13B / 13B-05</x:v>
      </x:c>
      <x:c r="C1193" t="str">
        <x:v>13B-05 Surface / Radius / Elevation Tokens Published</x:v>
      </x:c>
      <x:c r="D1193" t="str">
        <x:v>executive-benchmark-engine</x:v>
      </x:c>
      <x:c r="E1193" t="str">
        <x:v>bf86fd292020483fef557037a28f1d9009410e6e</x:v>
      </x:c>
      <x:c r="F1193" t="str">
        <x:v>Centralized the application surface, border, radius and elevation contract without changing rendered page design.</x:v>
      </x:c>
      <x:c r="G1193" t="str">
        <x:v>Exactly three files published: src/app/globals.css, src/lib/design-system/executive-contract.ts, src/lib/design-system/executive-contract.test.ts. Focused tests 36 PASS; lint/build/diff-check PASS.</x:v>
      </x:c>
      <x:c r="H1193" t="str">
        <x:v>PASS / 13B-05 CLOSED / PUBLISHED</x:v>
      </x:c>
      <x:c r="I1193" t="str">
        <x:v>No intentional visual redesign. Local page/component radius/shadow values remain for later controlled adoption. No DB/Auth/RLS/Production change.</x:v>
      </x:c>
      <x:c r="J1193" t="str">
        <x:v>Next canonical Master Plan task: Phase 13B / 13B-06 — Standardize semantic status palette.</x:v>
      </x:c>
    </x:row>
    <x:row r="1194">
      <x:c r="A1194" t="n">
        <x:v>46295</x:v>
      </x:c>
      <x:c r="B1194" t="str">
        <x:v>Phase 13B / 13B-06</x:v>
      </x:c>
      <x:c r="C1194" t="str">
        <x:v>13B-06 Semantic Status Palette Published</x:v>
      </x:c>
      <x:c r="D1194" t="str">
        <x:v>executive-benchmark-engine</x:v>
      </x:c>
      <x:c r="E1194" t="str">
        <x:v>5d791e658841761b7b29902f65a0f4e3162573d2</x:v>
      </x:c>
      <x:c r="F1194" t="str">
        <x:v>Centralized success/warning/risk/info/neutral status roles and rewired ExecutiveBadge to semantic status tokens.</x:v>
      </x:c>
      <x:c r="G1194" t="str">
        <x:v>Four files published: src/app/globals.css, src/lib/design-system/executive-contract.ts, src/lib/design-system/executive-contract.test.ts, src/components/executive/executive-badge.tsx. Focused tests 36 PASS; lint/build/diff-check PASS.</x:v>
      </x:c>
      <x:c r="H1194" t="str">
        <x:v>PASS / 13B-06 CLOSED / PUBLISHED</x:v>
      </x:c>
      <x:c r="I1194" t="str">
        <x:v>Intentional visual change limited to status color normalization. Awarded/recommended/locked aliases unchanged; no business/status logic, DB/Auth/RLS or Production change.</x:v>
      </x:c>
      <x:c r="J1194" t="str">
        <x:v>Next canonical Master Plan task: Phase 13B / 13B-07 — Define Nexus Intelligence visual language.</x:v>
      </x:c>
    </x:row>
    <x:row r="1195">
      <x:c r="A1195" t="n">
        <x:v>46295</x:v>
      </x:c>
      <x:c r="B1195" t="str">
        <x:v>Phase 13B / 13B-07</x:v>
      </x:c>
      <x:c r="C1195" t="str">
        <x:v>13B-07 Nexus Intelligence Visual Contract Published</x:v>
      </x:c>
      <x:c r="D1195" t="str">
        <x:v>executive-benchmark-engine</x:v>
      </x:c>
      <x:c r="E1195" t="str">
        <x:v>3ea9ce7eee2ceb85e19423d508e83def57831986</x:v>
      </x:c>
      <x:c r="F1195" t="str">
        <x:v>Defined one restrained reusable Nexus Intelligence visual contract from the existing cyan accent, elevated surface, subtle border, and circular mark treatment.</x:v>
      </x:c>
      <x:c r="G1195" t="str">
        <x:v>Exactly three files published: src/app/globals.css, src/lib/design-system/executive-contract.ts, src/lib/design-system/executive-contract.test.ts. Focused tests 37 PASS; lint/build/diff-check PASS.</x:v>
      </x:c>
      <x:c r="H1195" t="str">
        <x:v>PASS / 13B-07 CLOSED / PUBLISHED</x:v>
      </x:c>
      <x:c r="I1195" t="str">
        <x:v>No new component and no page/component migration. No intentional visual change, business logic, DB/Auth/RLS or Production change.</x:v>
      </x:c>
      <x:c r="J1195" t="str">
        <x:v>Next canonical Master Plan task: Phase 13B / 13B-08 — Standardize focus/hover/selected/disabled states.</x:v>
      </x:c>
    </x:row>
    <x:row r="1196">
      <x:c r="A1196" t="n">
        <x:v>46295</x:v>
      </x:c>
      <x:c r="B1196" t="str">
        <x:v>Phase 13B / 13B-08</x:v>
      </x:c>
      <x:c r="C1196" t="str">
        <x:v>13B-08 Interaction-State Contract Published</x:v>
      </x:c>
      <x:c r="D1196" t="str">
        <x:v>executive-benchmark-engine</x:v>
      </x:c>
      <x:c r="E1196" t="str">
        <x:v>e71ad1c4cd6a22f6a118f417b3dd50c2fb8f2663</x:v>
      </x:c>
      <x:c r="F1196" t="str">
        <x:v>Standardized focus-visible, hover, selected/active and disabled states into one shared np-control interaction contract.</x:v>
      </x:c>
      <x:c r="G1196" t="str">
        <x:v>Exactly three files published: src/app/globals.css, src/lib/design-system/executive-contract.ts, src/lib/design-system/executive-contract.test.ts. Focused tests 38 PASS; lint/build/diff-check PASS.</x:v>
      </x:c>
      <x:c r="H1196" t="str">
        <x:v>PASS / 13B-08 CLOSED / PUBLISHED</x:v>
      </x:c>
      <x:c r="I1196" t="str">
        <x:v>No page/control migration and no handler/business behavior change. Local interaction classes remain for later controlled adoption. No DB/Auth/RLS/Production change.</x:v>
      </x:c>
      <x:c r="J1196" t="str">
        <x:v>Next canonical Master Plan task: Phase 13B / 13B-09 — Define motion tokens.</x:v>
      </x:c>
    </x:row>
    <x:row r="1197">
      <x:c r="A1197" t="n">
        <x:v>46295</x:v>
      </x:c>
      <x:c r="B1197" t="str">
        <x:v>Phase 13B / 13B-09</x:v>
      </x:c>
      <x:c r="C1197" t="str">
        <x:v>13B-09 Motion Duration Tokens Published</x:v>
      </x:c>
      <x:c r="D1197" t="str">
        <x:v>executive-benchmark-engine</x:v>
      </x:c>
      <x:c r="E1197" t="str">
        <x:v>08c7afbad2dabfe76a1ea9a16d593dddabc64b35</x:v>
      </x:c>
      <x:c r="F1197" t="str">
        <x:v>Defined canonical application motion-duration tokens: fast 140ms, standard 220ms, context 300ms, milestone 650ms.</x:v>
      </x:c>
      <x:c r="G1197" t="str">
        <x:v>Exactly three files published: src/app/globals.css, src/lib/design-system/executive-contract.ts, src/lib/design-system/executive-contract.test.ts. Focused tests 39 PASS; lint/build/diff-check PASS.</x:v>
      </x:c>
      <x:c r="H1197" t="str">
        <x:v>PASS / 13B-09 CLOSED / PUBLISHED</x:v>
      </x:c>
      <x:c r="I1197" t="str">
        <x:v>No easing or reduced-motion behavior changes, no component/page migration, and no intentional visual change. No DB/Auth/RLS/Production change.</x:v>
      </x:c>
      <x:c r="J1197" t="str">
        <x:v>Next canonical Master Plan task: Phase 13B / 13B-10 — Define easing and reduced-motion behavior.</x:v>
      </x:c>
    </x:row>
    <x:row r="1198">
      <x:c r="A1198" t="n">
        <x:v>46295</x:v>
      </x:c>
      <x:c r="B1198" t="str">
        <x:v>Phase 13B / 13B-10</x:v>
      </x:c>
      <x:c r="C1198" t="str">
        <x:v>13B-10 Easing + Reduced Motion Contract Published</x:v>
      </x:c>
      <x:c r="D1198" t="str">
        <x:v>executive-benchmark-engine</x:v>
      </x:c>
      <x:c r="E1198" t="str">
        <x:v>90953c61e71a4c9a159cab3e32be02c24e5c5080</x:v>
      </x:c>
      <x:c r="F1198" t="str">
        <x:v>Defined the canonical restrained easing token and formalized accessible reduced-motion behavior without changing normal motion.</x:v>
      </x:c>
      <x:c r="G1198" t="str">
        <x:v>Exactly three files published: src/app/globals.css, src/lib/design-system/executive-contract.ts, src/lib/design-system/executive-contract.test.ts. Focused tests 40 PASS; lint/build/diff-check PASS.</x:v>
      </x:c>
      <x:c r="H1198" t="str">
        <x:v>PASS / 13B-10 CLOSED / PUBLISHED</x:v>
      </x:c>
      <x:c r="I1198" t="str">
        <x:v>No page/component migration, no new animation, no duration change, and no intentional normal-motion visual change. No DB/Auth/RLS/Production change.</x:v>
      </x:c>
      <x:c r="J1198" t="str">
        <x:v>Next canonical Master Plan task: Phase 13B / 13B-11 — Standardize logo treatment on dark surfaces.</x:v>
      </x:c>
    </x:row>
    <x:row r="1199">
      <x:c r="A1199" t="n">
        <x:v>46295</x:v>
      </x:c>
      <x:c r="B1199" t="str">
        <x:v>Phase 13B / 13B-11</x:v>
      </x:c>
      <x:c r="C1199" t="str">
        <x:v>13B-11 Dark-Surface Logo Treatment Published</x:v>
      </x:c>
      <x:c r="D1199" t="str">
        <x:v>executive-benchmark-engine</x:v>
      </x:c>
      <x:c r="E1199" t="str">
        <x:v>76d82183ad5bb30a00f68c9305579d4b6d9b4a41</x:v>
      </x:c>
      <x:c r="F1199" t="str">
        <x:v>Standardized the canonical official-logo treatment for dark application surfaces without altering the logo assets or brand geometry.</x:v>
      </x:c>
      <x:c r="G1199" t="str">
        <x:v>Published src/app/globals.css, src/lib/design-system/executive-contract.ts, src/lib/design-system/executive-contract.test.ts, plus only scoped dark-surface hunks in src/components/branding/nexus-pavilion-logo.tsx. Focused tests 72 PASS; lint/build/diff-check PASS.</x:v>
      </x:c>
      <x:c r="H1199" t="str">
        <x:v>PASS / 13B-11 CLOSED / PUBLISHED</x:v>
      </x:c>
      <x:c r="I1199" t="str">
        <x:v>Selective staging excluded pre-existing loading/fetchPriority and unrelated newline changes from the logo component. Official assets unchanged; no page/shell migration, DB/Auth/RLS or Production change.</x:v>
      </x:c>
      <x:c r="J1199" t="str">
        <x:v>Next canonical Master Plan task: Phase 13B / 13B-12 — Design-system foundation review.</x:v>
      </x:c>
    </x:row>
    <x:row r="1200">
      <x:c r="A1200" t="n">
        <x:v>46295</x:v>
      </x:c>
      <x:c r="B1200" t="str">
        <x:v>Phase 13B / 13B-12</x:v>
      </x:c>
      <x:c r="C1200" t="str">
        <x:v>13B-12 Design-System Foundation Gate PASS</x:v>
      </x:c>
      <x:c r="D1200" t="str">
        <x:v>executive-benchmark-engine</x:v>
      </x:c>
      <x:c r="E1200" t="str">
        <x:v>378ac6461ec77a49e25559469ce58f27dfbedbc8</x:v>
      </x:c>
      <x:c r="F1200" t="str">
        <x:v>Completed a read-only foundation review of the canonical 13B design-system contracts and accepted the foundation for Phase 13C.</x:v>
      </x:c>
      <x:c r="G1200" t="str">
        <x:v>Semantic colors, typography, spacing/grid, surfaces/depth, status palette, Intelligence language, interaction states, motion durations/easing/reduced motion, logo treatment, light-mode compatibility and accessibility all PASS. Focused tests 41 PASS; lint/build/diff-check PASS.</x:v>
      </x:c>
      <x:c r="H1200" t="str">
        <x:v>PASS / 13B-12 CLOSED / PHASE 13B FOUNDATION ACCEPTED</x:v>
      </x:c>
      <x:c r="I1200" t="str">
        <x:v>No source files modified. Deferred adoption gaps remain non-blocking and are assigned to later controlled component/shell/page adoption. No DB/Auth/RLS/Production change.</x:v>
      </x:c>
      <x:c r="J1200" t="str">
        <x:v>Next canonical Master Plan task: Phase 13C / 13C-01 — Standardize button system.</x:v>
      </x:c>
    </x:row>
    <x:row r="1201">
      <x:c r="A1201" t="n">
        <x:v>46295</x:v>
      </x:c>
      <x:c r="B1201" t="str">
        <x:v>Phase 13C / 13C-01</x:v>
      </x:c>
      <x:c r="C1201" t="str">
        <x:v>13C-01 Executive Button System Published</x:v>
      </x:c>
      <x:c r="D1201" t="str">
        <x:v>executive-benchmark-engine</x:v>
      </x:c>
      <x:c r="E1201" t="str">
        <x:v>0c507085e76a69e315f2887803cfb53f1f00556a</x:v>
      </x:c>
      <x:c r="F1201" t="str">
        <x:v>Extended the existing executive CTA contract into one shared button system covering primary, secondary, tertiary, destructive, icon, loading and disabled behavior.</x:v>
      </x:c>
      <x:c r="G1201" t="str">
        <x:v>Exactly two files published: src/lib/design-system/executive-contract.ts and src/lib/design-system/executive-contract.test.ts. Focused tests 71 PASS; lint/build/diff-check PASS.</x:v>
      </x:c>
      <x:c r="H1201" t="str">
        <x:v>PASS / 13C-01 CLOSED / PUBLISHED</x:v>
      </x:c>
      <x:c r="I1201" t="str">
        <x:v>No new button component, no page migration, no RegisterForm modification, and no click/submit/navigation/business behavior change. Existing local button classes remain for later controlled adoption. No DB/Auth/RLS/Production change.</x:v>
      </x:c>
      <x:c r="J1201" t="str">
        <x:v>Next canonical Master Plan task: Phase 13C / 13C-02 — Standardize form controls.</x:v>
      </x:c>
    </x:row>
    <x:row r="1202">
      <x:c r="A1202" t="n">
        <x:v>46295</x:v>
      </x:c>
      <x:c r="B1202" t="str">
        <x:v>Phase 13C / 13C-02</x:v>
      </x:c>
      <x:c r="C1202" t="str">
        <x:v>13C-02 Executive Form-Control Contract Published</x:v>
      </x:c>
      <x:c r="D1202" t="str">
        <x:v>executive-benchmark-engine</x:v>
      </x:c>
      <x:c r="E1202" t="str">
        <x:v>2dd0043c360a0c003d57ff7a0cad7a4a28e39d32</x:v>
      </x:c>
      <x:c r="F1202" t="str">
        <x:v>Standardized the shared dark-first form-control contract for input, textarea, select, checkbox, radio and validation/accessibility states.</x:v>
      </x:c>
      <x:c r="G1202" t="str">
        <x:v>Exactly two files published: src/lib/design-system/executive-contract.ts and src/lib/design-system/executive-contract.test.ts. Focused tests 43 PASS; lint/build/diff-check PASS.</x:v>
      </x:c>
      <x:c r="H1202" t="str">
        <x:v>PASS / 13C-02 CLOSED / PUBLISHED</x:v>
      </x:c>
      <x:c r="I1202" t="str">
        <x:v>No new form component, no page/form migration, no RegisterForm change, no date/deadline scope, and no validation/business-logic change. Existing local form classes remain for later controlled adoption. No DB/Auth/RLS/Production change.</x:v>
      </x:c>
      <x:c r="J1202" t="str">
        <x:v>Next canonical Master Plan task: Phase 13C / 13C-03 — Standardize date/deadline controls.</x:v>
      </x:c>
    </x:row>
    <x:row r="1203">
      <x:c r="A1203" t="n">
        <x:v>46295</x:v>
      </x:c>
      <x:c r="B1203" t="str">
        <x:v>Phase 13C / 13C-03</x:v>
      </x:c>
      <x:c r="C1203" t="str">
        <x:v>13C-03 Date / Deadline Controls Published</x:v>
      </x:c>
      <x:c r="D1203" t="str">
        <x:v>executive-benchmark-engine</x:v>
      </x:c>
      <x:c r="E1203" t="str">
        <x:v>d111e3d4b95c7221bca3fb3aeca3a221219974a2</x:v>
      </x:c>
      <x:c r="F1203" t="str">
        <x:v>Standardized the existing DeadlineField against the shared executive form-control contract, including datetime, timezone display and validation treatment.</x:v>
      </x:c>
      <x:c r="G1203" t="str">
        <x:v>Exactly three files published: src/components/deadline-field.tsx, src/lib/design-system/executive-contract.ts, src/lib/design-system/executive-contract.test.ts. Focused tests 82 PASS; lint/build/diff-check PASS.</x:v>
      </x:c>
      <x:c r="H1203" t="str">
        <x:v>PASS / 13C-03 CLOSED / PUBLISHED</x:v>
      </x:c>
      <x:c r="I1203" t="str">
        <x:v>No deadline parsing, timezone conversion, min/max validation, RFQ/RFI/procurement-opening logic, API/database or Production change. Visual change limited to shared treatment; standalone date inputs remain for later controlled adoption.</x:v>
      </x:c>
      <x:c r="J1203" t="str">
        <x:v>Next canonical Master Plan task: Phase 13C / 13C-04 — Standardize badges/status chips.</x:v>
      </x:c>
    </x:row>
    <x:row r="1204">
      <x:c r="A1204" t="n">
        <x:v>46295</x:v>
      </x:c>
      <x:c r="B1204" t="str">
        <x:v>Phase 13C / 13C-04</x:v>
      </x:c>
      <x:c r="C1204" t="str">
        <x:v>13C-04 Semantic Badge System Published</x:v>
      </x:c>
      <x:c r="D1204" t="str">
        <x:v>executive-benchmark-engine</x:v>
      </x:c>
      <x:c r="E1204" t="str">
        <x:v>4af570c530859b8572a0a4d48cc2ad2547b5fdc1</x:v>
      </x:c>
      <x:c r="F1204" t="str">
        <x:v>Centralized canonical badge roles, tone aliases and semantic classes so the shared ExecutiveBadge and RFQ workspace status badge consume one status-presentation contract.</x:v>
      </x:c>
      <x:c r="G1204" t="str">
        <x:v>Four files published: src/components/executive/executive-badge.tsx, src/components/rfq-workspace/shared/executive-status-badge.tsx, src/lib/design-system/executive-contract.ts, src/lib/design-system/executive-contract.test.ts. Focused tests 73 PASS; lint/build/diff-check PASS.</x:v>
      </x:c>
      <x:c r="H1204" t="str">
        <x:v>PASS / 13C-04 CLOSED / PUBLISHED</x:v>
      </x:c>
      <x:c r="I1204" t="str">
        <x:v>Awarded/recommended/locked mappings unchanged; no status names, workflow/business logic, RFQ/RFI/quote/award state machine, DB/Auth/RLS or Production change. Visual change limited to shared badge treatment; page-local chips remain for later controlled adoption.</x:v>
      </x:c>
      <x:c r="J1204" t="str">
        <x:v>Next canonical Master Plan task: Phase 13C / 13C-05 — Standardize card roles.</x:v>
      </x:c>
    </x:row>
    <x:row r="1205">
      <x:c r="A1205" t="n">
        <x:v>46295</x:v>
      </x:c>
      <x:c r="B1205" t="str">
        <x:v>Phase 13C / 13C-05</x:v>
      </x:c>
      <x:c r="C1205" t="str">
        <x:v>13C-05 Canonical Card Roles Published</x:v>
      </x:c>
      <x:c r="D1205" t="str">
        <x:v>executive-benchmark-engine</x:v>
      </x:c>
      <x:c r="E1205" t="str">
        <x:v>a3af9776410417736ff4b02b1375b31a1a5dbd8b</x:v>
      </x:c>
      <x:c r="F1205" t="str">
        <x:v>Defined the five canonical shared card roles — Status, Metric, Action, Intelligence and Summary — using the existing executive panel, tile and intelligence contracts.</x:v>
      </x:c>
      <x:c r="G1205" t="str">
        <x:v>Exactly two files published: src/lib/design-system/executive-contract.ts and src/lib/design-system/executive-contract.test.ts. Focused tests 74 PASS; lint/build/diff-check PASS.</x:v>
      </x:c>
      <x:c r="H1205" t="str">
        <x:v>PASS / 13C-05 CLOSED / PUBLISHED</x:v>
      </x:c>
      <x:c r="I1205" t="str">
        <x:v>No new card component, no component deletion/replacement, no page/card migration, and no business/data behavior change. Existing local card treatments remain for later controlled adoption. No DB/Auth/RLS/Production change.</x:v>
      </x:c>
      <x:c r="J1205" t="str">
        <x:v>Next canonical Master Plan task: Phase 13C / 13C-06 — Standardize enterprise tables.</x:v>
      </x:c>
    </x:row>
    <x:row r="1206">
      <x:c r="A1206" t="n">
        <x:v>46295</x:v>
      </x:c>
      <x:c r="B1206" t="str">
        <x:v>Phase 13C / 13C-06</x:v>
      </x:c>
      <x:c r="C1206" t="str">
        <x:v>13C-06 Enterprise Table Contract Published</x:v>
      </x:c>
      <x:c r="D1206" t="str">
        <x:v>executive-benchmark-engine</x:v>
      </x:c>
      <x:c r="E1206" t="str">
        <x:v>8a4f5b621f3d6bf78f7c95b383ca464610041a87</x:v>
      </x:c>
      <x:c r="F1206" t="str">
        <x:v>Defined the shared enterprise-table presentation contract for overflow, sticky headers, density/alignment, numeric cells and active sort/filter visual states.</x:v>
      </x:c>
      <x:c r="G1206" t="str">
        <x:v>Exactly two files published: src/lib/design-system/executive-contract.ts and src/lib/design-system/executive-contract.test.ts. Focused tests 46 PASS; lint/build/diff-check PASS.</x:v>
      </x:c>
      <x:c r="H1206" t="str">
        <x:v>PASS / 13C-06 CLOSED / PUBLISHED</x:v>
      </x:c>
      <x:c r="I1206" t="str">
        <x:v>No shared table component existed; no component was created. No page/table migration and no sorting/filtering/query/data/pagination behavior change. Existing page-local table styling remains for later controlled adoption. No DB/Auth/RLS/Production change.</x:v>
      </x:c>
      <x:c r="J1206" t="str">
        <x:v>Next canonical Master Plan task: Phase 13C / 13C-07 — Standardize dialogs and confirmation modals.</x:v>
      </x:c>
    </x:row>
    <x:row r="1207">
      <x:c r="A1207" t="n">
        <x:v>46295</x:v>
      </x:c>
      <x:c r="B1207" t="str">
        <x:v>Phase 13C / 13C-07</x:v>
      </x:c>
      <x:c r="C1207" t="str">
        <x:v>13C-07 Confirmation Dialog Contract Published</x:v>
      </x:c>
      <x:c r="D1207" t="str">
        <x:v>executive-benchmark-engine</x:v>
      </x:c>
      <x:c r="E1207" t="str">
        <x:v>df6627fa7de5d7ddc2c9f706c406422dd240c965</x:v>
      </x:c>
      <x:c r="F1207" t="str">
        <x:v>Standardized the existing ExecutiveConfirmDialog around one shared confirmation hierarchy using canonical surface and button contracts.</x:v>
      </x:c>
      <x:c r="G1207" t="str">
        <x:v>Exactly three files published: src/components/executive/executive-confirm-dialog.tsx, src/lib/design-system/executive-contract.ts, src/lib/design-system/executive-contract.test.ts. Focused tests 58 PASS; lint/build/diff-check PASS.</x:v>
      </x:c>
      <x:c r="H1207" t="str">
        <x:v>PASS / 13C-07 CLOSED / PUBLISHED</x:v>
      </x:c>
      <x:c r="I1207" t="str">
        <x:v>Confirm/cancel handlers, Escape/focus behavior, accessible labeling and destructive semantics preserved. No page-level window.confirm or company-delete migration, no authorization/business logic, DB/Auth/RLS or Production change.</x:v>
      </x:c>
      <x:c r="J1207" t="str">
        <x:v>Next canonical Master Plan task: Phase 13C / 13C-08 — Standardize drawers/side panels.</x:v>
      </x:c>
    </x:row>
    <x:row r="1208">
      <x:c r="A1208" t="n">
        <x:v>46295</x:v>
      </x:c>
      <x:c r="B1208" t="str">
        <x:v>Phase 13C / 13C-08</x:v>
      </x:c>
      <x:c r="C1208" t="str">
        <x:v>13C-08 Drawer Contract Published</x:v>
      </x:c>
      <x:c r="D1208" t="str">
        <x:v>executive-benchmark-engine</x:v>
      </x:c>
      <x:c r="E1208" t="str">
        <x:v>9da855568cfd287319ac99a1d823d8d0f67eef0c</x:v>
      </x:c>
      <x:c r="F1208" t="str">
        <x:v>Defined the shared drawer/side-panel presentation contract from existing overlay, sidebar-width, elevation, close-control and intelligence-surface treatments.</x:v>
      </x:c>
      <x:c r="G1208" t="str">
        <x:v>Exactly two files published: src/lib/design-system/executive-contract.ts and src/lib/design-system/executive-contract.test.ts. Focused tests 48 PASS; lint/build/diff-check PASS.</x:v>
      </x:c>
      <x:c r="H1208" t="str">
        <x:v>PASS / 13C-08 CLOSED / PUBLISHED</x:v>
      </x:c>
      <x:c r="I1208" t="str">
        <x:v>No shared drawer component existed and none was created. No page/sidebar migration, no filter/help/detail/data/query/state behavior change, and no DB/Auth/RLS/Production change.</x:v>
      </x:c>
      <x:c r="J1208" t="str">
        <x:v>Next canonical Master Plan task: Phase 13C / 13C-09 — Standardize tooltips/popovers.</x:v>
      </x:c>
    </x:row>
    <x:row r="1209">
      <x:c r="A1209" t="n">
        <x:v>46295</x:v>
      </x:c>
      <x:c r="B1209" t="str">
        <x:v>Phase 13C / 13C-09</x:v>
      </x:c>
      <x:c r="C1209" t="str">
        <x:v>13C-09 Tooltip-Popover Contract Published</x:v>
      </x:c>
      <x:c r="D1209" t="str">
        <x:v>executive-benchmark-engine</x:v>
      </x:c>
      <x:c r="E1209" t="str">
        <x:v>4b67a4a9c7179ee42bb49769f182d769b12c39d2</x:v>
      </x:c>
      <x:c r="F1209" t="str">
        <x:v>Defined the shared tooltip/popover presentation and accessibility contract from existing elevated-surface, typography and motion tokens.</x:v>
      </x:c>
      <x:c r="G1209" t="str">
        <x:v>Exactly two files published: src/lib/design-system/executive-contract.ts and src/lib/design-system/executive-contract.test.ts. Focused tests 49 PASS; lint/build/diff-check PASS.</x:v>
      </x:c>
      <x:c r="H1209" t="str">
        <x:v>PASS / 13C-09 CLOSED / PUBLISHED</x:v>
      </x:c>
      <x:c r="I1209" t="str">
        <x:v>No shared tooltip/popover component existed and none was created. No page/help migration, no content/business/data/state behavior change, and no DB/Auth/RLS/Production change.</x:v>
      </x:c>
      <x:c r="J1209" t="str">
        <x:v>Next canonical Master Plan task: Phase 13C / 13C-10 — Standardize toast/inline feedback.</x:v>
      </x:c>
    </x:row>
    <x:row r="1210">
      <x:c r="A1210" t="n">
        <x:v>46295</x:v>
      </x:c>
      <x:c r="B1210" t="str">
        <x:v>Phase 13C / 13C-10</x:v>
      </x:c>
      <x:c r="C1210" t="str">
        <x:v>13C-10 Toast-Inline Feedback Contract Published</x:v>
      </x:c>
      <x:c r="D1210" t="str">
        <x:v>executive-benchmark-engine</x:v>
      </x:c>
      <x:c r="E1210" t="str">
        <x:v>4807b1748a53505e111aef79c78f9c3f4260aba5</x:v>
      </x:c>
      <x:c r="F1210" t="str">
        <x:v>Defined the shared toast/inline-feedback semantic, presentation and accessibility contract from existing status, typography, button and motion tokens.</x:v>
      </x:c>
      <x:c r="G1210" t="str">
        <x:v>Exactly two files published: src/lib/design-system/executive-contract.ts and src/lib/design-system/executive-contract.test.ts. Focused tests 50 PASS; lint/build/diff-check PASS.</x:v>
      </x:c>
      <x:c r="H1210" t="str">
        <x:v>PASS / 13C-10 CLOSED / PUBLISHED</x:v>
      </x:c>
      <x:c r="I1210" t="str">
        <x:v>No shared feedback component/provider existed and none was created. No page-alert migration, no notification delivery/business/state behavior change, and no DB/Auth/RLS/Production change.</x:v>
      </x:c>
      <x:c r="J1210" t="str">
        <x:v>Next canonical Master Plan task: Phase 13C / 13C-11 — Standardize loading/skeleton states.</x:v>
      </x:c>
    </x:row>
    <x:row r="1211">
      <x:c r="A1211" t="n">
        <x:v>46295</x:v>
      </x:c>
      <x:c r="B1211" t="str">
        <x:v>Phase 13C / 13C-11</x:v>
      </x:c>
      <x:c r="C1211" t="str">
        <x:v>13C-11 Loading-Skeleton Contract Published</x:v>
      </x:c>
      <x:c r="D1211" t="str">
        <x:v>executive-benchmark-engine</x:v>
      </x:c>
      <x:c r="E1211" t="str">
        <x:v>d10d5c143597295c1054750ee3e1624662069a64</x:v>
      </x:c>
      <x:c r="F1211" t="str">
        <x:v>Standardized loading/skeleton/progress treatment by wiring the existing ExecutiveProgress primitive to shared design-system progress tokens and defining reusable skeleton/loading accessibility contracts.</x:v>
      </x:c>
      <x:c r="G1211" t="str">
        <x:v>Exactly three files published: src/components/executive/executive-progress.tsx, src/lib/design-system/executive-contract.ts, src/lib/design-system/executive-contract.test.ts. Focused tests 80 PASS; lint/build/diff-check PASS.</x:v>
      </x:c>
      <x:c r="H1211" t="str">
        <x:v>PASS / 13C-11 CLOSED / PUBLISHED</x:v>
      </x:c>
      <x:c r="I1211" t="str">
        <x:v>No artificial delay, no fetch/query/Suspense/async behavior change, reduced-motion and accessibility preserved, no route/page loading migration, and no DB/Auth/RLS/Production change.</x:v>
      </x:c>
      <x:c r="J1211" t="str">
        <x:v>Next canonical Master Plan task: Phase 13C / 13C-12 — Standardize empty states.</x:v>
      </x:c>
    </x:row>
    <x:row r="1212">
      <x:c r="A1212" t="n">
        <x:v>46296</x:v>
      </x:c>
      <x:c r="B1212" t="str">
        <x:v>Phase 13C / 13C-12</x:v>
      </x:c>
      <x:c r="C1212" t="str">
        <x:v>13C-12 Empty-State Contract Published</x:v>
      </x:c>
      <x:c r="D1212" t="str">
        <x:v>executive-benchmark-engine</x:v>
      </x:c>
      <x:c r="E1212" t="str">
        <x:v>abec43ffa489d33307948671a662469fbf494550</x:v>
      </x:c>
      <x:c r="F1212" t="str">
        <x:v>Defined the shared empty-state layout, content hierarchy and accessibility contract from existing local patterns without introducing a new component.</x:v>
      </x:c>
      <x:c r="G1212" t="str">
        <x:v>Exactly two files published: src/lib/design-system/executive-contract.ts and src/lib/design-system/executive-contract.test.ts. Focused tests PASS; lint/build/diff-check PASS.</x:v>
      </x:c>
      <x:c r="H1212" t="str">
        <x:v>PASS / 13C-12 CLOSED / PUBLISHED</x:v>
      </x:c>
      <x:c r="I1212" t="str">
        <x:v>No empty-state component created, no page/local-helper migration, no CTA/navigation or business/data/permission behavior change, no product-copy rewrite, and no DB/Auth/RLS/Production change.</x:v>
      </x:c>
      <x:c r="J1212" t="str">
        <x:v>Next canonical Master Plan task: Phase 13C / 13C-13 — Standardize error states.</x:v>
      </x:c>
    </x:row>
    <x:row r="1213">
      <x:c r="A1213" t="n">
        <x:v>46296</x:v>
      </x:c>
      <x:c r="B1213" t="str">
        <x:v>Phase 13C / 13C-13</x:v>
      </x:c>
      <x:c r="C1213" t="str">
        <x:v>13C-13 Error-State Contract Published</x:v>
      </x:c>
      <x:c r="D1213" t="str">
        <x:v>executive-benchmark-engine</x:v>
      </x:c>
      <x:c r="E1213" t="str">
        <x:v>f53072386a4e4f51980ec1a8fa484765f536fdc1</x:v>
      </x:c>
      <x:c r="F1213" t="str">
        <x:v>Defined the shared error-state semantic, presentation and accessibility contract from existing alert patterns without introducing a new component.</x:v>
      </x:c>
      <x:c r="G1213" t="str">
        <x:v>Exactly two files published: src/lib/design-system/executive-contract.ts and src/lib/design-system/executive-contract.test.ts. Focused tests PASS; lint/build/diff-check PASS.</x:v>
      </x:c>
      <x:c r="H1213" t="str">
        <x:v>PASS / 13C-13 CLOSED / PUBLISHED</x:v>
      </x:c>
      <x:c r="I1213" t="str">
        <x:v>No error-state component created, no page/error-boundary migration, no retry/recovery/navigation behavior change, no business/API/permission logic change, no broad product-copy rewrite, and no DB/Auth/RLS/Production change.</x:v>
      </x:c>
      <x:c r="J1213" t="str">
        <x:v>Next canonical Master Plan task: Phase 13C / 13C-14 — Create workflow stepper component.</x:v>
      </x:c>
    </x:row>
    <x:row r="1214">
      <x:c r="A1214" t="n">
        <x:v>46296</x:v>
      </x:c>
      <x:c r="B1214" t="str">
        <x:v>Phase 13C / 13C-14</x:v>
      </x:c>
      <x:c r="C1214" t="str">
        <x:v>13C-14 Workflow Stepper Component Published</x:v>
      </x:c>
      <x:c r="D1214" t="str">
        <x:v>executive-benchmark-engine</x:v>
      </x:c>
      <x:c r="E1214" t="str">
        <x:v>15406a70f7fdf319fdc645b5591c350b9f37788a</x:v>
      </x:c>
      <x:c r="F1214" t="str">
        <x:v>Created one reusable ExecutiveWorkflowStepper component plus its shared design-system presentation contract and focused tests.</x:v>
      </x:c>
      <x:c r="G1214" t="str">
        <x:v>Exactly four files published: src/components/executive/executive-workflow-stepper.tsx, src/components/executive/executive-workflow-stepper.test.ts, src/lib/design-system/executive-contract.ts, src/lib/design-system/executive-contract.test.ts. Focused tests PASS; lint/build/diff-check PASS.</x:v>
      </x:c>
      <x:c r="H1214" t="str">
        <x:v>PASS / 13C-14 CLOSED / PUBLISHED</x:v>
      </x:c>
      <x:c r="I1214" t="str">
        <x:v>Generic/data-driven only; no RFQ/procurement lifecycle rules, no issuer/respondent wording, no route/navigation logic, no page migration, no authorization/business/data behavior change, and no DB/Auth/RLS/Production change.</x:v>
      </x:c>
      <x:c r="J1214" t="str">
        <x:v>Next canonical Master Plan task: Phase 13C / 13C-15 — Create intelligence card component.</x:v>
      </x:c>
    </x:row>
    <x:row r="1215">
      <x:c r="A1215" t="n">
        <x:v>46296</x:v>
      </x:c>
      <x:c r="B1215" t="str">
        <x:v>Phase 13C / 13C-15</x:v>
      </x:c>
      <x:c r="C1215" t="str">
        <x:v>13C-15 Intelligence Card Component Published</x:v>
      </x:c>
      <x:c r="D1215" t="str">
        <x:v>executive-benchmark-engine</x:v>
      </x:c>
      <x:c r="E1215" t="str">
        <x:v>380ceb6673ea4c34f8c08e4fa65fc1dfa6bdc659</x:v>
      </x:c>
      <x:c r="F1215" t="str">
        <x:v>Created one reusable ExecutiveIntelligenceCard that renders Signal, Evidence, Impact, Recommendation and caller-provided Action using the existing Nexus Intelligence surface.</x:v>
      </x:c>
      <x:c r="G1215" t="str">
        <x:v>Exactly two files published: src/components/executive/executive-intelligence-card.tsx and src/components/executive/executive-intelligence-card.test.ts. Focused tests PASS; lint/build/diff-check PASS.</x:v>
      </x:c>
      <x:c r="H1215" t="str">
        <x:v>PASS / 13C-15 CLOSED / PUBLISHED</x:v>
      </x:c>
      <x:c r="I1215" t="str">
        <x:v>Generic/presentation-only; no recommendation/risk/score calculation, no business-domain logic, no AI/data/query/API change, no page/component migration, and no DB/Auth/RLS/Production change.</x:v>
      </x:c>
      <x:c r="J1215" t="str">
        <x:v>Next canonical Master Plan task: Phase 13C / 13C-16 — Create page/context header component.</x:v>
      </x:c>
    </x:row>
    <x:row r="1216">
      <x:c r="A1216" t="n">
        <x:v>46296</x:v>
      </x:c>
      <x:c r="B1216" t="str">
        <x:v>Phase 13C / 13C-16</x:v>
      </x:c>
      <x:c r="C1216" t="str">
        <x:v>13C-16 Page-Context Header Component Published</x:v>
      </x:c>
      <x:c r="D1216" t="str">
        <x:v>executive-benchmark-engine</x:v>
      </x:c>
      <x:c r="E1216" t="str">
        <x:v>04f85bac3dca74b0d7498162423be52c4705f5f1</x:v>
      </x:c>
      <x:c r="F1216" t="str">
        <x:v>Created one reusable ExecutivePageHeader for caller-provided title, context, status, metadata/deadline content and actions with responsive semantic presentation.</x:v>
      </x:c>
      <x:c r="G1216" t="str">
        <x:v>Exactly two files published: src/components/executive/executive-page-header.tsx and src/components/executive/executive-page-header.test.ts. Focused tests PASS; lint/build/diff-check PASS.</x:v>
      </x:c>
      <x:c r="H1216" t="str">
        <x:v>PASS / 13C-16 CLOSED / PUBLISHED</x:v>
      </x:c>
      <x:c r="I1216" t="str">
        <x:v>Generic/presentation-only; no status/deadline/ownership/permission/business-domain/navigation logic, no page migration, and no DB/Auth/RLS/Production change.</x:v>
      </x:c>
      <x:c r="J1216" t="str">
        <x:v>Next canonical Master Plan task: Phase 13C / 13C-17 — Component regression review.</x:v>
      </x:c>
    </x:row>
    <x:row r="1217">
      <x:c r="A1217" t="n">
        <x:v>46296</x:v>
      </x:c>
      <x:c r="B1217" t="str">
        <x:v>Phase 13C / 13C-17</x:v>
      </x:c>
      <x:c r="C1217" t="str">
        <x:v>13C-17 Component Regression Gate PASS</x:v>
      </x:c>
      <x:c r="D1217" t="str">
        <x:v>executive-benchmark-engine</x:v>
      </x:c>
      <x:c r="E1217" t="str">
        <x:v>cb982b1fa12656caa7a1ec0ae92753125e93a028</x:v>
      </x:c>
      <x:c r="F1217" t="str">
        <x:v>Completed the read-only regression review for the full Phase 13C shared-component foundation before page-level adoption.</x:v>
      </x:c>
      <x:c r="G1217" t="str">
        <x:v>No files modified. Focused Phase 13C/shared-component tests PASS; lint PASS; build PASS; git diff --check PASS. No duplicate component conflict, circular dependency risk, component regression, contract inconsistency, accessibility regression, reduced-motion regression, page migration, artificial delay or business/procurement/auth/data logic leakage detected.</x:v>
      </x:c>
      <x:c r="H1217" t="str">
        <x:v>PASS / 13C-17 CLOSED / PHASE 13C COMPLETE</x:v>
      </x:c>
      <x:c r="I1217" t="str">
        <x:v>Read-only gate only; no code, DB/Auth/RLS, Git publication beyond tracker, or Production behavior change.</x:v>
      </x:c>
      <x:c r="J1217" t="str">
        <x:v>Next canonical Master Plan task: Phase 13D / 13D-01 — Implement dark-first authenticated Workspace Shell.</x:v>
      </x:c>
    </x:row>
    <x:row r="1218">
      <x:c r="A1218" t="n">
        <x:v>46296</x:v>
      </x:c>
      <x:c r="B1218" t="str">
        <x:v>Phase 13D / 13D-01</x:v>
      </x:c>
      <x:c r="C1218" t="str">
        <x:v>13D-01 Authenticated Workspace Shell Published</x:v>
      </x:c>
      <x:c r="D1218" t="str">
        <x:v>executive-benchmark-engine</x:v>
      </x:c>
      <x:c r="E1218" t="str">
        <x:v>d8c4c1fa34affb0fa28f2259fe7d51ebe7e8e0d6</x:v>
      </x:c>
      <x:c r="F1218" t="str">
        <x:v>Standardized the existing authenticated AppShell as the single dark-first workspace shell foundation using the shared executive page contract.</x:v>
      </x:c>
      <x:c r="G1218" t="str">
        <x:v>Exactly two files published: src/components/app-shell.tsx and src/lib/navigation/application-shell.test.ts. Focused shell/layout tests PASS; lint/build/diff-check PASS.</x:v>
      </x:c>
      <x:c r="H1218" t="str">
        <x:v>PASS / 13D-01 CLOSED / PUBLISHED</x:v>
      </x:c>
      <x:c r="I1218" t="str">
        <x:v>No parallel shell, sidebar/topbar structure change, navigation/auth/permission/business/data change, page migration or Corporate change. Nested page-container duplication is recorded as a deferred adoption issue.</x:v>
      </x:c>
      <x:c r="J1218" t="str">
        <x:v>Next canonical Master Plan task: Phase 13D / 13D-02 — Implement enterprise sidebar treatment.</x:v>
      </x:c>
    </x:row>
    <x:row r="1219">
      <x:c r="A1219" t="n">
        <x:v>46296</x:v>
      </x:c>
      <x:c r="B1219" t="str">
        <x:v>Phase 13D / 13D-02</x:v>
      </x:c>
      <x:c r="C1219" t="str">
        <x:v>13D-02 Enterprise Sidebar Published</x:v>
      </x:c>
      <x:c r="D1219" t="str">
        <x:v>executive-benchmark-engine</x:v>
      </x:c>
      <x:c r="E1219" t="str">
        <x:v>3f0567498712526bf37d110597f766bd05b3d68a</x:v>
      </x:c>
      <x:c r="F1219" t="str">
        <x:v>Standardized the existing authenticated Sidebar treatment and prevented the recorded server/client experience-sublabel hydration mismatch.</x:v>
      </x:c>
      <x:c r="G1219" t="str">
        <x:v>Exactly two files published: src/components/sidebar.tsx and src/lib/navigation/application-shell.test.ts. Focused sidebar/navigation tests PASS; lint/build/diff-check PASS.</x:v>
      </x:c>
      <x:c r="H1219" t="str">
        <x:v>PASS / 13D-02 CLOSED / PUBLISHED</x:v>
      </x:c>
      <x:c r="I1219" t="str">
        <x:v>No parallel sidebar, nav item/href change, route visibility/auth change, workspace-selection change, Topbar/AppShell change or business/data change. Hydration remediation is limited to deterministic sublabel rendering after context resolution.</x:v>
      </x:c>
      <x:c r="J1219" t="str">
        <x:v>Next canonical Master Plan task: Phase 13D / 13D-03 — Implement global top/context header.</x:v>
      </x:c>
    </x:row>
    <x:row r="1220">
      <x:c r="A1220" t="n">
        <x:v>46296</x:v>
      </x:c>
      <x:c r="B1220" t="str">
        <x:v>Phase 13D / 13D-03</x:v>
      </x:c>
      <x:c r="C1220" t="str">
        <x:v>13D-03 Global Top-Context Header Published</x:v>
      </x:c>
      <x:c r="D1220" t="str">
        <x:v>executive-benchmark-engine</x:v>
      </x:c>
      <x:c r="E1220" t="str">
        <x:v>d20566e4e3690d296df1d129454c28046b91868e</x:v>
      </x:c>
      <x:c r="F1220" t="str">
        <x:v>Standardized the existing AppTopbar and AppPageContext presentation for shell-level context, breadcrumb hierarchy, actions and status display.</x:v>
      </x:c>
      <x:c r="G1220" t="str">
        <x:v>Exactly three files published: src/components/common/AppTopbar.tsx, src/components/app-page-context.tsx, src/lib/navigation/application-shell.test.ts. Focused tests PASS; lint/build/diff-check PASS.</x:v>
      </x:c>
      <x:c r="H1220" t="str">
        <x:v>PASS / 13D-03 CLOSED / PUBLISHED</x:v>
      </x:c>
      <x:c r="I1220" t="str">
        <x:v>No competing header system, duplicate h1, company-selection/breadcrumb/navigation/action-handler/status-deadline/auth-permission logic change, no fabricated shell deadline, no Sidebar/AppShell change and no DB/Auth/RLS/Production change.</x:v>
      </x:c>
      <x:c r="J1220" t="str">
        <x:v>Next canonical Master Plan task: Phase 13D / 13D-04 — Add Search / Ask Nexus global entry point.</x:v>
      </x:c>
    </x:row>
    <x:row r="1221">
      <x:c r="A1221" t="n">
        <x:v>46296</x:v>
      </x:c>
      <x:c r="B1221" t="str">
        <x:v>Phase 13D / 13D-04</x:v>
      </x:c>
      <x:c r="C1221" t="str">
        <x:v>13D-04 Ask Nexus Global Entry Blocked</x:v>
      </x:c>
      <x:c r="D1221" t="str">
        <x:v>executive-benchmark-engine</x:v>
      </x:c>
      <x:c r="E1221" t="str">
        <x:v>849e5d2059287beccf585bc753bfc5251e42349f</x:v>
      </x:c>
      <x:c r="F1221" t="str">
        <x:v>Read-only search found no existing Ask Nexus route, trigger, search destination or reusable global entry point. /analytics is not an Ask Nexus experience.</x:v>
      </x:c>
      <x:c r="G1221" t="str">
        <x:v>No files changed; implementation stopped before tests/lint/build because the task's required stable destination does not exist.</x:v>
      </x:c>
      <x:c r="H1221" t="str">
        <x:v>BLOCKED / 13D-04 OPEN</x:v>
      </x:c>
      <x:c r="I1221" t="str">
        <x:v>No route, AI/chat backend, Ask Nexus intelligence/payload, search algorithm, auth/permission or page-level chatbot behavior changed. Unblock when an approved stable Ask Nexus/Search destination or existing trigger exists.</x:v>
      </x:c>
      <x:c r="J1221" t="str">
        <x:v>Continue with dependency-independent 13D-05; return to 13D-04 when unblock criterion is satisfied.</x:v>
      </x:c>
    </x:row>
    <x:row r="1222">
      <x:c r="A1222" t="n">
        <x:v>46296</x:v>
      </x:c>
      <x:c r="B1222" t="str">
        <x:v>Phase 13D / 13D-05</x:v>
      </x:c>
      <x:c r="C1222" t="str">
        <x:v>13D-05 Workflow Stepper Context Blocked</x:v>
      </x:c>
      <x:c r="D1222" t="str">
        <x:v>executive-benchmark-engine</x:v>
      </x:c>
      <x:c r="E1222" t="str">
        <x:v>a73bb8df3e2037dfc02f887cbf75e865f3e15c70</x:v>
      </x:c>
      <x:c r="F1222" t="str">
        <x:v>Read-only review found incompatible issuer/respondent stage representations for safe ExecutiveWorkflowStepper adoption: RFQExecutiveActions navigation lists lack completed/current/upcoming state, while the decision timeline uses complete/active/locked/pending/watch semantics.</x:v>
      </x:c>
      <x:c r="G1222" t="str">
        <x:v>No files changed; implementation stopped before tests/lint/build because connecting the stepper would invent current-stage semantics or drop lock/watch meaning.</x:v>
      </x:c>
      <x:c r="H1222" t="str">
        <x:v>BLOCKED / 13D-05 OPEN</x:v>
      </x:c>
      <x:c r="I1222" t="str">
        <x:v>No RFQ lifecycle/state-machine, deadline/commercial-lock, authorization, Workspace Membership, quotation/evaluation/award, route or navigation behavior changed. Unblock when an approved caller-owned mapping provides stepper-compatible state semantics without losing existing lifecycle meaning.</x:v>
      </x:c>
      <x:c r="J1222" t="str">
        <x:v>Continue with dependency-independent 13D-06; return to 13D-05 when the lifecycle mapping unblock criterion is satisfied.</x:v>
      </x:c>
    </x:row>
    <x:row r="1223">
      <x:c r="A1223" t="n">
        <x:v>46296</x:v>
      </x:c>
      <x:c r="B1223" t="str">
        <x:v>Phase 13D / 13D-06</x:v>
      </x:c>
      <x:c r="C1223" t="str">
        <x:v>13D-06 Authenticated Enterprise Footer Published</x:v>
      </x:c>
      <x:c r="D1223" t="str">
        <x:v>executive-benchmark-engine</x:v>
      </x:c>
      <x:c r="E1223" t="str">
        <x:v>05d826e2dfb46bb788b198c227fa6cea7e7ae5a4</x:v>
      </x:c>
      <x:c r="F1223" t="str">
        <x:v>Standardized the existing authenticated ApplicationFooter with compact enterprise treatment, existing trust links and truthful release/environment metadata.</x:v>
      </x:c>
      <x:c r="G1223" t="str">
        <x:v>Exactly two files published: src/components/application-footer.tsx and src/lib/navigation/application-shell.test.ts. Focused footer/shell tests 41 PASS; lint/build/diff-check PASS.</x:v>
      </x:c>
      <x:c r="H1223" t="str">
        <x:v>PASS / 13D-06 CLOSED / PUBLISHED</x:v>
      </x:c>
      <x:c r="I1223" t="str">
        <x:v>Privacy/Terms/Support routes preserved. Version sourced from package.json; environment from NODE_ENV. No Security/Help/System Status route or health data invented. No auth/session, AppShell/Sidebar/AppTopbar, Corporate footer or Production change.</x:v>
      </x:c>
      <x:c r="J1223" t="str">
        <x:v>Next executable canonical task: Phase 13D / 13D-07 — Implement sidebar/header responsive behavior.</x:v>
      </x:c>
    </x:row>
    <x:row r="1224">
      <x:c r="A1224" t="n">
        <x:v>46296</x:v>
      </x:c>
      <x:c r="B1224" t="str">
        <x:v>Phase 13D / 13D-07</x:v>
      </x:c>
      <x:c r="C1224" t="str">
        <x:v>13D-07 Responsive Shell Behavior Published</x:v>
      </x:c>
      <x:c r="D1224" t="str">
        <x:v>executive-benchmark-engine</x:v>
      </x:c>
      <x:c r="E1224" t="str">
        <x:v>62897f8b263c00f668e95d7c7adaee3aa3560d92</x:v>
      </x:c>
      <x:c r="F1224" t="str">
        <x:v>Hardened shared authenticated shell responsive behavior for Sidebar, AppTopbar and AppPageContext, including overflow protection, action wrapping and breadcrumb truncation.</x:v>
      </x:c>
      <x:c r="G1224" t="str">
        <x:v>Exactly four files published: src/components/sidebar.tsx, src/components/common/AppTopbar.tsx, src/components/app-page-context.tsx and src/lib/navigation/application-shell.test.ts. Focused tests 83 PASS; lint/build/diff-check PASS.</x:v>
      </x:c>
      <x:c r="H1224" t="str">
        <x:v>PASS / 13D-07 CLOSED / PUBLISHED</x:v>
      </x:c>
      <x:c r="I1224" t="str">
        <x:v>No navigation, auth/permission, workspace-selection, action/breadcrumb destination, page redesign, AppShell or Corporate change. Desktop/collapsed/mobile sidebar behavior preserved; touch/focus/reduced-motion behavior preserved.</x:v>
      </x:c>
      <x:c r="J1224" t="str">
        <x:v>Next executable canonical task: Phase 13D / 13D-08 — Verify shell keyboard/focus/reduced-motion behavior.</x:v>
      </x:c>
    </x:row>
    <x:row r="1225">
      <x:c r="A1225" t="n">
        <x:v>46296</x:v>
      </x:c>
      <x:c r="B1225" t="str">
        <x:v>Phase 13D / 13D-08</x:v>
      </x:c>
      <x:c r="C1225" t="str">
        <x:v>13D-08 Shell Accessibility Verification Passed</x:v>
      </x:c>
      <x:c r="D1225" t="str">
        <x:v>executive-benchmark-engine</x:v>
      </x:c>
      <x:c r="E1225" t="str">
        <x:v>be1fef69fa9c7c2ea5428b21238fd0289c37377f</x:v>
      </x:c>
      <x:c r="F1225" t="str">
        <x:v>Evidence-only verification confirmed authenticated shell keyboard reachability, focus-visible treatment, ARIA state, native control semantics and reduced-motion behavior.</x:v>
      </x:c>
      <x:c r="G1225" t="str">
        <x:v>No files changed. Focused shell accessibility/navigation tests 83 PASS; lint/build/diff-check PASS.</x:v>
      </x:c>
      <x:c r="H1225" t="str">
        <x:v>PASS / 13D-08 CLOSED</x:v>
      </x:c>
      <x:c r="I1225" t="str">
        <x:v>No keyboard trap, responsive focus loss or incorrect tabbable decorative element found. No navigation, auth/permission, page-specific or visual changes were made.</x:v>
      </x:c>
      <x:c r="J1225" t="str">
        <x:v>Next executable canonical task: Phase 13D / 13D-09 — Run route/navigation regression after shell adoption.</x:v>
      </x:c>
    </x:row>
    <x:row r="1226">
      <x:c r="A1226" t="n">
        <x:v>46296</x:v>
      </x:c>
      <x:c r="B1226" t="str">
        <x:v>Phase 13D / 13D-09</x:v>
      </x:c>
      <x:c r="C1226" t="str">
        <x:v>13D-09 Route/Navigation Regression Passed</x:v>
      </x:c>
      <x:c r="D1226" t="str">
        <x:v>executive-benchmark-engine</x:v>
      </x:c>
      <x:c r="E1226" t="str">
        <x:v>881ce17c23c94fd3fe6a98ab479c58227f84738c</x:v>
      </x:c>
      <x:c r="F1226" t="str">
        <x:v>Evidence-only regression verified authenticated destinations, invitation/auth next paths, protected routes, RFQ protected-route behavior and shell navigation boundaries after adoption.</x:v>
      </x:c>
      <x:c r="G1226" t="str">
        <x:v>No files changed. Focused route/navigation/auth regression tests 101 PASS; lint/build/diff-check PASS.</x:v>
      </x:c>
      <x:c r="H1226" t="str">
        <x:v>PASS / 13D-09 CLOSED</x:v>
      </x:c>
      <x:c r="I1226" t="str">
        <x:v>No auth bypass, public/authenticated boundary regression, legacy/duplicate route reintroduction, Corporate route impact, or route/navigation regression found.</x:v>
      </x:c>
      <x:c r="J1226" t="str">
        <x:v>Next executable canonical task: Phase 13D / 13D-10 — Workspace Shell sign-off.</x:v>
      </x:c>
    </x:row>
    <x:row r="1227">
      <x:c r="A1227" t="n">
        <x:v>46296</x:v>
      </x:c>
      <x:c r="B1227" t="str">
        <x:v>Phase 13D / 13D-10</x:v>
      </x:c>
      <x:c r="C1227" t="str">
        <x:v>13D-10 Workspace Shell Sign-off Passed</x:v>
      </x:c>
      <x:c r="D1227" t="str">
        <x:v>executive-benchmark-engine</x:v>
      </x:c>
      <x:c r="E1227" t="str">
        <x:v>d67b4030d011a4aa62016cad11d6e60bc975643e</x:v>
      </x:c>
      <x:c r="F1227" t="str">
        <x:v>Read-only sign-off confirmed the shared authenticated shell is stable, non-duplicative, responsive, accessible, route-safe and suitable as the baseline for downstream page migration.</x:v>
      </x:c>
      <x:c r="G1227" t="str">
        <x:v>No files changed. 13D-01 through 13D-03 and 13D-06 through 13D-10 are PASS/CLOSED. 13D-04 and 13D-05 remain explicitly open/blocked.</x:v>
      </x:c>
      <x:c r="H1227" t="str">
        <x:v>PASS / 13D-10 CLOSED / SHARED SHELL SIGNED OFF</x:v>
      </x:c>
      <x:c r="I1227" t="str">
        <x:v>13D-04 does not block sign-off because the missing Ask Nexus destination is not an unfinished shared-shell contract. 13D-05 does not block sign-off because it is an RFQ workflow presentation gap, not a shared-shell contract defect. No known shell-level defect or reopening requirement remains.</x:v>
      </x:c>
      <x:c r="J1227" t="str">
        <x:v>Proceed to Phase 13E / 13E-01 — Create reusable Nexus Completion Moment; retain 13D-04 and 13D-05 as open blockers until their explicit unblock criteria are satisfied.</x:v>
      </x:c>
    </x:row>
    <x:row r="1228">
      <x:c r="A1228" t="n">
        <x:v>46296</x:v>
      </x:c>
      <x:c r="B1228" t="str">
        <x:v>Phase 13E / 13E-01</x:v>
      </x:c>
      <x:c r="C1228" t="str">
        <x:v>13E-01 Reusable Completion Moment Published</x:v>
      </x:c>
      <x:c r="D1228" t="str">
        <x:v>executive-benchmark-engine</x:v>
      </x:c>
      <x:c r="E1228" t="str">
        <x:v>f1e9c57aed1ee38a94ed13746faa0605b0308c30</x:v>
      </x:c>
      <x:c r="F1228" t="str">
        <x:v>Created one reusable presentation-only ExecutiveCompletionMoment because no existing component covered the full Action → Processing → Confirmation → State Change → Next-Best-Action pattern.</x:v>
      </x:c>
      <x:c r="G1228" t="str">
        <x:v>Exactly two files published: src/components/executive/executive-completion-moment.tsx and its focused test. Processing/confirmed states, state-change summary, optional detail, next action and secondary action are caller-driven. Focused tests 2 PASS; lint/build/diff-check PASS.</x:v>
      </x:c>
      <x:c r="H1228" t="str">
        <x:v>PASS / 13E-01 CLOSED / PUBLISHED</x:v>
      </x:c>
      <x:c r="I1228" t="str">
        <x:v>No business logic, API/async ownership, auto-navigation, route/auth changes, RFQ-specific logic, Workspace Membership logic, existing workflow migration or Corporate change.</x:v>
      </x:c>
      <x:c r="J1228" t="str">
        <x:v>Next executable canonical task: Phase 13E / 13E-02 — Implement RFQ created completion moment.</x:v>
      </x:c>
    </x:row>
    <x:row r="1229">
      <x:c r="A1229" t="n">
        <x:v>46296</x:v>
      </x:c>
      <x:c r="B1229" t="str">
        <x:v>Phase 13E / 13E-02</x:v>
      </x:c>
      <x:c r="C1229" t="str">
        <x:v>13E-02 RFQ Created Completion Moment Blocked</x:v>
      </x:c>
      <x:c r="D1229" t="str">
        <x:v>executive-benchmark-engine</x:v>
      </x:c>
      <x:c r="E1229" t="str">
        <x:v>9920cda91534f0c953d08f9835d4e112cec0b42c</x:v>
      </x:c>
      <x:c r="F1229" t="str">
        <x:v>Read-only review found no stable RFQ-creation success surface. Successful creation waits about two seconds and then always navigates to /rfq/{slug}.</x:v>
      </x:c>
      <x:c r="G1229" t="str">
        <x:v>No files changed; implementation stopped before tests/lint/build because mounting ExecutiveCompletionMoment would require changing existing navigation semantics.</x:v>
      </x:c>
      <x:c r="H1229" t="str">
        <x:v>BLOCKED / 13E-02 OPEN</x:v>
      </x:c>
      <x:c r="I1229" t="str">
        <x:v>No RFQ creation payload/schema, validation/submit, identity/slug, deadline/sourcing, auth, supplier invitation, quotation/evaluation/award or Workspace Membership behavior changed. No new route, auto-publish or navigation change introduced.</x:v>
      </x:c>
      <x:c r="J1229" t="str">
        <x:v>Continue with dependency-independent 13E-03; return to 13E-02 only after an approved stable success state exists or the navigation contract is explicitly changed.</x:v>
      </x:c>
    </x:row>
    <x:row r="1230">
      <x:c r="A1230" t="n">
        <x:v>46296</x:v>
      </x:c>
      <x:c r="B1230" t="str">
        <x:v>Phase 13E / 13E-03</x:v>
      </x:c>
      <x:c r="C1230" t="str">
        <x:v>13E-03 RFQ Published Completion Moment Blocked</x:v>
      </x:c>
      <x:c r="D1230" t="str">
        <x:v>executive-benchmark-engine</x:v>
      </x:c>
      <x:c r="E1230" t="str">
        <x:v>dd7272e2c986d591fe7943397665104e3a185f89</x:v>
      </x:c>
      <x:c r="F1230" t="str">
        <x:v>Read-only review found no stable RFQ post-publish success surface. The publish wizard sets success and always navigates to /rfq/{slug} after about two seconds; the transient overlay lacks truthful invited-count data and a separate existing next engagement action.</x:v>
      </x:c>
      <x:c r="G1230" t="str">
        <x:v>No files changed; implementation stopped before tests/lint/build because mounting ExecutiveCompletionMoment would require changing current navigation/state semantics or inventing unavailable context.</x:v>
      </x:c>
      <x:c r="H1230" t="str">
        <x:v>BLOCKED / 13E-03 OPEN</x:v>
      </x:c>
      <x:c r="I1230" t="str">
        <x:v>No publish status-transition, payload, supplier invitation, deadline/commercial-lock, auth, Workspace Membership, quotation/evaluation/award, route/action or data-source behavior changed.</x:v>
      </x:c>
      <x:c r="J1230" t="str">
        <x:v>Continue with dependency-independent 13E-04; return to 13E-03 only when a stable post-publish success state and truthful supporting sources exist or the navigation/state contract is explicitly changed.</x:v>
      </x:c>
    </x:row>
    <x:row r="1231">
      <x:c r="A1231" t="n">
        <x:v>46296</x:v>
      </x:c>
      <x:c r="B1231" t="str">
        <x:v>Phase 13E / 13E-04</x:v>
      </x:c>
      <x:c r="C1231" t="str">
        <x:v>13E-04 Invitation Delivery Feedback Verified</x:v>
      </x:c>
      <x:c r="D1231" t="str">
        <x:v>executive-benchmark-engine</x:v>
      </x:c>
      <x:c r="E1231" t="str">
        <x:v>508f25555495881739d36070bf9bd9bfe93fb9db</x:v>
      </x:c>
      <x:c r="F1231" t="str">
        <x:v>Evidence-only verification confirmed the existing RFQ Procurement Invitation delivery-result surface already truthfully represents sent, skipped and failed outcomes and preserves retry behavior.</x:v>
      </x:c>
      <x:c r="G1231" t="str">
        <x:v>No files changed. Focused RFQ invitation feedback tests 13 PASS; lint/build/diff-check PASS.</x:v>
      </x:c>
      <x:c r="H1231" t="str">
        <x:v>PASS / 13E-04 CLOSED</x:v>
      </x:c>
      <x:c r="I1231" t="str">
        <x:v>No send, recipient-selection, deduplication/skipping, email delivery, retry eligibility, auth, RFQ lifecycle/deadline, route/navigation or Workspace Membership Invitation behavior changed. No auto-retry added; accessibility/live-region and reduced-motion behavior preserved.</x:v>
      </x:c>
      <x:c r="J1231" t="str">
        <x:v>Next executable canonical task: Phase 13E / 13E-05 — Implement RFI submitted completion moment.</x:v>
      </x:c>
    </x:row>
    <x:row r="1232">
      <x:c r="A1232" t="n">
        <x:v>46296</x:v>
      </x:c>
      <x:c r="B1232" t="str">
        <x:v>Phase 13E / 13E-05</x:v>
      </x:c>
      <x:c r="C1232" t="str">
        <x:v>13E-05 RFI Submission Completion Moment Published</x:v>
      </x:c>
      <x:c r="D1232" t="str">
        <x:v>executive-benchmark-engine</x:v>
      </x:c>
      <x:c r="E1232" t="str">
        <x:v>696c0f917a820bd0bf7b69d533ab258a7e24143f</x:v>
      </x:c>
      <x:c r="F1232" t="str">
        <x:v>Published the RFI submitted completion moment by reusing ExecutiveCompletionMoment on the existing stable RFI submission success state.</x:v>
      </x:c>
      <x:c r="G1232" t="str">
        <x:v>Exactly two files changed: src/components/rfq-workspace/rfq-rfi-workspace.tsx and src/components/rfq-workspace/rfq-rfi-submission.test.ts. Focused tests 49 PASS; lint/build/diff-check PASS; pre-commit boundary review CLEAN-SCOPE.</x:v>
      </x:c>
      <x:c r="H1232" t="str">
        <x:v>PASS / 13E-05 CLOSED / PUBLISHED</x:v>
      </x:c>
      <x:c r="I1232" t="str">
        <x:v>Remote verification confirmed branch HEAD and parent b1358379cdd844d1b16ca01521075cc3ef1ce4e8. Submit/API behavior, returned-record timestamp/status sourcing, routes, auto-navigation, payload/schema, RFQ lifecycle, quotation/proposal, deadline/commercial-lock, auth, Workspace Membership and Corporate scope remained unchanged; no next action was invented.</x:v>
      </x:c>
      <x:c r="J1232" t="str">
        <x:v>Next executable canonical task: Phase 13E / 13E-06 — Implement clarification/addendum published feedback.</x:v>
      </x:c>
    </x:row>
    <x:row r="1233">
      <x:c r="A1233" t="n">
        <x:v>46296</x:v>
      </x:c>
      <x:c r="B1233" t="str">
        <x:v>Phase 13E / 13E-06</x:v>
      </x:c>
      <x:c r="C1233" t="str">
        <x:v>13E-06 Addendum Publication Completion Feedback Published</x:v>
      </x:c>
      <x:c r="D1233" t="str">
        <x:v>executive-benchmark-engine</x:v>
      </x:c>
      <x:c r="E1233" t="str">
        <x:v>8179c3939f2be8559f888142396a272d8fa03f19</x:v>
      </x:c>
      <x:c r="F1233" t="str">
        <x:v>Published issuer-side Addendum completion feedback by reusing ExecutiveCompletionMoment on the existing stable publication success state and presenting acknowledgement implications plus returned notification delivery outcomes.</x:v>
      </x:c>
      <x:c r="G1233" t="str">
        <x:v>Exactly two isolated files published: src/components/rfq-addenda-manager.tsx and src/components/rfq-workspace/rfq-addenda-manager.test.ts. Focused tests 6 PASS; lint/build/diff-check PASS. Temporary-index isolation test also PASS.</x:v>
      </x:c>
      <x:c r="H1233" t="str">
        <x:v>PASS / 13E-06 CLOSED / PUBLISHED</x:v>
      </x:c>
      <x:c r="I1233" t="str">
        <x:v>Remote verification confirmed parent 43db5aa9a77546f805085e25cf68f56fde562781 and no unrelated hunks. Existing Addendum POST/payload, acknowledgement execution, API/schema/RPC/RLS, RFQ lifecycle, deadline/commercial-lock, authorization, Workspace Membership, routes and Corporate scope remained unchanged. Publication success is kept distinct from notification delivery outcome; no unsupported audience or acknowledgement claims were introduced.</x:v>
      </x:c>
      <x:c r="J1233" t="str">
        <x:v>Next executable canonical task: Phase 13E / 13E-07 — Implement quote/proposal submitted completion moment.</x:v>
      </x:c>
    </x:row>
    <x:row r="1234">
      <x:c r="A1234" t="n">
        <x:v>46296</x:v>
      </x:c>
      <x:c r="B1234" t="str">
        <x:v>Phase 13E / 13E-07</x:v>
      </x:c>
      <x:c r="C1234" t="str">
        <x:v>13E-07 Quote Submission Completion Moment Blocked</x:v>
      </x:c>
      <x:c r="D1234" t="str">
        <x:v>executive-benchmark-engine</x:v>
      </x:c>
      <x:c r="E1234" t="str">
        <x:v>777656999c0138dcd5b02a3d2d80709e44d1e049</x:v>
      </x:c>
      <x:c r="F1234" t="str">
        <x:v>Read-only inspection of the canonical respondent quote submission workspace found no stable post-submit success surface. Successful new submission, revised resubmission and reconfirmation immediately navigate back to the RFQ workspace.</x:v>
      </x:c>
      <x:c r="G1234" t="str">
        <x:v>No source files changed. The POST response already returns the persisted Quote plus redirect/email data, and PATCH revalidation returns quote/revalidation identity and created_at, but the current submit surface immediately router.pushes and refreshes after success.</x:v>
      </x:c>
      <x:c r="H1234" t="str">
        <x:v>BLOCKED / 13E-07 OPEN</x:v>
      </x:c>
      <x:c r="I1234" t="str">
        <x:v>No quote mutation, revalidation, authorization, deadline/addenda acknowledgement, confidentiality, duplicate-submission, payload/schema, route or Workspace Membership behavior changed. Implementing the requested completion moment would require an explicit navigation/state contract change.</x:v>
      </x:c>
      <x:c r="J1234" t="str">
        <x:v>Continue with dependency-independent 13E-08. Return to 13E-07 only after an approved stable post-submission success state exists or the navigation contract is explicitly changed.</x:v>
      </x:c>
    </x:row>
    <x:row r="1235">
      <x:c r="A1235" t="n">
        <x:v>46296</x:v>
      </x:c>
      <x:c r="B1235" t="str">
        <x:v>Phase 13E / 13E-08</x:v>
      </x:c>
      <x:c r="C1235" t="str">
        <x:v>13E-08 Award Completion Feedback Blocked</x:v>
      </x:c>
      <x:c r="D1235" t="str">
        <x:v>executive-benchmark-engine</x:v>
      </x:c>
      <x:c r="E1235" t="str">
        <x:v>0963d89958730d96ead64406f4cea3da0e754e28</x:v>
      </x:c>
      <x:c r="F1235" t="str">
        <x:v>Read-only inspection found no stable post-award success surface. AwardContractButton closes the dialog and immediately navigates to the returned RFQ destination after a successful award.</x:v>
      </x:c>
      <x:c r="G1235" t="str">
        <x:v>No source files changed. POST /api/award-contract already returns awardedQuote, RFQ, redirectTo, independent Buyer/Supplier email outcomes and warnings, but the award control surface immediately router.pushes and refreshes after success.</x:v>
      </x:c>
      <x:c r="H1235" t="str">
        <x:v>BLOCKED / 13E-08 OPEN</x:v>
      </x:c>
      <x:c r="I1235" t="str">
        <x:v>No award RPC/API, authorization, deadline/commercial-opening governance, notification delivery, audit-warning, RFQ/Quote state, route or Workspace Membership behavior changed. Implementing the requested completion moment would require an explicit post-award navigation/state contract change.</x:v>
      </x:c>
      <x:c r="J1235" t="str">
        <x:v>Continue with dependency-independent 13E-09. Return to 13E-08 only after an approved stable post-award success state exists or the navigation contract is explicitly changed.</x:v>
      </x:c>
    </x:row>
    <x:row r="1236">
      <x:c r="A1236" t="n">
        <x:v>46296</x:v>
      </x:c>
      <x:c r="B1236" t="str">
        <x:v>Phase 13E / 13E-09</x:v>
      </x:c>
      <x:c r="C1236" t="str">
        <x:v>13E-09 Processing-State Pattern Verified</x:v>
      </x:c>
      <x:c r="D1236" t="str">
        <x:v>executive-benchmark-engine</x:v>
      </x:c>
      <x:c r="E1236" t="str">
        <x:v>d992098031a6468c90ec6babe6276b9b69985249</x:v>
      </x:c>
      <x:c r="F1236" t="str">
        <x:v>Evidence-only verification confirmed the existing ExecutiveCompletionMoment processing state already satisfies the reusable processing-state requirement.</x:v>
      </x:c>
      <x:c r="G1236" t="str">
        <x:v>No source files changed. Existing component/test contract provides processing state, optional truthful progress through ExecutiveProgress, aria-busy/live-region semantics, shared motion/reduced-motion behavior, and no timer/async/navigation ownership.</x:v>
      </x:c>
      <x:c r="H1236" t="str">
        <x:v>PASS / 13E-09 CLOSED / EVIDENCE-ONLY</x:v>
      </x:c>
      <x:c r="I1236" t="str">
        <x:v>No duplicate component, fake stage, fake delay, setTimeout, API ownership, navigation behavior, business logic, authorization or domain behavior introduced.</x:v>
      </x:c>
      <x:c r="J1236" t="str">
        <x:v>Next executable canonical task: Phase 13E / 13E-10 — Standardize success animation.</x:v>
      </x:c>
    </x:row>
    <x:row r="1237">
      <x:c r="A1237" t="n">
        <x:v>46296</x:v>
      </x:c>
      <x:c r="B1237" t="str">
        <x:v>Phase 13E / 13E-10</x:v>
      </x:c>
      <x:c r="C1237" t="str">
        <x:v>13E-10 Executive Attention Motion Pattern Published</x:v>
      </x:c>
      <x:c r="D1237" t="str">
        <x:v>executive-benchmark-engine</x:v>
      </x:c>
      <x:c r="E1237" t="str">
        <x:v>786e7e3cdeb36e120b91624a78da6f6866a677e3</x:v>
      </x:c>
      <x:c r="F1237" t="str">
        <x:v>Published one shared one-shot attention/highlight motion contract for newly surfaced high-value risk/change without creating a new React component.</x:v>
      </x:c>
      <x:c r="G1237" t="str">
        <x:v>Exactly three files changed: executive-contract.ts, globals.css, and executive-contract.test.ts. Focused tests 34 PASS; lint/build/diff-check PASS; boundary review CLEAN-SCOPE.</x:v>
      </x:c>
      <x:c r="H1237" t="str">
        <x:v>PASS / 13E-10 CLOSED / PUBLISHED</x:v>
      </x:c>
      <x:c r="I1237" t="str">
        <x:v>Pattern uses existing context/milestone durations, standard easing and semantic warning/gold/cyan colors; runs once; returns to static state; global reduced-motion disables animation. No product-page integration, infinite animation, scale/bounce/confetti, token-value changes or business behavior changes.</x:v>
      </x:c>
      <x:c r="J1237" t="str">
        <x:v>Next executable canonical task: Phase 13E / 13E-11 — Standardize error/recovery motion.</x:v>
      </x:c>
    </x:row>
    <x:row r="1238">
      <x:c r="A1238" t="n">
        <x:v>46296</x:v>
      </x:c>
      <x:c r="B1238" t="str">
        <x:v>Phase 13E / 13E-11</x:v>
      </x:c>
      <x:c r="C1238" t="str">
        <x:v>13E-11 Executive Error Recovery Pattern Published</x:v>
      </x:c>
      <x:c r="D1238" t="str">
        <x:v>executive-benchmark-engine</x:v>
      </x:c>
      <x:c r="E1238" t="str">
        <x:v>fb37b1af5a4866327d444be6e9bab9364448dd42</x:v>
      </x:c>
      <x:c r="F1238" t="str">
        <x:v>Published one reusable ExecutiveErrorRecovery primitive plus a shared one-shot error highlight for actionable recovery states.</x:v>
      </x:c>
      <x:c r="G1238" t="str">
        <x:v>Exactly four files changed: executive-error-recovery.tsx, its focused test, executive-contract.ts, and globals.css. Focused tests 5 PASS; lint/build/diff-check PASS; boundary review CLEAN-SCOPE.</x:v>
      </x:c>
      <x:c r="H1238" t="str">
        <x:v>PASS / 13E-11 CLOSED / PUBLISHED</x:v>
      </x:c>
      <x:c r="I1238" t="str">
        <x:v>Existing executive error contracts and motion tokens are reused. Focus moves only to a caller-supplied target; no API/router/business logic/timers are owned. Highlight runs once, returns to static state, and global reduced-motion disables it. No product-page integration or token-value changes.</x:v>
      </x:c>
      <x:c r="J1238" t="str">
        <x:v>Next executable canonical task: Phase 13E / 13E-12 — Set animation performance budget.</x:v>
      </x:c>
    </x:row>
    <x:row r="1239">
      <x:c r="A1239" t="n">
        <x:v>46296</x:v>
      </x:c>
      <x:c r="B1239" t="str">
        <x:v>Phase 13E / 13E-12</x:v>
      </x:c>
      <x:c r="C1239" t="str">
        <x:v>13E-12 Executive Motion Performance Budget Published</x:v>
      </x:c>
      <x:c r="D1239" t="str">
        <x:v>executive-benchmark-engine</x:v>
      </x:c>
      <x:c r="E1239" t="str">
        <x:v>4afa4545e4f9cee1697d584311e6e6ceb6b8f21a</x:v>
      </x:c>
      <x:c r="F1239" t="str">
        <x:v>Published the core executive motion performance budget and refactored attention/error-recovery effects to non-interactive opacity-only overlays.</x:v>
      </x:c>
      <x:c r="G1239" t="str">
        <x:v>Exactly four files changed: globals.css, executive-contract.ts, executive-contract.test.ts, and executive-error-recovery.test.ts. Focused tests 39 PASS; lint/build/diff-check PASS; boundary review CLEAN-SCOPE.</x:v>
      </x:c>
      <x:c r="H1239" t="str">
        <x:v>PASS / 13E-12 CLOSED / PUBLISHED</x:v>
      </x:c>
      <x:c r="I1239" t="str">
        <x:v>Core motion contract is opacity/transform-first; overlays use pointer-events:none; attention/recovery remain one-shot and avoid animated background-color, box-shadow and layout properties. Existing motion token values and reduced-motion policy remain unchanged. No runtime instrumentation or product-page integration.</x:v>
      </x:c>
      <x:c r="J1239" t="str">
        <x:v>Next executable canonical task: Phase 13E / 13E-13 — Reduced-motion QA for all milestone/attention patterns.</x:v>
      </x:c>
    </x:row>
    <x:row r="1240">
      <x:c r="A1240" t="n">
        <x:v>46296</x:v>
      </x:c>
      <x:c r="B1240" t="str">
        <x:v>Phase 13E / 13E-13</x:v>
      </x:c>
      <x:c r="C1240" t="str">
        <x:v>13E-13 Reduced-Motion QA Published</x:v>
      </x:c>
      <x:c r="D1240" t="str">
        <x:v>executive-benchmark-engine</x:v>
      </x:c>
      <x:c r="E1240" t="str">
        <x:v>15a6f528cad2fcacf3f0d37745ce76956f469893</x:v>
      </x:c>
      <x:c r="F1240" t="str">
        <x:v>Published the reduced-motion fallback and QA contract for milestone, attention and error/recovery feedback.</x:v>
      </x:c>
      <x:c r="G1240" t="str">
        <x:v>Exactly four files changed: globals.css plus the design-system, error-recovery and completion-moment focused tests. Focused tests 42 PASS; lint/build/diff-check PASS; boundary review CLEAN-SCOPE.</x:v>
      </x:c>
      <x:c r="H1240" t="str">
        <x:v>PASS / 13E-13 CLOSED / PUBLISHED</x:v>
      </x:c>
      <x:c r="I1240" t="str">
        <x:v>Attention/Error Recovery retain visible static overlays under prefers-reduced-motion while global animation remains disabled; Completion Moment remains semantically complete without motion. Normal motion/token values unchanged; no runtime detection or product integration. Phase 13E remains BLOCKED, not Complete, because 13E-02/03/07/08 remain open.</x:v>
      </x:c>
      <x:c r="J1240" t="str">
        <x:v>Next executable canonical task: Phase 13F / 13F-01 — Define five-level guidance model.</x:v>
      </x:c>
    </x:row>
    <x:row r="1241">
      <x:c r="A1241" t="n">
        <x:v>46296</x:v>
      </x:c>
      <x:c r="B1241" t="str">
        <x:v>Phase 13F / 13F-01</x:v>
      </x:c>
      <x:c r="C1241" t="str">
        <x:v>13F-01 Five-Level Executive Guidance Model Published</x:v>
      </x:c>
      <x:c r="D1241" t="str">
        <x:v>executive-benchmark-engine</x:v>
      </x:c>
      <x:c r="E1241" t="str">
        <x:v>2e653196cbcf1dc73938f0c2f955c924264cb751</x:v>
      </x:c>
      <x:c r="F1241" t="str">
        <x:v>Published the domain-neutral executive guidance taxonomy with five canonical levels from silent intelligence through user-requested interactive guidance.</x:v>
      </x:c>
      <x:c r="G1241" t="str">
        <x:v>Exactly two files changed: executive-guidance-model.ts and executive-guidance-model.test.ts. Focused tests 5 PASS; lint/build/diff-check PASS; boundary review CLEAN-SCOPE.</x:v>
      </x:c>
      <x:c r="H1241" t="str">
        <x:v>PASS / 13F-01 CLOSED / PUBLISHED</x:v>
      </x:c>
      <x:c r="I1241" t="str">
        <x:v>No RFQ/procurement-specific logic, UI component creation, eligibility/frequency/memory implementation, routes, API/database/auth changes, Ask Nexus implementation or product integration. All levels remain non-blocking and non-consequential; L4 is explicitly user-requested.</x:v>
      </x:c>
      <x:c r="J1241" t="str">
        <x:v>Next executable canonical task: Phase 13F / 13F-02 — Implement guidance eligibility rules.</x:v>
      </x:c>
    </x:row>
    <x:row r="1242">
      <x:c r="A1242" t="n">
        <x:v>46296</x:v>
      </x:c>
      <x:c r="B1242" t="str">
        <x:v>Phase 13F / 13F-02</x:v>
      </x:c>
      <x:c r="C1242" t="str">
        <x:v>13F-02 Executive Guidance Eligibility Rules Published</x:v>
      </x:c>
      <x:c r="D1242" t="str">
        <x:v>executive-benchmark-engine</x:v>
      </x:c>
      <x:c r="E1242" t="str">
        <x:v>f8b53f587c14e2049e1c6ea52db10c0ac6d179d8</x:v>
      </x:c>
      <x:c r="F1242" t="str">
        <x:v>Published the domain-neutral eligibility contract for the five canonical guidance contexts.</x:v>
      </x:c>
      <x:c r="G1242" t="str">
        <x:v>Exactly two files changed: executive-guidance-eligibility.ts and executive-guidance-eligibility.test.ts. Focused tests 5 PASS; lint/build/diff-check PASS; boundary review CLEAN-SCOPE.</x:v>
      </x:c>
      <x:c r="H1242" t="str">
        <x:v>PASS / 13F-02 CLOSED / PUBLISHED</x:v>
      </x:c>
      <x:c r="I1242" t="str">
        <x:v>FIRST_TIME/CHANGE/RISK/INCOMPLETE are eligible proactive contexts; REQUESTED is eligible but explicitly user-requested and non-proactive; unknown/empty values are rejected. No frequency/memory/persistence/UI/API/database/auth or product integration was introduced.</x:v>
      </x:c>
      <x:c r="J1242" t="str">
        <x:v>Next executable canonical task: Phase 13F / 13F-03 — Implement guidance frequency controls.</x:v>
      </x:c>
    </x:row>
    <x:row r="1243">
      <x:c r="A1243" t="n">
        <x:v>46296</x:v>
      </x:c>
      <x:c r="B1243" t="str">
        <x:v>Phase 13F / 13F-03</x:v>
      </x:c>
      <x:c r="C1243" t="str">
        <x:v>13F-03 Executive Guidance Frequency Controls Published</x:v>
      </x:c>
      <x:c r="D1243" t="str">
        <x:v>executive-benchmark-engine</x:v>
      </x:c>
      <x:c r="E1243" t="str">
        <x:v>b94f88cf7c1d713310ed582b6f048beaa0839362</x:v>
      </x:c>
      <x:c r="F1243" t="str">
        <x:v>Published the pure domain-neutral page-load frequency contract for contextual guidance.</x:v>
      </x:c>
      <x:c r="G1243" t="str">
        <x:v>Exactly two files changed: executive-guidance-frequency.ts and executive-guidance-frequency.test.ts. Focused tests 7 PASS; lint/build/diff-check PASS; boundary review CLEAN-SCOPE.</x:v>
      </x:c>
      <x:c r="H1243" t="str">
        <x:v>PASS / 13F-03 CLOSED / PUBLISHED</x:v>
      </x:c>
      <x:c r="I1243" t="str">
        <x:v>One proactive guidance item per page load is enforced; REQUESTED is quota-independent; dismissed/completed anchored coachmarks are blocked from caller state. Unknown/ineligible contexts are blocked. No persistent memory/browser storage/database/runtime ownership was introduced.</x:v>
      </x:c>
      <x:c r="J1243" t="str">
        <x:v>Next executable canonical task: Phase 13F / 13F-04 — Implement seen/dismissed/snoozed guidance memory.</x:v>
      </x:c>
    </x:row>
    <x:row r="1244">
      <x:c r="A1244" t="n">
        <x:v>46296</x:v>
      </x:c>
      <x:c r="B1244" t="str">
        <x:v>Phase 13F / 13F-04</x:v>
      </x:c>
      <x:c r="C1244" t="str">
        <x:v>13F-04 Executive Guidance Memory Contract Published</x:v>
      </x:c>
      <x:c r="D1244" t="str">
        <x:v>executive-benchmark-engine</x:v>
      </x:c>
      <x:c r="E1244" t="str">
        <x:v>61e8f84005b4884d96b18a00df476038ea6dead7</x:v>
      </x:c>
      <x:c r="F1244" t="str">
        <x:v>Published the pure caller-owned memory-state contract for seen/dismissed/snoozed/completed guidance behavior.</x:v>
      </x:c>
      <x:c r="G1244" t="str">
        <x:v>Exactly two files changed: executive-guidance-memory.ts and executive-guidance-memory.test.ts. Focused tests 6 PASS; lint/build/diff-check PASS; boundary review CLEAN-SCOPE.</x:v>
      </x:c>
      <x:c r="H1244" t="str">
        <x:v>PASS / 13F-04 CLOSED / PUBLISHED</x:v>
      </x:c>
      <x:c r="I1244" t="str">
        <x:v>Five canonical memory states are defined. Seen remains reconsiderable; dismissed/completed suppress repeats; active snooze suppresses only until caller-provided snoozedUntil. Remind Me Later maps to snoozed. No storage backend, database persistence, hidden clock, React/UI/API/auth or product integration was introduced.</x:v>
      </x:c>
      <x:c r="J1244" t="str">
        <x:v>Next executable canonical task: Phase 13F / 13F-05 — Create inline hint component.</x:v>
      </x:c>
    </x:row>
    <x:row r="1245">
      <x:c r="A1245" t="n">
        <x:v>46296</x:v>
      </x:c>
      <x:c r="B1245" t="str">
        <x:v>Phase 13F / 13F-05</x:v>
      </x:c>
      <x:c r="C1245" t="str">
        <x:v>13F-05 Executive Inline Hint Component Published</x:v>
      </x:c>
      <x:c r="D1245" t="str">
        <x:v>executive-benchmark-engine</x:v>
      </x:c>
      <x:c r="E1245" t="str">
        <x:v>d1793c8253449ad4d71aedf6908e44daf057461c</x:v>
      </x:c>
      <x:c r="F1245" t="str">
        <x:v>Published the reusable L1 ExecutiveInlineHint presentation primitive for compact contextual explanations.</x:v>
      </x:c>
      <x:c r="G1245" t="str">
        <x:v>Exactly two files changed: executive-inline-hint.tsx and executive-inline-hint.test.ts. Focused tests 5 PASS; lint/build/diff-check PASS; boundary review CLEAN-SCOPE.</x:v>
      </x:c>
      <x:c r="H1245" t="str">
        <x:v>PASS / 13F-05 CLOSED / PUBLISHED</x:v>
      </x:c>
      <x:c r="I1245" t="str">
        <x:v>Reuses EXECUTIVE_FORM_HELPER; supports caller-provided id for aria-describedby; responsive long-text wrapping; no interactive behavior, live regions, state/hooks, eligibility/frequency/memory logic, product integration or procurement-specific semantics.</x:v>
      </x:c>
      <x:c r="J1245" t="str">
        <x:v>Next executable canonical task: Phase 13F / 13F-06 — Create contextual guidance card.</x:v>
      </x:c>
    </x:row>
    <x:row r="1246">
      <x:c r="A1246" t="n">
        <x:v>46296</x:v>
      </x:c>
      <x:c r="B1246" t="str">
        <x:v>Phase 13F / 13F-06</x:v>
      </x:c>
      <x:c r="C1246" t="str">
        <x:v>13F-06 Executive Contextual Guidance Card Published</x:v>
      </x:c>
      <x:c r="D1246" t="str">
        <x:v>executive-benchmark-engine</x:v>
      </x:c>
      <x:c r="E1246" t="str">
        <x:v>f90844661a664a12354c2a239c6aec9c3ce2ab0e</x:v>
      </x:c>
      <x:c r="F1246" t="str">
        <x:v>Published the reusable L2 ExecutiveGuidanceCard for embedded needs-attention guidance with caller-owned Review/Dismiss actions.</x:v>
      </x:c>
      <x:c r="G1246" t="str">
        <x:v>Exactly two files changed: executive-guidance-card.tsx and executive-guidance-card.test.ts. Focused tests 6 PASS; lint/build/diff-check PASS; boundary review CLEAN-SCOPE.</x:v>
      </x:c>
      <x:c r="H1246" t="str">
        <x:v>PASS / 13F-06 CLOSED / PUBLISHED</x:v>
      </x:c>
      <x:c r="I1246" t="str">
        <x:v>Reuses ExecutivePanel and shared executive button contracts; actions are optional and caller-owned; embedded/non-modal/non-blocking; no state, persistence, eligibility/frequency/memory ownership, routing/API/database/auth, new design tokens or procurement-specific product integration.</x:v>
      </x:c>
      <x:c r="J1246" t="str">
        <x:v>Next executable canonical task: Phase 13F / 13F-07 — Create anchored first-use coachmark.</x:v>
      </x:c>
    </x:row>
    <x:row r="1247">
      <x:c r="A1247" t="n">
        <x:v>46296</x:v>
      </x:c>
      <x:c r="B1247" t="str">
        <x:v>Phase 13F / 13F-07</x:v>
      </x:c>
      <x:c r="C1247" t="str">
        <x:v>13F-07 Executive Anchored Coachmark Published</x:v>
      </x:c>
      <x:c r="D1247" t="str">
        <x:v>executive-benchmark-engine</x:v>
      </x:c>
      <x:c r="E1247" t="str">
        <x:v>397bbfcfaecaec1c34c19f3a1863b983ff55f75a</x:v>
      </x:c>
      <x:c r="F1247" t="str">
        <x:v>Published the reusable L3 ExecutiveCoachmark anchored to caller-provided real UI controls.</x:v>
      </x:c>
      <x:c r="G1247" t="str">
        <x:v>Exactly two files changed: executive-coachmark.tsx and executive-coachmark.test.ts. Focused tests 7 PASS; lint/build/diff-check PASS; boundary review CLEAN-SCOPE.</x:v>
      </x:c>
      <x:c r="H1247" t="str">
        <x:v>PASS / 13F-07 CLOSED / PUBLISHED</x:v>
      </x:c>
      <x:c r="I1247" t="str">
        <x:v>Reuses shared popover/motion and executive button contracts; preserves anchor behavior; caller controls open/replay/action/dismiss state; non-modal with no overlay/portal/focus trap. No persistence, Help system, guidance-state ownership, routing/API/auth or procurement-specific product integration.</x:v>
      </x:c>
      <x:c r="J1247" t="str">
        <x:v>Next executable canonical task: Phase 13F / 13F-08 — Create Nexus Guide side panel.</x:v>
      </x:c>
    </x:row>
    <x:row r="1248">
      <x:c r="A1248" t="n">
        <x:v>46296</x:v>
      </x:c>
      <x:c r="B1248" t="str">
        <x:v>Phase 13F / 13F-08</x:v>
      </x:c>
      <x:c r="C1248" t="str">
        <x:v>13F-08 Executive Nexus Guide Side Panel Published</x:v>
      </x:c>
      <x:c r="D1248" t="str">
        <x:v>executive-benchmark-engine</x:v>
      </x:c>
      <x:c r="E1248" t="str">
        <x:v>aa358c01d7f4869a5ae2e77cb00ea62bc85478b4</x:v>
      </x:c>
      <x:c r="F1248" t="str">
        <x:v>Published the reusable ExecutiveNexusGuide side panel using the shared executive drawer contracts.</x:v>
      </x:c>
      <x:c r="G1248" t="str">
        <x:v>Exactly two files changed: executive-nexus-guide.tsx and executive-nexus-guide.test.ts. Focused tests 6 PASS; lint/build/diff-check PASS; boundary review CLEAN-SCOPE.</x:v>
      </x:c>
      <x:c r="H1248" t="str">
        <x:v>PASS / 13F-08 CLOSED / PUBLISHED</x:v>
      </x:c>
      <x:c r="I1248" t="str">
        <x:v>Panel is caller-controlled and presentation-only; displays supplied workflow/readiness/attention/next-step context and optional actions, omits empty sections, and owns no AI/inference/data loading/guidance-state persistence/routing/API/auth or procurement-specific product behavior.</x:v>
      </x:c>
      <x:c r="J1248" t="str">
        <x:v>Next executable canonical task: Phase 13F / 13F-09 — Add RFI/clarification contextual guidance.</x:v>
      </x:c>
    </x:row>
    <x:row r="1249">
      <x:c r="A1249" t="n">
        <x:v>46296</x:v>
      </x:c>
      <x:c r="B1249" t="str">
        <x:v>Phase 13F / 13F-09</x:v>
      </x:c>
      <x:c r="C1249" t="str">
        <x:v>13F-09 RFI / Clarification Contextual Guidance Published</x:v>
      </x:c>
      <x:c r="D1249" t="str">
        <x:v>executive-benchmark-engine</x:v>
      </x:c>
      <x:c r="E1249" t="str">
        <x:v>0bc78e96f7dcbe425f27548f964f10e4e7c31477</x:v>
      </x:c>
      <x:c r="F1249" t="str">
        <x:v>Published truthful RFI contextual guidance using a pure resolver plus a single shared ExecutiveGuidanceCard integration in RFQRfiWorkspace.</x:v>
      </x:c>
      <x:c r="G1249" t="str">
        <x:v>Exactly four authorized files changed. Focused tests 9 PASS; lint/build/diff-check PASS; boundary review CLEAN-SCOPE.</x:v>
      </x:c>
      <x:c r="H1249" t="str">
        <x:v>PASS / 13F-09 CLOSED / PUBLISHED</x:v>
      </x:c>
      <x:c r="I1249" t="str">
        <x:v>Approaching deadline and owner/open-RFI guidance use existing state; ambiguity/Addendum impact require explicit caller signals. No text inference, AI analysis, RFI API behavior change, Addendum workflow change, database/auth/RLS change or confidentiality regression.</x:v>
      </x:c>
      <x:c r="J1249" t="str">
        <x:v>Next executable canonical task: Phase 13F / 13F-10 — Add proposal readiness contextual guidance.</x:v>
      </x:c>
    </x:row>
    <x:row r="1250">
      <x:c r="A1250" t="n">
        <x:v>46296</x:v>
      </x:c>
      <x:c r="B1250" t="str">
        <x:v>Phase 13F / 13F-10</x:v>
      </x:c>
      <x:c r="C1250" t="str">
        <x:v>13F-10 Quotation Readiness Contextual Guidance Published</x:v>
      </x:c>
      <x:c r="D1250" t="str">
        <x:v>executive-benchmark-engine</x:v>
      </x:c>
      <x:c r="E1250" t="str">
        <x:v>b553b9758ae99f802a96688ef34bf48af6efc130</x:v>
      </x:c>
      <x:c r="F1250" t="str">
        <x:v>Published truthful quotation readiness contextual guidance using a pure resolver plus one shared ExecutiveGuidanceCard integration in RfqSubmitWorkspace.</x:v>
      </x:c>
      <x:c r="G1250" t="str">
        <x:v>Exactly four authorized files changed. Focused tests 18 PASS; lint/build/diff-check PASS; boundary review CLEAN-SCOPE.</x:v>
      </x:c>
      <x:c r="H1250" t="str">
        <x:v>PASS / 13F-10 CLOSED / PUBLISHED</x:v>
      </x:c>
      <x:c r="I1250" t="str">
        <x:v>Outstanding Addendum acknowledgement is highest priority; missing amount/timeline/commercial-note evidence is combined into one item. Compliance/documents require explicit caller signals and are not inferred. Submit/reconfirm/resubmit/API/data/auth behavior remains unchanged.</x:v>
      </x:c>
      <x:c r="J1250" t="str">
        <x:v>Next executable canonical task: Phase 13F / 13F-11 — Add evaluation exception guidance.</x:v>
      </x:c>
    </x:row>
    <x:row r="1251">
      <x:c r="A1251" t="n">
        <x:v>46296</x:v>
      </x:c>
      <x:c r="B1251" t="str">
        <x:v>Phase 13F / 13F-11</x:v>
      </x:c>
      <x:c r="C1251" t="str">
        <x:v>13F-11 Evaluation Exception Guidance Published</x:v>
      </x:c>
      <x:c r="D1251" t="str">
        <x:v>executive-benchmark-engine</x:v>
      </x:c>
      <x:c r="E1251" t="str">
        <x:v>53911307de96669fd5091f92375b2015301536b4</x:v>
      </x:c>
      <x:c r="F1251" t="str">
        <x:v>Published evidence-backed evaluation exception guidance using a pure resolver plus one shared ExecutiveGuidanceCard integration in RfqQuoteComparison.</x:v>
      </x:c>
      <x:c r="G1251" t="str">
        <x:v>Exactly four authorized files changed. Focused tests 14 PASS; lint/build/diff-check PASS; boundary review CLEAN-SCOPE.</x:v>
      </x:c>
      <x:c r="H1251" t="str">
        <x:v>PASS / 13F-11 CLOSED / PUBLISHED</x:v>
      </x:c>
      <x:c r="I1251" t="str">
        <x:v>Material revalidation is highest priority; high-risk and highest-price evidence reuse existing comparison fields only. No new thresholds, data loading, lifecycle bypass, issuer authorization, scoring/ranking/recommendation or award behavior changes.</x:v>
      </x:c>
      <x:c r="J1251" t="str">
        <x:v>Next executable canonical task: Phase 13F / 13F-12 — Add attention guidance to Activity Center.</x:v>
      </x:c>
    </x:row>
    <x:row r="1252">
      <x:c r="A1252" t="n">
        <x:v>46296</x:v>
      </x:c>
      <x:c r="B1252" t="str">
        <x:v>Phase 13F / 13F-12</x:v>
      </x:c>
      <x:c r="C1252" t="str">
        <x:v>13F-12 Activity Center Attention Guidance Published</x:v>
      </x:c>
      <x:c r="D1252" t="str">
        <x:v>executive-benchmark-engine</x:v>
      </x:c>
      <x:c r="E1252" t="str">
        <x:v>9d2060830c903e6bb184197b3bae78571aa05b7b</x:v>
      </x:c>
      <x:c r="F1252" t="str">
        <x:v>Published concise Needs Attention guidance for supported Activity Center events with authorization-aware RFQ source navigation.</x:v>
      </x:c>
      <x:c r="G1252" t="str">
        <x:v>Exactly four authorized files changed. Focused tests 11 PASS; lint/build/diff-check PASS; boundary review CLEAN-SCOPE.</x:v>
      </x:c>
      <x:c r="H1252" t="str">
        <x:v>PASS / 13F-12 CLOSED / PUBLISHED</x:v>
      </x:c>
      <x:c r="I1252" t="str">
        <x:v>Guidance is event-type-based only; source links use existing resolveRfqSourceHref results. Priority ordering, Updates/History behavior, company scoping, source authorization and data access remain unchanged.</x:v>
      </x:c>
      <x:c r="J1252" t="str">
        <x:v>Next executable canonical task: Phase 13F / 13F-13 — Standardize guidance writing tone.</x:v>
      </x:c>
    </x:row>
    <x:row r="1253">
      <x:c r="A1253" t="n">
        <x:v>46296</x:v>
      </x:c>
      <x:c r="B1253" t="str">
        <x:v>Phase 13F / 13F-13</x:v>
      </x:c>
      <x:c r="C1253" t="str">
        <x:v>13F-13 Guidance Writing Tone Standardized</x:v>
      </x:c>
      <x:c r="D1253" t="str">
        <x:v>executive-benchmark-engine</x:v>
      </x:c>
      <x:c r="E1253" t="str">
        <x:v>9324616d59d52f4b614c8cc3712e1f4caa87caef</x:v>
      </x:c>
      <x:c r="F1253" t="str">
        <x:v>Standardized Phase 13F guidance copy across RFI, quotation readiness, evaluation exceptions and Activity attention.</x:v>
      </x:c>
      <x:c r="G1253" t="str">
        <x:v>Exactly eight authorized source/test files changed. Focused tests 27 PASS; lint/build/diff-check PASS; boundary review CLEAN-SCOPE.</x:v>
      </x:c>
      <x:c r="H1253" t="str">
        <x:v>PASS / 13F-13 CLOSED / PUBLISHED</x:v>
      </x:c>
      <x:c r="I1253" t="str">
        <x:v>Copy-only standardization: concise, professional, procurement-accurate, non-patronizing, action-oriented. Resolver logic/priorities, UI/product code, lifecycle/authorization, routing/API/data and guidance-state rules remain unchanged.</x:v>
      </x:c>
      <x:c r="J1253" t="str">
        <x:v>Next executable canonical task: Phase 13F / 13F-14 — Guidance annoyance review.</x:v>
      </x:c>
    </x:row>
    <x:row r="1254">
      <x:c r="A1254" t="n">
        <x:v>46296</x:v>
      </x:c>
      <x:c r="B1254" t="str">
        <x:v>Phase 13F / 13F-14</x:v>
      </x:c>
      <x:c r="C1254" t="str">
        <x:v>13F-14 Guidance Annoyance Review Blocked by QA Access</x:v>
      </x:c>
      <x:c r="D1254" t="str">
        <x:v>executive-benchmark-engine</x:v>
      </x:c>
      <x:c r="E1254" t="str">
        <x:v>81f73b3b47e242c27ec775e0a85a0f1534734683</x:v>
      </x:c>
      <x:c r="F1254" t="str">
        <x:v>Performed read-only guidance annoyance walkthrough. Quote Comparison verified PASS; remaining authenticated product surfaces could not be live-walked with the current local session.</x:v>
      </x:c>
      <x:c r="G1254" t="str">
        <x:v>No code changed. Quote Comparison evidence: one guidance card max, no award/winner implication, evidence remains primary, empty/low-risk states quiet, desktop/mobile responsive PASS.</x:v>
      </x:c>
      <x:c r="H1254" t="str">
        <x:v>BLOCKED / QA ACCESS EVIDENCE GAP / NO VERIFIED PRODUCT DEFECT</x:v>
      </x:c>
      <x:c r="I1254" t="str">
        <x:v>Private RFI, Quotation Submit/Revalidation, and Activity Center Needs Attention remain unverified because authenticated routes were unreachable. This is not evidence of guidance failure.</x:v>
      </x:c>
      <x:c r="J1254" t="str">
        <x:v>Establish authorized local QA session, then rerun only unverified 13F-14 surfaces and global annoyance checks. Preserve 13F-01 through 13F-13 PASS/CLOSED.</x:v>
      </x:c>
    </x:row>
    <x:row r="1255">
      <x:c r="A1255" t="n">
        <x:v>46296</x:v>
      </x:c>
      <x:c r="B1255" t="str">
        <x:v>Phase 13F / 13F-14</x:v>
      </x:c>
      <x:c r="C1255" t="str">
        <x:v>13F-14 Authenticated QA Partial Pass</x:v>
      </x:c>
      <x:c r="D1255" t="str">
        <x:v>executive-benchmark-engine</x:v>
      </x:c>
      <x:c r="E1255" t="str">
        <x:v>a3a181a447fe431ea4e43cd1657669f20867a244</x:v>
      </x:c>
      <x:c r="F1255" t="str">
        <x:v>Established authorized local owner session and resumed read-only guidance annoyance QA. Private RFI and Activity Center now verified PASS; prior Quote Comparison PASS retained.</x:v>
      </x:c>
      <x:c r="G1255" t="str">
        <x:v>No code/database/auth changes. RFQ and Activity Center auth prerequisites PASS. Global annoyance checks PASS with no verified P0/P1 guidance defect.</x:v>
      </x:c>
      <x:c r="H1255" t="str">
        <x:v>BLOCKED / ONE EVIDENCE GAP REMAINS</x:v>
      </x:c>
      <x:c r="I1255" t="str">
        <x:v>Quotation Submit/Revalidation is still UNVERIFIED. All other integrated 13F guidance surfaces now have PASS evidence.</x:v>
      </x:c>
      <x:c r="J1255" t="str">
        <x:v>Walk only Quotation Submit/Revalidation with existing authorized session/data. If all readiness-annoyance checks PASS, close 13F-14 and Phase 13F.</x:v>
      </x:c>
    </x:row>
    <x:row r="1256">
      <x:c r="A1256" t="n">
        <x:v>46296</x:v>
      </x:c>
      <x:c r="B1256" t="str">
        <x:v>Phase 13F / 13F-14</x:v>
      </x:c>
      <x:c r="C1256" t="str">
        <x:v>13F-14 Guidance Annoyance Review Completed</x:v>
      </x:c>
      <x:c r="D1256" t="str">
        <x:v>executive-benchmark-engine</x:v>
      </x:c>
      <x:c r="E1256" t="str">
        <x:v>e94e48429f8252cc0af7e72152788ae7d040dfd4</x:v>
      </x:c>
      <x:c r="F1256" t="str">
        <x:v>Completed the final respondent-side Quotation Submit/Revalidation annoyance QA using an existing authorized supplier session and existing Development evidence.</x:v>
      </x:c>
      <x:c r="G1256" t="str">
        <x:v>All 13F integrated guidance surfaces now have PASS evidence. No code/database/auth-data changes; no fixture/data mutation; no verified P0/P1 guidance defect.</x:v>
      </x:c>
      <x:c r="H1256" t="str">
        <x:v>PASS / 13F-14 CLOSED / PHASE 13F CLOSED</x:v>
      </x:c>
      <x:c r="I1256" t="str">
        <x:v>Outstanding Addendum readiness guidance and complete/quiet quotation states both PASS; responsive checks PASS; prior Quote Comparison, Private RFI, Activity Center and global annoyance PASS evidence retained.</x:v>
      </x:c>
      <x:c r="J1256" t="str">
        <x:v>Proceed to the next canonical Master Plan task after Phase 13F.</x:v>
      </x:c>
    </x:row>
    <x:row r="1257">
      <x:c r="A1257" t="n">
        <x:v>46296</x:v>
      </x:c>
      <x:c r="B1257" t="str">
        <x:v>Phase 13G / 13G-01</x:v>
      </x:c>
      <x:c r="C1257" t="str">
        <x:v>13G-01 Ask Nexus Trust Boundaries Published</x:v>
      </x:c>
      <x:c r="D1257" t="str">
        <x:v>executive-benchmark-engine</x:v>
      </x:c>
      <x:c r="E1257" t="str">
        <x:v>f0681a33374947f1fe0ff5063c8d248d0f905f9a</x:v>
      </x:c>
      <x:c r="F1257" t="str">
        <x:v>Published a pure domain-neutral Ask Nexus trust policy separating informational, navigation, advisory, and consequential-action interaction states.</x:v>
      </x:c>
      <x:c r="G1257" t="str">
        <x:v>Exactly two authorized files changed. Focused tests 14 PASS; lint/build/diff-check PASS; boundary review CLEAN-SCOPE.</x:v>
      </x:c>
      <x:c r="H1257" t="str">
        <x:v>PASS / 13G-01 CLOSED / PUBLISHED</x:v>
      </x:c>
      <x:c r="I1257" t="str">
        <x:v>No execution, route synthesis, AI permission inference, UI/API/data access, or duplicated business-domain authorization logic. Consequential action eligibility still requires execution-time authorization revalidation.</x:v>
      </x:c>
      <x:c r="J1257" t="str">
        <x:v>Next executable canonical task: Phase 13G / 13G-02 — Pass authorized page/workflow context to help.</x:v>
      </x:c>
    </x:row>
    <x:row r="1258">
      <x:c r="A1258" t="n">
        <x:v>46296</x:v>
      </x:c>
      <x:c r="B1258" t="str">
        <x:v>Phase 13G / 13G-02</x:v>
      </x:c>
      <x:c r="C1258" t="str">
        <x:v>13G-02 Ask Nexus Authorized Context Published</x:v>
      </x:c>
      <x:c r="D1258" t="str">
        <x:v>executive-benchmark-engine</x:v>
      </x:c>
      <x:c r="E1258" t="str">
        <x:v>81ce911695fa88340b142a044cbca7c9dfe0e898</x:v>
      </x:c>
      <x:c r="F1258" t="str">
        <x:v>Published a pure caller-authorized Ask Nexus page/workflow context contract with isolated company, project, RFQ and normalized fact context.</x:v>
      </x:c>
      <x:c r="G1258" t="str">
        <x:v>Exactly two authorized files changed. Focused tests 19 PASS; lint/build/diff-check PASS; boundary review CLEAN-SCOPE.</x:v>
      </x:c>
      <x:c r="H1258" t="str">
        <x:v>PASS / 13G-02 CLOSED / PUBLISHED</x:v>
      </x:c>
      <x:c r="I1258" t="str">
        <x:v>No hidden privilege elevation, route synthesis, role/procurement inference, broad repository dependency, permission fields, or data/API/database access.</x:v>
      </x:c>
      <x:c r="J1258" t="str">
        <x:v>Next executable canonical task: Phase 13G / 13G-03 — Add context-specific suggested questions.</x:v>
      </x:c>
    </x:row>
    <x:row r="1259">
      <x:c r="A1259" t="n">
        <x:v>46296</x:v>
      </x:c>
      <x:c r="B1259" t="str">
        <x:v>Phase 13G / 13G-03</x:v>
      </x:c>
      <x:c r="C1259" t="str">
        <x:v>13G-03 Ask Nexus Suggested Questions Published</x:v>
      </x:c>
      <x:c r="D1259" t="str">
        <x:v>executive-benchmark-engine</x:v>
      </x:c>
      <x:c r="E1259" t="str">
        <x:v>4305f500996a9849a08c654872e6503db675b730</x:v>
      </x:c>
      <x:c r="F1259" t="str">
        <x:v>Published deterministic context-specific Ask Nexus suggested questions derived only from the existing authorized context envelope.</x:v>
      </x:c>
      <x:c r="G1259" t="str">
        <x:v>Exactly two authorized files changed. Focused tests 16 PASS; lint/build/diff-check PASS; boundary review CLEAN-SCOPE.</x:v>
      </x:c>
      <x:c r="H1259" t="str">
        <x:v>PASS / 13G-03 CLOSED / PUBLISHED</x:v>
      </x:c>
      <x:c r="I1259" t="str">
        <x:v>Maximum four suggestions with stable ordering and RFQ/project/company specificity. No route synthesis, permission inference, fact-value parsing, AI/data access or consequential-action phrasing.</x:v>
      </x:c>
      <x:c r="J1259" t="str">
        <x:v>Next executable canonical task: Phase 13G / 13G-04 — Add Guide This Page mode.</x:v>
      </x:c>
    </x:row>
    <x:row r="1260">
      <x:c r="A1260" t="n">
        <x:v>46296</x:v>
      </x:c>
      <x:c r="B1260" t="str">
        <x:v>Phase 13G / 13G-04</x:v>
      </x:c>
      <x:c r="C1260" t="str">
        <x:v>13G-04 Guide This Page Replay Mode Published</x:v>
      </x:c>
      <x:c r="D1260" t="str">
        <x:v>executive-benchmark-engine</x:v>
      </x:c>
      <x:c r="E1260" t="str">
        <x:v>6cd8ab4178274169bba26e6f3953d3c364480e15</x:v>
      </x:c>
      <x:c r="F1260" t="str">
        <x:v>Published an explicit user-invoked Guide This Page replay controller that reuses ExecutiveCoachmark and keeps active-step state caller-owned.</x:v>
      </x:c>
      <x:c r="G1260" t="str">
        <x:v>Exactly two authorized files changed. Focused tests 15 PASS; lint/build/diff-check PASS; boundary review CLEAN-SCOPE.</x:v>
      </x:c>
      <x:c r="H1260" t="str">
        <x:v>PASS / 13G-04 CLOSED / PUBLISHED</x:v>
      </x:c>
      <x:c r="I1260" t="str">
        <x:v>No auto-open, recurrence, persistence, hidden memory, DOM anchor lookup, focus/scroll takeover, routing, data/API/AI access or consequential action behavior.</x:v>
      </x:c>
      <x:c r="J1260" t="str">
        <x:v>Next executable canonical task: Phase 13G / 13G-05 — Support safe deep-link navigation actions.</x:v>
      </x:c>
    </x:row>
    <x:row r="1261">
      <x:c r="A1261" t="n">
        <x:v>46296</x:v>
      </x:c>
      <x:c r="B1261" t="str">
        <x:v>Phase 13G / 13G-05</x:v>
      </x:c>
      <x:c r="C1261" t="str">
        <x:v>13G-05 Safe Ask Nexus Deep Links Published</x:v>
      </x:c>
      <x:c r="D1261" t="str">
        <x:v>executive-benchmark-engine</x:v>
      </x:c>
      <x:c r="E1261" t="str">
        <x:v>6755bf19b4a8a2417e92e2c6993b5d14e791fc34</x:v>
      </x:c>
      <x:c r="F1261" t="str">
        <x:v>Published a pure safe deep-link action resolver that passes caller-authorized destinations through the canonical Ask Nexus trust policy and returns navigation-ready metadata only.</x:v>
      </x:c>
      <x:c r="G1261" t="str">
        <x:v>Exactly two authorized files changed. Focused tests 13 PASS; lint/build/diff-check PASS; boundary review CLEAN-SCOPE.</x:v>
      </x:c>
      <x:c r="H1261" t="str">
        <x:v>PASS / 13G-05 CLOSED / PUBLISHED</x:v>
      </x:c>
      <x:c r="I1261" t="str">
        <x:v>No route synthesis, application-nav dependency, role/procurement inference, navigation execution, mutations, consequential actions, or AI/data/API/database access.</x:v>
      </x:c>
      <x:c r="J1261" t="str">
        <x:v>Next executable canonical task: Phase 13G / 13G-06 — Support Why is this flagged? evidence view.</x:v>
      </x:c>
    </x:row>
    <x:row r="1262">
      <x:c r="A1262" t="n">
        <x:v>46296</x:v>
      </x:c>
      <x:c r="B1262" t="str">
        <x:v>Phase 13G / 13G-06</x:v>
      </x:c>
      <x:c r="C1262" t="str">
        <x:v>13G-06 Ask Nexus Evidence View Published</x:v>
      </x:c>
      <x:c r="D1262" t="str">
        <x:v>executive-benchmark-engine</x:v>
      </x:c>
      <x:c r="E1262" t="str">
        <x:v>972e3fc398429ec3d8609cfc0c39c5dcfef33de7</x:v>
      </x:c>
      <x:c r="F1262" t="str">
        <x:v>Published a pure Why-is-this-flagged evidence projection using caller-supplied claims, explanations, evidence sources, limitations, and trust-policy-gated source links.</x:v>
      </x:c>
      <x:c r="G1262" t="str">
        <x:v>Exactly two authorized files changed. Focused tests 12 PASS; lint/build/diff-check PASS; boundary review CLEAN-SCOPE.</x:v>
      </x:c>
      <x:c r="H1262" t="str">
        <x:v>PASS / 13G-06 CLOSED / PUBLISHED</x:v>
      </x:c>
      <x:c r="I1262" t="str">
        <x:v>No evidence discovery, scoring/risk/readiness logic, business-text inference, authorization inference, mutation, or AI/data/API/database access.</x:v>
      </x:c>
      <x:c r="J1262" t="str">
        <x:v>Next executable canonical task: Phase 13G / 13G-07 — Require confirmation for consequential assistant actions.</x:v>
      </x:c>
    </x:row>
    <x:row r="1263">
      <x:c r="A1263" t="n">
        <x:v>46296</x:v>
      </x:c>
      <x:c r="B1263" t="str">
        <x:v>Phase 13G / 13G-07</x:v>
      </x:c>
      <x:c r="C1263" t="str">
        <x:v>13G-07 Ask Nexus Consequential Confirmation Gate Published</x:v>
      </x:c>
      <x:c r="D1263" t="str">
        <x:v>executive-benchmark-engine</x:v>
      </x:c>
      <x:c r="E1263" t="str">
        <x:v>262b8975cbe9343cefd12412fa99e815f15b6ce8</x:v>
      </x:c>
      <x:c r="F1263" t="str">
        <x:v>Published a pure consequential-action confirmation contract that reuses the canonical Ask Nexus trust policy and requires permission plus explicit confirmation before execution eligibility.</x:v>
      </x:c>
      <x:c r="G1263" t="str">
        <x:v>Exactly two authorized files changed. Focused tests 12 PASS; lint/build/diff-check PASS; boundary review CLEAN-SCOPE.</x:v>
      </x:c>
      <x:c r="H1263" t="str">
        <x:v>PASS / 13G-07 CLOSED / PUBLISHED</x:v>
      </x:c>
      <x:c r="I1263" t="str">
        <x:v>No execution, mutation, domain authorization duplication, navigation, persistence, UI/dialog integration, or API/data/database access. Execution-time authorization revalidation remains mandatory.</x:v>
      </x:c>
      <x:c r="J1263" t="str">
        <x:v>Next executable canonical task: Phase 13G / 13G-08 — Test Ask Nexus permission inheritance.</x:v>
      </x:c>
    </x:row>
    <x:row r="1264">
      <x:c r="A1264" t="n">
        <x:v>46296</x:v>
      </x:c>
      <x:c r="B1264" t="str">
        <x:v>Phase 13G / 13G-08</x:v>
      </x:c>
      <x:c r="C1264" t="str">
        <x:v>13G-08 Ask Nexus RFQ Permission Scope Published</x:v>
      </x:c>
      <x:c r="D1264" t="str">
        <x:v>executive-benchmark-engine</x:v>
      </x:c>
      <x:c r="E1264" t="str">
        <x:v>3faecacf079c33323801f1fb020b21e7b065b4eb</x:v>
      </x:c>
      <x:c r="F1264" t="str">
        <x:v>Published a narrow Ask Nexus RFQ permission projection over authoritative RfqCapabilities with explicit fail-closed respondent behavior and no generic competitor-data scope.</x:v>
      </x:c>
      <x:c r="G1264" t="str">
        <x:v>Exactly two authorized files changed. Focused tests 10 PASS; lint/build/diff-check PASS; boundary review CLEAN-SCOPE.</x:v>
      </x:c>
      <x:c r="H1264" t="str">
        <x:v>PASS / 13G-08 CLOSED / PUBLISHED</x:v>
      </x:c>
      <x:c r="I1264" t="str">
        <x:v>Respondent issuer-only intelligence/commercial/recommendation scopes remain blocked even under malformed capability payloads; issuer scopes never widen beyond authoritative capability booleans.</x:v>
      </x:c>
      <x:c r="J1264" t="str">
        <x:v>Next executable canonical task: Phase 13G / 13G-09 — Define safe unavailable/low-confidence behavior.</x:v>
      </x:c>
    </x:row>
    <x:row r="1265">
      <x:c r="A1265" t="n">
        <x:v>46296</x:v>
      </x:c>
      <x:c r="B1265" t="str">
        <x:v>Phase 13G / 13G-09</x:v>
      </x:c>
      <x:c r="C1265" t="str">
        <x:v>13G-09 Ask Nexus Safe Availability Fallback Published</x:v>
      </x:c>
      <x:c r="D1265" t="str">
        <x:v>executive-benchmark-engine</x:v>
      </x:c>
      <x:c r="E1265" t="str">
        <x:v>58961e78cc2ae77720c07b98f2d59353f34c18da</x:v>
      </x:c>
      <x:c r="F1265" t="str">
        <x:v>Published a pure availability/low-confidence fallback contract that propagates caller-supplied uncertainty and prevents Ask Nexus from fabricating certainty.</x:v>
      </x:c>
      <x:c r="G1265" t="str">
        <x:v>Exactly two authorized files changed. Focused tests 10 PASS; lint/build/diff-check PASS; boundary review CLEAN-SCOPE.</x:v>
      </x:c>
      <x:c r="H1265" t="str">
        <x:v>PASS / 13G-09 CLOSED / PUBLISHED</x:v>
      </x:c>
      <x:c r="I1265" t="str">
        <x:v>Unavailable/limited evidence overrides confidence; malformed runtime states fail closed; no scoring, evidence discovery, business inference, execution, navigation or UI behavior.</x:v>
      </x:c>
      <x:c r="J1265" t="str">
        <x:v>Next executable canonical task: Phase 13G / 13G-10 — Lazy-load help/intelligence panel.</x:v>
      </x:c>
    </x:row>
    <x:row r="1266">
      <x:c r="A1266" t="n">
        <x:v>46296</x:v>
      </x:c>
      <x:c r="B1266" t="str">
        <x:v>Phase 13G / 13G-10</x:v>
      </x:c>
      <x:c r="C1266" t="str">
        <x:v>13G-10 Ask Nexus Lazy Performance Boundary Published / Phase 13G Closed</x:v>
      </x:c>
      <x:c r="D1266" t="str">
        <x:v>executive-benchmark-engine</x:v>
      </x:c>
      <x:c r="E1266" t="str">
        <x:v>35c81262a20beb7bfc8c8e0df9a051daa45d1497</x:v>
      </x:c>
      <x:c r="F1266" t="str">
        <x:v>Published a reusable next/dynamic wrapper for ExecutiveNexusGuide so closed help remains off the normal render path and the interactive drawer stays behind a client-only dynamic boundary.</x:v>
      </x:c>
      <x:c r="G1266" t="str">
        <x:v>Exactly two authorized files changed. Focused tests 7 PASS; lint/build/dynamic-boundary/diff-check PASS; boundary review CLEAN-SCOPE.</x:v>
      </x:c>
      <x:c r="H1266" t="str">
        <x:v>PASS / 13G-10 CLOSED / PUBLISHED / PHASE 13G 10 OF 10 CLOSED</x:v>
      </x:c>
      <x:c r="I1266" t="str">
        <x:v>No static runtime guide import, auto-prefetch/preload, local state ownership, Ask Nexus business logic, data/API/database/AI access, duplicated drawer UI, or page/layout change.</x:v>
      </x:c>
      <x:c r="J1266" t="str">
        <x:v>Next executable canonical task: Phase 13H / 13H-01 — Upgrade Executive Overview.</x:v>
      </x:c>
    </x:row>
    <x:row r="1267">
      <x:c r="A1267" t="n">
        <x:v>46296</x:v>
      </x:c>
      <x:c r="B1267" t="str">
        <x:v>Phase 13H / 13H-01</x:v>
      </x:c>
      <x:c r="C1267" t="str">
        <x:v>13H-01 Executive Overview Upgrade Published</x:v>
      </x:c>
      <x:c r="D1267" t="str">
        <x:v>executive-benchmark-engine</x:v>
      </x:c>
      <x:c r="E1267" t="str">
        <x:v>dfd7700c25f270a381d3fa81ec87a4911b346cf2</x:v>
      </x:c>
      <x:c r="F1267" t="str">
        <x:v>Published presentation-only upgrades to Executive Decision Context, Action Queue, and Portfolio Snapshot using existing executive primitives and tokens.</x:v>
      </x:c>
      <x:c r="G1267" t="str">
        <x:v>Exactly three authorized component files changed. Focused tests/lint/build/diff-check PASS; responsive/accessibility visual verification reported PASS; implementation visual rescore 9.4/10.</x:v>
      </x:c>
      <x:c r="H1267" t="str">
        <x:v>PASS / 13H-01 CLOSED / PUBLISHED</x:v>
      </x:c>
      <x:c r="I1267" t="str">
        <x:v>Dashboard page and golden test remained outside the commit; no business/data/procurement/confidentiality/route/design-system-source changes or new metrics/claims.</x:v>
      </x:c>
      <x:c r="J1267" t="str">
        <x:v>Next executable canonical task: Phase 13H / 13H-02 — Upgrade Procurement Center landing.</x:v>
      </x:c>
    </x:row>
    <x:row r="1268">
      <x:c r="A1268" t="n">
        <x:v>46296</x:v>
      </x:c>
      <x:c r="B1268" t="str">
        <x:v>Phase 13H / 13H-02</x:v>
      </x:c>
      <x:c r="C1268" t="str">
        <x:v>13H-02 Procurement Center Landing Upgrade Published</x:v>
      </x:c>
      <x:c r="D1268" t="str">
        <x:v>executive-benchmark-engine</x:v>
      </x:c>
      <x:c r="E1268" t="str">
        <x:v>f6e84ce88e0ca00ca74a1bea894a76c735b26419</x:v>
      </x:c>
      <x:c r="F1268" t="str">
        <x:v>Published a presentation-only Procurement Center landing upgrade using shared Executive Design System panels, metrics, badges, buttons and empty-state contracts.</x:v>
      </x:c>
      <x:c r="G1268" t="str">
        <x:v>Exactly one authorized file changed. Focused tests/lint/build/diff-check PASS; responsive/accessibility visual verification reported PASS; implementation visual rescore 9.4/10.</x:v>
      </x:c>
      <x:c r="H1268" t="str">
        <x:v>PASS / 13H-02 CLOSED / PUBLISHED</x:v>
      </x:c>
      <x:c r="I1268" t="str">
        <x:v>Marketplace view model, procurement authorization/data loading, sealed-budget behavior, invitation routing semantics and buyer/respondent modes remained unchanged.</x:v>
      </x:c>
      <x:c r="J1268" t="str">
        <x:v>Next executable canonical task: Phase 13H / 13H-03 — Upgrade RFQ Drafting &amp; Configuration.</x:v>
      </x:c>
    </x:row>
    <x:row r="1269">
      <x:c r="A1269" t="n">
        <x:v>46296</x:v>
      </x:c>
      <x:c r="B1269" t="str">
        <x:v>Phase 13H / 13H-03</x:v>
      </x:c>
      <x:c r="C1269" t="str">
        <x:v>13H-03 RFQ Drafting &amp; Configuration Upgrade Published</x:v>
      </x:c>
      <x:c r="D1269" t="str">
        <x:v>executive-benchmark-engine</x:v>
      </x:c>
      <x:c r="E1269" t="str">
        <x:v>e9a710ea187e6dccacab2432a3ab94b0bc9886f0</x:v>
      </x:c>
      <x:c r="F1269" t="str">
        <x:v>Published a presentation-only RFQ drafting/configuration upgrade using shared Executive Design System form, stepper, panel, dialog, progress and feedback contracts.</x:v>
      </x:c>
      <x:c r="G1269" t="str">
        <x:v>Exactly one authorized file changed. Focused tests/lint/build/diff-check PASS; responsive/accessibility visual verification reported PASS; implementation visual rescore 9.4/10.</x:v>
      </x:c>
      <x:c r="H1269" t="str">
        <x:v>PASS / 13H-03 CLOSED / PUBLISHED</x:v>
      </x:c>
      <x:c r="I1269" t="str">
        <x:v>Completeness, scope review, deadlines, autosave, acknowledgement gate, POST payload, replacement lineage, timers and redirect behavior remained unchanged; duplicate success UI was removed.</x:v>
      </x:c>
      <x:c r="J1269" t="str">
        <x:v>Next executable canonical task: Phase 13H / 13H-04 — Upgrade Market Engagement &amp; Publishing.</x:v>
      </x:c>
    </x:row>
    <x:row r="1270">
      <x:c r="A1270" t="n">
        <x:v>46296</x:v>
      </x:c>
      <x:c r="B1270" t="str">
        <x:v>Phase 13H / 13H-04</x:v>
      </x:c>
      <x:c r="C1270" t="str">
        <x:v>13H-04 Market Engagement &amp; Publishing Upgrade Published</x:v>
      </x:c>
      <x:c r="D1270" t="str">
        <x:v>executive-benchmark-engine</x:v>
      </x:c>
      <x:c r="E1270" t="str">
        <x:v>c21d2f045112bdd0af9b5acc363bedfe5a1d6648</x:v>
      </x:c>
      <x:c r="F1270" t="str">
        <x:v>Published a presentation-only RFQ market-engagement upgrade across the supplier invitation, AVL selection, delivery and result surfaces using shared Executive Design System contracts.</x:v>
      </x:c>
      <x:c r="G1270" t="str">
        <x:v>Exactly four authorized files changed. Focused tests/lint/build/diff-check PASS; responsive/accessibility visual verification reported PASS; implementation visual rescore 9.4/10.</x:v>
      </x:c>
      <x:c r="H1270" t="str">
        <x:v>PASS / 13H-04 CLOSED / PUBLISHED</x:v>
      </x:c>
      <x:c r="I1270" t="str">
        <x:v>Invitation/reuse/delivery truthfulness, secure invite-link fallback, AVL availability/selection and RFQ-vs-Workspace domain separation remained unchanged. No participation inference, quotation/award scope, parent RFQ page, RFI/Addenda, API/email/auth/data/database change.</x:v>
      </x:c>
      <x:c r="J1270" t="str">
        <x:v>Next executable canonical task: Phase 13H / 13H-05 — Upgrade Issuer RFI / Addenda Management.</x:v>
      </x:c>
    </x:row>
    <x:row r="1271">
      <x:c r="A1271" t="n">
        <x:v>46296</x:v>
      </x:c>
      <x:c r="B1271" t="str">
        <x:v>Phase 13H / 13H-05</x:v>
      </x:c>
      <x:c r="C1271" t="str">
        <x:v>13H-05 Issuer RFI / Addenda Management Upgrade Published</x:v>
      </x:c>
      <x:c r="D1271" t="str">
        <x:v>executive-benchmark-engine</x:v>
      </x:c>
      <x:c r="E1271" t="str">
        <x:v>74cdae5f556fb1c276ee430a1adc4b5a7d42ec05</x:v>
      </x:c>
      <x:c r="F1271" t="str">
        <x:v>Published presentation-only upgrades to Private RFI, governed Addenda management, and Addendum acknowledgement surfaces using shared Executive Design System contracts after first stabilizing the prerequisite governed package-change cluster.</x:v>
      </x:c>
      <x:c r="G1271" t="str">
        <x:v>Exactly three authorized UI files changed. Focused tests 93/93 PASS; lint/build/diff-check PASS; responsive/accessibility visual verification reported PASS; implementation visual rescore 9.35/10.</x:v>
      </x:c>
      <x:c r="H1271" t="str">
        <x:v>PASS / 13H-05 CLOSED / PUBLISHED</x:v>
      </x:c>
      <x:c r="I1271" t="str">
        <x:v>Private RFI confidentiality, governed package-change handoff, ordinary Addendum semantics, notification truthfulness and acknowledgement Clear/Blocked behavior remained unchanged. Prerequisite governance cluster published separately at 466b0ee1c8845a2e930a23c816a9a618814ebfd6.</x:v>
      </x:c>
      <x:c r="J1271" t="str">
        <x:v>Next executable canonical task: Phase 13H / 13H-06 — Upgrade Response Evaluation &amp; Award.</x:v>
      </x:c>
    </x:row>
    <x:row r="1272">
      <x:c r="A1272" t="n">
        <x:v>46296</x:v>
      </x:c>
      <x:c r="B1272" t="str">
        <x:v>Phase 13H / 13H-06</x:v>
      </x:c>
      <x:c r="C1272" t="str">
        <x:v>13H-06 Response Evaluation &amp; Award Upgrade Published</x:v>
      </x:c>
      <x:c r="D1272" t="str">
        <x:v>executive-benchmark-engine</x:v>
      </x:c>
      <x:c r="E1272" t="str">
        <x:v>2d8f4ae948eedbca4bc6bbd61f4c592499ff9e4a</x:v>
      </x:c>
      <x:c r="F1272" t="str">
        <x:v>Published presentation-only upgrades to RFQ quote comparison, recommended award path, and consequential award action using shared Executive Design System contracts.</x:v>
      </x:c>
      <x:c r="G1272" t="str">
        <x:v>Exactly three authorized files changed. Focused tests/lint/build/diff-check PASS; responsive/accessibility visual verification reported PASS; implementation visual rescore 9.34/10.</x:v>
      </x:c>
      <x:c r="H1272" t="str">
        <x:v>PASS / 13H-06 CLOSED / PUBLISHED</x:v>
      </x:c>
      <x:c r="I1272" t="str">
        <x:v>Commercial confidentiality, scoring/ranking, material-revalidation award gating, recommendation non-binding semantics, award API/confirmation/redirect/error-sanitization behavior remained unchanged.</x:v>
      </x:c>
      <x:c r="J1272" t="str">
        <x:v>Next executable canonical task: Phase 13H / 13H-07 — Upgrade Respondent RFQ Review &amp; Scoping.</x:v>
      </x:c>
    </x:row>
    <x:row r="1273">
      <x:c r="A1273" t="n">
        <x:v>46296</x:v>
      </x:c>
      <x:c r="B1273" t="str">
        <x:v>Phase 13H / 13H-07</x:v>
      </x:c>
      <x:c r="C1273" t="str">
        <x:v>13H-07 Respondent RFQ Review &amp; Scoping Upgrade Published</x:v>
      </x:c>
      <x:c r="D1273" t="str">
        <x:v>executive-benchmark-engine</x:v>
      </x:c>
      <x:c r="E1273" t="str">
        <x:v>5de338c618ce9d227654e1b744e591c362fad3bb</x:v>
      </x:c>
      <x:c r="F1273" t="str">
        <x:v>Published presentation-only upgrades to respondent procurement context, governance/confidentiality notices, and required-document review surfaces using shared Executive Design System contracts.</x:v>
      </x:c>
      <x:c r="G1273" t="str">
        <x:v>Exactly three authorized files changed. Focused tests 89/89 PASS; lint/build/diff-check PASS; accessibility PASS; respondent Document Requirements responsive QA passed with remaining surfaces code/contract verified.</x:v>
      </x:c>
      <x:c r="H1273" t="str">
        <x:v>PASS / 13H-07 CLOSED / PUBLISHED</x:v>
      </x:c>
      <x:c r="I1273" t="str">
        <x:v>Respondent read-only behavior, confidentiality/safe aggregate semantics, governed requirement mutation and handoff contracts, and commercial agency remained unchanged. No automated bid/no-bid recommendation or buyer-only intelligence was introduced.</x:v>
      </x:c>
      <x:c r="J1273" t="str">
        <x:v>Next executable canonical task: Phase 13H / 13H-08 — Upgrade Respondent RFI &amp; Clarifications.</x:v>
      </x:c>
    </x:row>
    <x:row r="1274">
      <x:c r="A1274" t="n">
        <x:v>46296</x:v>
      </x:c>
      <x:c r="B1274" t="str">
        <x:v>Phase 13H / 13H-08</x:v>
      </x:c>
      <x:c r="C1274" t="str">
        <x:v>13H-08 Respondent RFI &amp; Clarifications Upgrade Published</x:v>
      </x:c>
      <x:c r="D1274" t="str">
        <x:v>executive-benchmark-engine</x:v>
      </x:c>
      <x:c r="E1274" t="str">
        <x:v>b31effc48c13f6fbc8a5d972747acfd7e0cd2e1a</x:v>
      </x:c>
      <x:c r="F1274" t="str">
        <x:v>Closed 13H-08 with a one-file role-aware wrapper clarification after confirming the core respondent RFI/Addendum experience was already satisfied by the published 13H-05 implementation.</x:v>
      </x:c>
      <x:c r="G1274" t="str">
        <x:v>Exactly one authorized file changed. Focused tests 62/62 PASS; lint/build/diff-check PASS; desktop/tablet/mobile visual verification PASS; no horizontal overflow.</x:v>
      </x:c>
      <x:c r="H1274" t="str">
        <x:v>PASS / 13H-08 CLOSED / PUBLISHED</x:v>
      </x:c>
      <x:c r="I1274" t="str">
        <x:v>Private RFI creation, issuer response visibility, Addendum impact, acknowledgement Clear/Blocked semantics and all frozen 13H-05 component behavior remained unchanged. Respondent issuer-authority implication was removed from wrapper copy only.</x:v>
      </x:c>
      <x:c r="J1274" t="str">
        <x:v>Next executable canonical task: Phase 13H / 13H-09 — Upgrade Quote &amp; Proposal Preparation.</x:v>
      </x:c>
    </x:row>
    <x:row r="1275">
      <x:c r="A1275" t="n">
        <x:v>46296</x:v>
      </x:c>
      <x:c r="B1275" t="str">
        <x:v>Phase 13H / 13H-09</x:v>
      </x:c>
      <x:c r="C1275" t="str">
        <x:v>13H-09 Quote &amp; Proposal Preparation Upgrade Published</x:v>
      </x:c>
      <x:c r="D1275" t="str">
        <x:v>executive-benchmark-engine</x:v>
      </x:c>
      <x:c r="E1275" t="str">
        <x:v>1d92ab206de37f51b1608ddb7626f88f2802e41c</x:v>
      </x:c>
      <x:c r="F1275" t="str">
        <x:v>Published a one-file presentation-only upgrade to the respondent quote/proposal preparation workspace using shared Executive Design System contracts.</x:v>
      </x:c>
      <x:c r="G1275" t="str">
        <x:v>Exactly one authorized file changed. Focused tests/lint/build/diff-check PASS; accessibility PASS; no horizontal overflow; visual QA PARTIAL due fixture coverage limits.</x:v>
      </x:c>
      <x:c r="H1275" t="str">
        <x:v>PASS / 13H-09 CLOSED / PUBLISHED</x:v>
      </x:c>
      <x:c r="I1275" t="str">
        <x:v>Pricing, completeness/readiness, deadline risk, material revalidation, acknowledgement gating, reconfirm/resubmit semantics, quote API payloads and success redirect behavior remained unchanged.</x:v>
      </x:c>
      <x:c r="J1275" t="str">
        <x:v>Next executable canonical task: Phase 13H / 13H-10 — Upgrade Submission &amp; Award Tracking.</x:v>
      </x:c>
    </x:row>
    <x:row r="1276">
      <x:c r="A1276" t="n">
        <x:v>46296</x:v>
      </x:c>
      <x:c r="B1276" t="str">
        <x:v>Phase 13H / 13H-10</x:v>
      </x:c>
      <x:c r="C1276" t="str">
        <x:v>13H-10 Submission &amp; Award Tracking Upgrade Published</x:v>
      </x:c>
      <x:c r="D1276" t="str">
        <x:v>executive-benchmark-engine</x:v>
      </x:c>
      <x:c r="E1276" t="str">
        <x:v>4f0340ed8074028e3cfee407f3e04054a3ecbc17</x:v>
      </x:c>
      <x:c r="F1276" t="str">
        <x:v>Published a two-file presentation-only upgrade to respondent submission/outcome tracking after first closing the commercial-read and award-gating security prerequisite.</x:v>
      </x:c>
      <x:c r="G1276" t="str">
        <x:v>Exactly two authorized files changed. Focused tests/lint/build/diff-check PASS; desktop/tablet/mobile/deadline-context/accessibility verification PASS; visual rescore 9.4/10.</x:v>
      </x:c>
      <x:c r="H1276" t="str">
        <x:v>PASS / 13H-10 CLOSED / PUBLISHED</x:v>
      </x:c>
      <x:c r="I1276" t="str">
        <x:v>Own-quote isolation, competitor confidentiality, commercial-read authorization, pre-opening lockbox, status mapping, Approved/Awarded distinction, material revalidation, closed-state gating and outcome semantics remained unchanged. Security prerequisite published separately at 530dbae552f51c63f75e596850374d2d41179d20.</x:v>
      </x:c>
      <x:c r="J1276" t="str">
        <x:v>Next executable canonical task: Phase 13H / 13H-11 — Upgrade Activity Center.</x:v>
      </x:c>
    </x:row>
    <x:row r="1277">
      <x:c r="A1277" t="n">
        <x:v>46296</x:v>
      </x:c>
      <x:c r="B1277" t="str">
        <x:v>Phase 13H / 13H-11</x:v>
      </x:c>
      <x:c r="C1277" t="str">
        <x:v>13H-11 Activity Center Blocked — My Tasks Contract Missing</x:v>
      </x:c>
      <x:c r="D1277" t="str">
        <x:v>executive-benchmark-engine</x:v>
      </x:c>
      <x:c r="E1277" t="str">
        <x:v>c22ea4b1d111e061001372c5cb4442895919de50</x:v>
      </x:c>
      <x:c r="F1277" t="str">
        <x:v>Recorded a governed blocker after proving that the launch-frozen Activity Center supports Needs Attention, Updates and History only and explicitly forbids personal My Tasks derivation.</x:v>
      </x:c>
      <x:c r="G1277" t="str">
        <x:v>No code changes. Existing company-scoped notification query, RFQ source authorization, attention prioritization, Updates and History remain intact. Focused tests/lint/build/diff-check PASS; no horizontal overflow; visual acceptance cannot complete because required My Tasks semantics are not backed by an approved data/ownership model.</x:v>
      </x:c>
      <x:c r="H1277" t="str">
        <x:v>BLOCKED / 13H-11 OPEN</x:v>
      </x:c>
      <x:c r="I1277" t="str">
        <x:v>Resolution requires an approved task ownership/assignment contract or explicit Master Plan acceptance change. No new table/API/event taxonomy was invented.</x:v>
      </x:c>
      <x:c r="J1277" t="str">
        <x:v>Continue with dependency-independent Phase 13H / 13H-12 — Upgrade Project Portfolio; return to 13H-11 when the blocker is resolved.</x:v>
      </x:c>
    </x:row>
    <x:row r="1278">
      <x:c r="A1278" t="n">
        <x:v>46297</x:v>
      </x:c>
      <x:c r="B1278" t="str">
        <x:v>Phase 13H / 13H-12</x:v>
      </x:c>
      <x:c r="C1278" t="str">
        <x:v>13H-12 Project Portfolio Upgrade Published</x:v>
      </x:c>
      <x:c r="D1278" t="str">
        <x:v>executive-benchmark-engine</x:v>
      </x:c>
      <x:c r="E1278" t="str">
        <x:v>696400d4f4e8a8b8b453be19bbc23971b9148b1d</x:v>
      </x:c>
      <x:c r="F1278" t="str">
        <x:v>Published a five-file presentation-only Project Portfolio upgrade using shared Executive Design System patterns and more precise procurement wording.</x:v>
      </x:c>
      <x:c r="G1278" t="str">
        <x:v>Focused tests/lint/build/diff-check PASS; accessibility PASS; no horizontal overflow; live visual QA PARTIAL due safe-fixture limits; visual rescore 9.4/10.</x:v>
      </x:c>
      <x:c r="H1278" t="str">
        <x:v>PASS / 13H-12 CLOSED / PUBLISHED</x:v>
      </x:c>
      <x:c r="I1278" t="str">
        <x:v>Company scope, active membership, owner/admin create authorization, Project identity independence, Project Code association, same-company RFQ context, evidence-only insights and Award Recorded semantics preserved. No repository/API/RLS/auth/data or commercial-data expansion.</x:v>
      </x:c>
      <x:c r="J1278" t="str">
        <x:v>Next executable canonical task: Phase 13H / 13H-13 — Upgrade Company Network. 13H-11 remains blocked pending approved My Tasks semantics.</x:v>
      </x:c>
    </x:row>
    <x:row r="1279">
      <x:c r="A1279" t="n">
        <x:v>46297</x:v>
      </x:c>
      <x:c r="B1279" t="str">
        <x:v>Phase 13H / 13H-13</x:v>
      </x:c>
      <x:c r="C1279" t="str">
        <x:v>13H-13 Company Network Upgrade Published</x:v>
      </x:c>
      <x:c r="D1279" t="str">
        <x:v>executive-benchmark-engine</x:v>
      </x:c>
      <x:c r="E1279" t="str">
        <x:v>4be2577c78e99cf473101683461122a629965871</x:v>
      </x:c>
      <x:c r="F1279" t="str">
        <x:v>Published a three-file presentation-only Company Network discovery upgrade after separately removing unsafe public RFQ/audit disclosure.</x:v>
      </x:c>
      <x:c r="G1279" t="str">
        <x:v>Focused tests/lint/build/diff-check PASS; desktop/tablet/mobile/accessibility verification PASS; no horizontal overflow; visual rescore 9.4/10.</x:v>
      </x:c>
      <x:c r="H1279" t="str">
        <x:v>PASS / 13H-13 CLOSED / PUBLISHED</x:v>
      </x:c>
      <x:c r="I1279" t="str">
        <x:v>Company-neutral discovery, public capability taxonomy, public-only qualification filtering, factual verification wording and public-data confidentiality boundary preserved. Security prerequisite published separately at 312d5a4579176d8c43538786f69b7cf2f8af03a6. No RFQ/audit/commercial viewer-dependent data reintroduced.</x:v>
      </x:c>
      <x:c r="J1279" t="str">
        <x:v>Next executable canonical task: Phase 13H / 13H-14 — Upgrade Strategic Insights. 13H-11 remains blocked pending approved My Tasks semantics.</x:v>
      </x:c>
    </x:row>
    <x:row r="1280">
      <x:c r="A1280" t="n">
        <x:v>46297</x:v>
      </x:c>
      <x:c r="B1280" t="str">
        <x:v>Phase 13H / 13H-14</x:v>
      </x:c>
      <x:c r="C1280" t="str">
        <x:v>13H-14 Strategic Insights Blocked — Analytics Freeze Conflict</x:v>
      </x:c>
      <x:c r="D1280" t="str">
        <x:v>executive-benchmark-engine</x:v>
      </x:c>
      <x:c r="E1280" t="str">
        <x:v>d5b7b81b7e36ea54fe20514f90ef85224e502716</x:v>
      </x:c>
      <x:c r="F1280" t="str">
        <x:v>Recorded a governed blocker after read-only reconciliation proved that Strategic Insights maps to the previously Product-Gate-frozen /analytics surface and no explicit freeze supersede is authorized.</x:v>
      </x:c>
      <x:c r="G1280" t="str">
        <x:v>No code changes. Commercial confidentiality, recommendation-vs-award semantics and evidence/inference truthfulness remain intact. Current HEAD baseline estimated at 9.3/10; observed shell design-system drift is not authorized to fix under the active freeze.</x:v>
      </x:c>
      <x:c r="H1280" t="str">
        <x:v>BLOCKED / 13H-14 OPEN</x:v>
      </x:c>
      <x:c r="I1280" t="str">
        <x:v>Substantial unrelated dirty Analytics WIP remains excluded. Resolution requires explicit Product Owner/Master Plan authorization to reopen exact presentation files or explicit acceptance that prior Product-Gate evidence satisfies 13H-14.</x:v>
      </x:c>
      <x:c r="J1280" t="str">
        <x:v>Continue with dependency-independent Phase 13H / 13H-15 — Upgrade Identity &amp; Profile; return to 13H-14 only after freeze resolution.</x:v>
      </x:c>
    </x:row>
    <x:row r="1281">
      <x:c r="A1281" t="n">
        <x:v>46297</x:v>
      </x:c>
      <x:c r="B1281" t="str">
        <x:v>Phase 13H / 13H-15</x:v>
      </x:c>
      <x:c r="C1281" t="str">
        <x:v>13H-15 Identity &amp; Profile Upgrade Published</x:v>
      </x:c>
      <x:c r="D1281" t="str">
        <x:v>executive-benchmark-engine</x:v>
      </x:c>
      <x:c r="E1281" t="str">
        <x:v>611e561dcb9df09033545adf8e119894b6728fe4</x:v>
      </x:c>
      <x:c r="F1281" t="str">
        <x:v>Published a five-file presentation-only Identity &amp; Profile upgrade covering Professional Identity and Company Profile surfaces.</x:v>
      </x:c>
      <x:c r="G1281" t="str">
        <x:v>Lint/build/diff-check PASS; desktop/tablet/mobile/accessibility verification PASS; no horizontal overflow; visual rescore 9.5/10. Known stale Location N/A assertion remains out of scope and unchanged.</x:v>
      </x:c>
      <x:c r="H1281" t="str">
        <x:v>PASS / 13H-15 CLOSED / PUBLISHED</x:v>
      </x:c>
      <x:c r="I1281" t="str">
        <x:v>Professional identity, job-title, account-email, company identity, network-role and company-management authorization semantics preserved. No API/RLS/database, Team &amp; Access, invitations, ownership/governance or unrelated domain changes.</x:v>
      </x:c>
      <x:c r="J1281" t="str">
        <x:v>Next executable canonical task: Phase 13H / 13H-16 — Upgrade Team &amp; Access. Preserve the stale Location N/A assertion as a separate pre-existing defect until its owning scope is addressed.</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c39a95d51693448e"/>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68e1341fe8c140f4"/>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U5 / Phase 13F CLOSED — 13F-01 through 13F-14 PASS/CLOSED. Contextual Guidance Framework now includes five-level guidance, eligibility/frequency/memory rules, reusable inline/card/coachmark/guide patterns, RFI/quotation/evaluation/Activity contextual guidance, standardized enterprise procurement tone, and completed annoyance QA across all integrated surfaces. No verified P0/P1 guidance defect remains.</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str">
        <x:v>Blocked</x:v>
      </x:c>
      <x:c r="J9" s="133" t="str">
        <x:v>U4 / Phase 13E BLOCKED — 13E-01, 13E-04, 13E-05, 13E-06, 13E-09, 13E-10, 13E-11, 13E-12 and 13E-13 PASS/CLOSED. 13E-02, 13E-03, 13E-07 and 13E-08 remain BLOCKED/Open because their current create/publish/quote/award flows auto-navigate and expose no stable completion surface without an explicitly approved navigation/state contract change. No further dependency-independent 13E task remains. Do not reopen completed 13E primitives absent a verified defect or changed requirement.</x:v>
      </x:c>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str">
        <x:v>Completed</x:v>
      </x:c>
      <x:c r="J10" s="133" t="str">
        <x:v>U5 / Phase 13F CLOSED — 13F-01 through 13F-14 PASS/CLOSED. Contextual Guidance Framework now includes five-level guidance, eligibility/frequency/memory rules, reusable inline/card/coachmark/guide patterns, RFI/quotation/evaluation/Activity contextual guidance, standardized enterprise procurement tone, and completed annoyance QA across all integrated surfaces. No verified P0/P1 guidance defect remains.</x:v>
      </x:c>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str">
        <x:v>Completed</x:v>
      </x:c>
      <x:c r="J11" s="133" t="str">
        <x:v>U6 / Phase 13G CLOSED — 13G-01 through 13G-10 PASS/CLOSED/PUBLISHED. Ask Nexus now has trust boundaries, authorized context, suggested questions, Guide This Page replay, safe deep links, evidence views, consequential-action confirmation, RFQ permission inheritance, safe unavailable/low-confidence fallbacks, and a lazy ExecutiveNexusGuide performance boundary. Next executable canonical task: 13H-01 Upgrade Executive Overview.</x:v>
      </x:c>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str">
        <x:v>In Progress</x:v>
      </x:c>
      <x:c r="J12" s="133" t="str">
        <x:v>U7 / Phase 13H IN PROGRESS — 13H-01 through 13H-10, 13H-12 through 13H-13, and 13H-15 PASS/CLOSED/PUBLISHED; 13H-11 remains BLOCKED pending an approved My Tasks ownership/data contract; 13H-14 remains BLOCKED by the frozen /analytics Strategic Insights surface. Identity &amp; Profile is now presentation-standardized while keeping Professional Identity, Company Identity, Workspace Authority, and Procurement Function distinct. Next executable canonical task: 13H-16 Upgrade Team &amp; Access.</x:v>
      </x:c>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8e5d3c156ac94dda"/>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f2ec58e8aba64903"/>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f3088b64ad1c468c"/>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b053b15acd814f1e"/>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