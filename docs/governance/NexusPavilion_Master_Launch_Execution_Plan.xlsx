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70e669038e945da" /></Relationships>
</file>

<file path=xl/workbook.xml><?xml version="1.0" encoding="utf-8"?>
<x:workbook xmlns:x="http://schemas.openxmlformats.org/spreadsheetml/2006/main">
  <x:sheets>
    <x:sheet xmlns:r="http://schemas.openxmlformats.org/officeDocument/2006/relationships" name="01 Master Plan" sheetId="1" r:id="Rdf5eb87dcbcb4783"/>
    <x:sheet xmlns:r="http://schemas.openxmlformats.org/officeDocument/2006/relationships" name="03 Launch Gates" sheetId="2" r:id="Ra80a6e75bf304eae"/>
    <x:sheet xmlns:r="http://schemas.openxmlformats.org/officeDocument/2006/relationships" name="00 Dashboard" sheetId="3" r:id="Rf75a33d0b3314547"/>
    <x:sheet xmlns:r="http://schemas.openxmlformats.org/officeDocument/2006/relationships" name="04 Cursor Tasks" sheetId="4" r:id="Ra89630e620cc40ec"/>
    <x:sheet xmlns:r="http://schemas.openxmlformats.org/officeDocument/2006/relationships" name="05 UAT Matrix" sheetId="5" r:id="R0bb289eb432449c4"/>
    <x:sheet xmlns:r="http://schemas.openxmlformats.org/officeDocument/2006/relationships" name="06 Security Matrix" sheetId="6" r:id="R3ec35e0c9a8442e1"/>
    <x:sheet xmlns:r="http://schemas.openxmlformats.org/officeDocument/2006/relationships" name="07 Risks" sheetId="7" r:id="Rb5af2d236f6a4a1f"/>
    <x:sheet xmlns:r="http://schemas.openxmlformats.org/officeDocument/2006/relationships" name="08 Architecture" sheetId="8" r:id="Rf19c25c84cf947ea"/>
    <x:sheet xmlns:r="http://schemas.openxmlformats.org/officeDocument/2006/relationships" name="09 Release Checklist" sheetId="9" r:id="Re419be90e7974d1d"/>
    <x:sheet xmlns:r="http://schemas.openxmlformats.org/officeDocument/2006/relationships" name="10 Change Log" sheetId="10" r:id="R77ccc066e3c943b9"/>
    <x:sheet xmlns:r="http://schemas.openxmlformats.org/officeDocument/2006/relationships" name="11 Scope &amp; Roadmap" sheetId="11" r:id="R7e597b49cf1b4527"/>
    <x:sheet xmlns:r="http://schemas.openxmlformats.org/officeDocument/2006/relationships" name="12 How to Use" sheetId="12" r:id="R6da7931af03c469f"/>
    <x:sheet xmlns:r="http://schemas.openxmlformats.org/officeDocument/2006/relationships" name="13 UI Program" sheetId="13" r:id="Rd0a2a5d27d574bee"/>
    <x:sheet xmlns:r="http://schemas.openxmlformats.org/officeDocument/2006/relationships" name="14 UI Scorecard" sheetId="14" r:id="Rf18d119c5bcb4813"/>
    <x:sheet xmlns:r="http://schemas.openxmlformats.org/officeDocument/2006/relationships" name="15 Motion Guidance" sheetId="15" r:id="Ra4625023169943d7"/>
    <x:sheet xmlns:r="http://schemas.openxmlformats.org/officeDocument/2006/relationships" name="16 Design Standards" sheetId="16" r:id="Rc1bde92e843243db"/>
    <x:sheet xmlns:r="http://schemas.openxmlformats.org/officeDocument/2006/relationships" name="17 Corporate Platform" sheetId="17" r:id="R6b29229e041840ce"/>
    <x:sheet xmlns:r="http://schemas.openxmlformats.org/officeDocument/2006/relationships" name="18 Analytics Reuse Map" sheetId="18" r:id="Rbc627e05835e448d"/>
    <x:sheet xmlns:r="http://schemas.openxmlformats.org/officeDocument/2006/relationships" name="19 Executive Insights Discovery" sheetId="19" r:id="R0d101c9506714c9a"/>
    <x:sheet xmlns:r="http://schemas.openxmlformats.org/officeDocument/2006/relationships" name="20 Procurement Insights Discovery" sheetId="20" r:id="R2d80f17922974cc9"/>
    <x:sheet xmlns:r="http://schemas.openxmlformats.org/officeDocument/2006/relationships" name="21 Commercial Insights Discovery" sheetId="21" r:id="R053346ce80514826"/>
    <x:sheet xmlns:r="http://schemas.openxmlformats.org/officeDocument/2006/relationships" name="22 Project Insights Discovery" sheetId="22" r:id="Rda35875518e9424f"/>
    <x:sheet xmlns:r="http://schemas.openxmlformats.org/officeDocument/2006/relationships" name="23 Performance Discovery" sheetId="23" r:id="Re26edcc068524a5c"/>
    <x:sheet xmlns:r="http://schemas.openxmlformats.org/officeDocument/2006/relationships" name="24 Risk Compliance Discovery" sheetId="24" r:id="R7f32d0c3632d4279"/>
    <x:sheet xmlns:r="http://schemas.openxmlformats.org/officeDocument/2006/relationships" name="25 Commercial Handoff" sheetId="25" r:id="R25a3cedbddbd424c"/>
    <x:sheet xmlns:r="http://schemas.openxmlformats.org/officeDocument/2006/relationships" name="26 RFQ Governance" sheetId="26" r:id="Rcbe32217a31f417c"/>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d624fe5ab1e74bc9" /><Relationship Type="http://schemas.openxmlformats.org/officeDocument/2006/relationships/theme" Target="/xl/theme/theme1.xml" Id="R44d1816aaf1a4f45" /><Relationship Type="http://schemas.openxmlformats.org/officeDocument/2006/relationships/sharedStrings" Target="/xl/sharedStrings.xml" Id="Re580d526285347ac" /><Relationship Type="http://schemas.openxmlformats.org/officeDocument/2006/relationships/worksheet" Target="/xl/worksheets/sheet1.xml" Id="Rdf5eb87dcbcb4783" /><Relationship Type="http://schemas.openxmlformats.org/officeDocument/2006/relationships/worksheet" Target="/xl/worksheets/sheet2.xml" Id="Ra80a6e75bf304eae" /><Relationship Type="http://schemas.openxmlformats.org/officeDocument/2006/relationships/worksheet" Target="/xl/worksheets/sheet3.xml" Id="Rf75a33d0b3314547" /><Relationship Type="http://schemas.openxmlformats.org/officeDocument/2006/relationships/worksheet" Target="/xl/worksheets/sheet4.xml" Id="Ra89630e620cc40ec" /><Relationship Type="http://schemas.openxmlformats.org/officeDocument/2006/relationships/worksheet" Target="/xl/worksheets/sheet5.xml" Id="R0bb289eb432449c4" /><Relationship Type="http://schemas.openxmlformats.org/officeDocument/2006/relationships/worksheet" Target="/xl/worksheets/sheet6.xml" Id="R3ec35e0c9a8442e1" /><Relationship Type="http://schemas.openxmlformats.org/officeDocument/2006/relationships/worksheet" Target="/xl/worksheets/sheet7.xml" Id="Rb5af2d236f6a4a1f" /><Relationship Type="http://schemas.openxmlformats.org/officeDocument/2006/relationships/worksheet" Target="/xl/worksheets/sheet8.xml" Id="Rf19c25c84cf947ea" /><Relationship Type="http://schemas.openxmlformats.org/officeDocument/2006/relationships/worksheet" Target="/xl/worksheets/sheet9.xml" Id="Re419be90e7974d1d" /><Relationship Type="http://schemas.openxmlformats.org/officeDocument/2006/relationships/worksheet" Target="/xl/worksheets/sheet10.xml" Id="R77ccc066e3c943b9" /><Relationship Type="http://schemas.openxmlformats.org/officeDocument/2006/relationships/worksheet" Target="/xl/worksheets/sheet11.xml" Id="R7e597b49cf1b4527" /><Relationship Type="http://schemas.openxmlformats.org/officeDocument/2006/relationships/worksheet" Target="/xl/worksheets/sheet12.xml" Id="R6da7931af03c469f" /><Relationship Type="http://schemas.openxmlformats.org/officeDocument/2006/relationships/worksheet" Target="/xl/worksheets/sheet13.xml" Id="Rd0a2a5d27d574bee" /><Relationship Type="http://schemas.openxmlformats.org/officeDocument/2006/relationships/worksheet" Target="/xl/worksheets/sheet14.xml" Id="Rf18d119c5bcb4813" /><Relationship Type="http://schemas.openxmlformats.org/officeDocument/2006/relationships/worksheet" Target="/xl/worksheets/sheet15.xml" Id="Ra4625023169943d7" /><Relationship Type="http://schemas.openxmlformats.org/officeDocument/2006/relationships/worksheet" Target="/xl/worksheets/sheet16.xml" Id="Rc1bde92e843243db" /><Relationship Type="http://schemas.openxmlformats.org/officeDocument/2006/relationships/worksheet" Target="/xl/worksheets/sheet17.xml" Id="R6b29229e041840ce" /><Relationship Type="http://schemas.openxmlformats.org/officeDocument/2006/relationships/worksheet" Target="/xl/worksheets/sheet18.xml" Id="Rbc627e05835e448d" /><Relationship Type="http://schemas.openxmlformats.org/officeDocument/2006/relationships/worksheet" Target="/xl/worksheets/sheet19.xml" Id="R0d101c9506714c9a" /><Relationship Type="http://schemas.openxmlformats.org/officeDocument/2006/relationships/worksheet" Target="/xl/worksheets/sheet20.xml" Id="R2d80f17922974cc9" /><Relationship Type="http://schemas.openxmlformats.org/officeDocument/2006/relationships/worksheet" Target="/xl/worksheets/sheet21.xml" Id="R053346ce80514826" /><Relationship Type="http://schemas.openxmlformats.org/officeDocument/2006/relationships/worksheet" Target="/xl/worksheets/sheet22.xml" Id="Rda35875518e9424f" /><Relationship Type="http://schemas.openxmlformats.org/officeDocument/2006/relationships/worksheet" Target="/xl/worksheets/sheet23.xml" Id="Re26edcc068524a5c" /><Relationship Type="http://schemas.openxmlformats.org/officeDocument/2006/relationships/worksheet" Target="/xl/worksheets/sheet24.xml" Id="R7f32d0c3632d4279" /><Relationship Type="http://schemas.openxmlformats.org/officeDocument/2006/relationships/worksheet" Target="/xl/worksheets/sheet25.xml" Id="R25a3cedbddbd424c" /><Relationship Type="http://schemas.openxmlformats.org/officeDocument/2006/relationships/worksheet" Target="/xl/worksheets/sheet26.xml" Id="Rcbe32217a31f417c" /></Relationships>
</file>

<file path=xl/drawings/_rels/drawing1.xml.rels>&#65279;<?xml version="1.0" encoding="utf-8"?><Relationships xmlns="http://schemas.openxmlformats.org/package/2006/relationships"><Relationship Type="http://schemas.openxmlformats.org/officeDocument/2006/relationships/chart" Target="/xl/drawings/charts/chart1.xml" Id="Rc553ad0663f54c4e"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553ad0663f54c4e"/>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29da15bf6fc744e5" /></Relationships>
</file>

<file path=xl/worksheets/_rels/sheet2.xml.rels>&#65279;<?xml version="1.0" encoding="utf-8"?><Relationships xmlns="http://schemas.openxmlformats.org/package/2006/relationships"><Relationship Type="http://schemas.openxmlformats.org/officeDocument/2006/relationships/table" Target="/xl/tables/table2.xml" Id="Rda4905edc5774170" /></Relationships>
</file>

<file path=xl/worksheets/_rels/sheet3.xml.rels>&#65279;<?xml version="1.0" encoding="utf-8"?><Relationships xmlns="http://schemas.openxmlformats.org/package/2006/relationships"><Relationship Type="http://schemas.openxmlformats.org/officeDocument/2006/relationships/drawing" Target="/xl/drawings/drawing1.xml" Id="R23edd560fefb4e8c" /></Relationships>
</file>

<file path=xl/worksheets/_rels/sheet4.xml.rels>&#65279;<?xml version="1.0" encoding="utf-8"?><Relationships xmlns="http://schemas.openxmlformats.org/package/2006/relationships"><Relationship Type="http://schemas.openxmlformats.org/officeDocument/2006/relationships/table" Target="/xl/tables/table3.xml" Id="R1531a96fb56a4e3a" /></Relationships>
</file>

<file path=xl/worksheets/_rels/sheet5.xml.rels>&#65279;<?xml version="1.0" encoding="utf-8"?><Relationships xmlns="http://schemas.openxmlformats.org/package/2006/relationships"><Relationship Type="http://schemas.openxmlformats.org/officeDocument/2006/relationships/table" Target="/xl/tables/table4.xml" Id="Raf0cb990eb154f0f" /></Relationships>
</file>

<file path=xl/worksheets/_rels/sheet6.xml.rels>&#65279;<?xml version="1.0" encoding="utf-8"?><Relationships xmlns="http://schemas.openxmlformats.org/package/2006/relationships"><Relationship Type="http://schemas.openxmlformats.org/officeDocument/2006/relationships/table" Target="/xl/tables/table5.xml" Id="Rfc218607fed2402a" /></Relationships>
</file>

<file path=xl/worksheets/_rels/sheet7.xml.rels>&#65279;<?xml version="1.0" encoding="utf-8"?><Relationships xmlns="http://schemas.openxmlformats.org/package/2006/relationships"><Relationship Type="http://schemas.openxmlformats.org/officeDocument/2006/relationships/table" Target="/xl/tables/table6.xml" Id="R8a2670f404e1415d" /></Relationships>
</file>

<file path=xl/worksheets/_rels/sheet9.xml.rels>&#65279;<?xml version="1.0" encoding="utf-8"?><Relationships xmlns="http://schemas.openxmlformats.org/package/2006/relationships"><Relationship Type="http://schemas.openxmlformats.org/officeDocument/2006/relationships/table" Target="/xl/tables/table7.xml" Id="R3df818e1a7f34316" /></Relationships>
</file>

<file path=xl/worksheets/_rels/sheet10.xml.rels>&#65279;<?xml version="1.0" encoding="utf-8"?><Relationships xmlns="http://schemas.openxmlformats.org/package/2006/relationships"><Relationship Type="http://schemas.openxmlformats.org/officeDocument/2006/relationships/table" Target="/xl/tables/table8.xml" Id="R520f1dacff544999" /></Relationships>
</file>

<file path=xl/worksheets/_rels/sheet11.xml.rels>&#65279;<?xml version="1.0" encoding="utf-8"?><Relationships xmlns="http://schemas.openxmlformats.org/package/2006/relationships"><Relationship Type="http://schemas.openxmlformats.org/officeDocument/2006/relationships/table" Target="/xl/tables/table9.xml" Id="R7d962f1d6b8d491b" /></Relationships>
</file>

<file path=xl/worksheets/_rels/sheet13.xml.rels>&#65279;<?xml version="1.0" encoding="utf-8"?><Relationships xmlns="http://schemas.openxmlformats.org/package/2006/relationships"><Relationship Type="http://schemas.openxmlformats.org/officeDocument/2006/relationships/table" Target="/xl/tables/table10.xml" Id="R60a81d0b8bbd412a" /></Relationships>
</file>

<file path=xl/worksheets/_rels/sheet14.xml.rels>&#65279;<?xml version="1.0" encoding="utf-8"?><Relationships xmlns="http://schemas.openxmlformats.org/package/2006/relationships"><Relationship Type="http://schemas.openxmlformats.org/officeDocument/2006/relationships/table" Target="/xl/tables/table11.xml" Id="Rdf1074cc52d845f2" /></Relationships>
</file>

<file path=xl/worksheets/_rels/sheet15.xml.rels>&#65279;<?xml version="1.0" encoding="utf-8"?><Relationships xmlns="http://schemas.openxmlformats.org/package/2006/relationships"><Relationship Type="http://schemas.openxmlformats.org/officeDocument/2006/relationships/table" Target="/xl/tables/table12.xml" Id="R549fc85df91945bd" /></Relationships>
</file>

<file path=xl/worksheets/_rels/sheet16.xml.rels>&#65279;<?xml version="1.0" encoding="utf-8"?><Relationships xmlns="http://schemas.openxmlformats.org/package/2006/relationships"><Relationship Type="http://schemas.openxmlformats.org/officeDocument/2006/relationships/table" Target="/xl/tables/table13.xml" Id="R269e7414ab02495e"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v>✓</x:v>
      </x:c>
      <x:c r="B245" s="133" t="str">
        <x:v>13B-11</x:v>
      </x:c>
      <x:c r="C245" s="133" t="str">
        <x:v>13B Dark Design System Foundation</x:v>
      </x:c>
      <x:c r="D245" s="133" t="str">
        <x:v>Brand</x:v>
      </x:c>
      <x:c r="E245" s="133" t="str">
        <x:v>Standardize logo treatment on dark surfaces</x:v>
      </x:c>
      <x:c r="F245" s="133" t="str">
        <x:v>Canonical logo placement, padding, minimum size and dark-background treatment are documented and reused.</x:v>
      </x:c>
      <x:c r="G245" s="133" t="str">
        <x:v>P0</x:v>
      </x:c>
      <x:c r="H245" s="133" t="str">
        <x:v>Completed</x:v>
      </x:c>
      <x:c r="I245" s="133" t="str">
        <x:v>Project Owner / Product / Engineering</x:v>
      </x:c>
      <x:c r="J245" s="133"/>
      <x:c r="K245" s="133" t="str">
        <x:v>13A-02</x:v>
      </x:c>
      <x:c r="L245" s="133"/>
      <x:c r="M245" s="133" t="str">
        <x:v>PASS / DARK-SURFACE LOGO CONTRACT STANDARDIZED — Published commit 76d82183ad5bb30a00f68c9305579d4b6d9b4a41 updates globals.css, executive-contract.ts, its focused test, and only the scoped dark-surface hunks in nexus-pavilion-logo.tsx. The canonical component now supports surface="dark" through np-logo-dark, with 32px minimum size, 12px clear space, transparent background and intrinsic aspect preservation. Official logo assets, geometry, colors, proportions and variant semantics were not modified.</x:v>
      </x:c>
      <x:c r="N245" s="249"/>
      <x:c r="O245" s="249" t="n">
        <x:v>46295</x:v>
      </x:c>
      <x:c r="P245" s="135" t="str">
        <x:v>Validation before publication: focused tests PASS (72), lint PASS, build PASS, git diff --check PASS. The logo component contained pre-existing unrelated loading/fetchPriority work; selective staging excluded those hunks and preserved them in the working tree. Independent remote verification confirms the commit contains exactly the three clean design-system files plus only the surface="dark" / np-logo-dark wiring in the logo component. No page/shell migration or asset edits were included. Next: 13B-12 — Design-system foundation review.</x:v>
      </x:c>
    </x:row>
    <x:row r="246">
      <x:c r="A246" s="133" t="str">
        <x:v>✓</x:v>
      </x:c>
      <x:c r="B246" s="133" t="str">
        <x:v>13B-12</x:v>
      </x:c>
      <x:c r="C246" s="133" t="str">
        <x:v>13B Dark Design System Foundation</x:v>
      </x:c>
      <x:c r="D246" s="133" t="str">
        <x:v>Review</x:v>
      </x:c>
      <x:c r="E246" s="133" t="str">
        <x:v>Design-system foundation review</x:v>
      </x:c>
      <x:c r="F246" s="133" t="str">
        <x:v>No core page styling work starts until shared tokens are accepted and visual regressions are understood.</x:v>
      </x:c>
      <x:c r="G246" s="133" t="str">
        <x:v>P0</x:v>
      </x:c>
      <x:c r="H246" s="133" t="str">
        <x:v>Completed</x:v>
      </x:c>
      <x:c r="I246" s="133" t="str">
        <x:v>Project Owner / Product / Engineering</x:v>
      </x:c>
      <x:c r="J246" s="133"/>
      <x:c r="K246" s="133" t="str">
        <x:v>13B-01</x:v>
      </x:c>
      <x:c r="L246" s="133"/>
      <x:c r="M246" s="133" t="str">
        <x:v>PASS / DESIGN-SYSTEM FOUNDATION GATE — Read-only review at HEAD 378ac6461ec77a49e25559469ce58f27dfbedbc8 confirmed the completed 13B foundation is coherent and ready for Phase 13C. Semantic colors, typography, spacing/grid, surfaces/depth, status palette, Nexus Intelligence language, interaction states, motion durations, easing/reduced motion, dark-surface logo treatment, light-mode compatibility, and accessibility contracts all PASS. No blocking design-system defect was found.</x:v>
      </x:c>
      <x:c r="N246" s="249"/>
      <x:c r="O246" s="249" t="n">
        <x:v>46295</x:v>
      </x:c>
      <x:c r="P246" s="135" t="str">
        <x:v>Validation: focused design-system tests PASS (41), lint PASS, build PASS, git diff --check PASS. No files were modified during the review. Deferred adoption gaps remain, including existing page/component-local styling and motion classes, but these are non-blocking and intentionally proceed through later controlled 13C/13D/13E/13H adoption work. Gate recommendation: PASS — proceed to 13C. Next: 13C-01 — Standardize button system.</x:v>
      </x:c>
    </x:row>
    <x:row r="247">
      <x:c r="A247" s="133" t="str">
        <x:v>✓</x:v>
      </x:c>
      <x:c r="B247" s="133" t="str">
        <x:v>13C-01</x:v>
      </x:c>
      <x:c r="C247" s="133" t="str">
        <x:v>13C Shared Enterprise Components</x:v>
      </x:c>
      <x:c r="D247" s="133" t="str">
        <x:v>Components</x:v>
      </x:c>
      <x:c r="E247" s="133" t="str">
        <x:v>Standardize button system</x:v>
      </x:c>
      <x:c r="F247" s="133" t="str">
        <x:v>Primary/secondary/tertiary/destructive/icon/loading/disabled buttons share one behavior.</x:v>
      </x:c>
      <x:c r="G247" s="133" t="str">
        <x:v>P0</x:v>
      </x:c>
      <x:c r="H247" s="133" t="str">
        <x:v>Completed</x:v>
      </x:c>
      <x:c r="I247" s="133" t="str">
        <x:v>Project Owner / Product / Engineering</x:v>
      </x:c>
      <x:c r="J247" s="133" t="str">
        <x:v>Cursor UI 03</x:v>
      </x:c>
      <x:c r="K247" s="133" t="str">
        <x:v>13B-12</x:v>
      </x:c>
      <x:c r="L247" s="133"/>
      <x:c r="M247" s="133" t="str">
        <x:v>PASS / EXECUTIVE BUTTON CONTRACT STANDARDIZED — Published commit 0c507085e76a69e315f2887803cfb53f1f00556a updates only executive-contract.ts and its focused test. The existing executive CTA contract is extended into one shared button system covering primary, secondary, tertiary, destructive and icon roles, with shared loading and disabled-state behavior. Existing click/form/navigation behavior is preserved and no new component was created.</x:v>
      </x:c>
      <x:c r="N247" s="249"/>
      <x:c r="O247" s="249" t="n">
        <x:v>46295</x:v>
      </x:c>
      <x:c r="P247" s="135" t="str">
        <x:v>Validation before publication: focused button/design-system tests PASS (71), lint PASS, build PASS, git diff --check PASS. Pre-commit boundary review confirmed both files CLEAN-SCOPE with no page/component migration, no RegisterForm change, no click/submit/navigation/business-logic change and no unrelated edits. Pages and RegisterForm still using local/light-theme button classes are deferred to controlled adoption. Next: 13C-02 — Standardize form controls.</x:v>
      </x:c>
    </x:row>
    <x:row r="248">
      <x:c r="A248" s="133" t="str">
        <x:v>✓</x:v>
      </x:c>
      <x:c r="B248" s="133" t="str">
        <x:v>13C-02</x:v>
      </x:c>
      <x:c r="C248" s="133" t="str">
        <x:v>13C Shared Enterprise Components</x:v>
      </x:c>
      <x:c r="D248" s="133" t="str">
        <x:v>Components</x:v>
      </x:c>
      <x:c r="E248" s="133" t="str">
        <x:v>Standardize form controls</x:v>
      </x:c>
      <x:c r="F248" s="133" t="str">
        <x:v>Inputs, textareas, selects, checkboxes, radio and validation states share one dark-first system.</x:v>
      </x:c>
      <x:c r="G248" s="133" t="str">
        <x:v>P0</x:v>
      </x:c>
      <x:c r="H248" s="133" t="str">
        <x:v>Completed</x:v>
      </x:c>
      <x:c r="I248" s="133" t="str">
        <x:v>Project Owner / Product / Engineering</x:v>
      </x:c>
      <x:c r="J248" s="133"/>
      <x:c r="K248" s="133" t="str">
        <x:v>13B-12</x:v>
      </x:c>
      <x:c r="L248" s="133"/>
      <x:c r="M248" s="133" t="str">
        <x:v>PASS / EXECUTIVE FORM-CONTROL CONTRACT STANDARDIZED — Published commit 2dd0043c360a0c003d57ff7a0cad7a4a28e39d32 updates only executive-contract.ts and its focused test. The shared dark-first form contract now covers input, textarea, select, checkbox and radio controls together with label, helper, error, disabled and read-only states. Existing semantic focus/status tokens and native accessible control behavior are preserved; no new form component was created.</x:v>
      </x:c>
      <x:c r="N248" s="249"/>
      <x:c r="O248" s="249" t="n">
        <x:v>46295</x:v>
      </x:c>
      <x:c r="P248" s="135" t="str">
        <x:v>Validation before publication: focused form/design-system tests PASS (43), lint PASS, build PASS, git diff --check PASS. Pre-commit boundary review confirmed both files CLEAN-SCOPE with no page/form migration, no RegisterForm change, no date/deadline work, no validation/schema/submit/business-logic change and no unrelated edits. Existing local field classes and the light-theme RegisterForm input remain deferred to controlled adoption. Next: 13C-03 — Standardize date/deadline controls.</x:v>
      </x:c>
    </x:row>
    <x:row r="249">
      <x:c r="A249" s="133" t="str">
        <x:v>✓</x:v>
      </x:c>
      <x:c r="B249" s="133" t="str">
        <x:v>13C-03</x:v>
      </x:c>
      <x:c r="C249" s="133" t="str">
        <x:v>13C Shared Enterprise Components</x:v>
      </x:c>
      <x:c r="D249" s="133" t="str">
        <x:v>Components</x:v>
      </x:c>
      <x:c r="E249" s="133" t="str">
        <x:v>Standardize date/deadline controls</x:v>
      </x:c>
      <x:c r="F249" s="133" t="str">
        <x:v>RFQ/RFI/submission dates use consistent control, timezone display and validation treatment.</x:v>
      </x:c>
      <x:c r="G249" s="133" t="str">
        <x:v>P0</x:v>
      </x:c>
      <x:c r="H249" s="133" t="str">
        <x:v>Completed</x:v>
      </x:c>
      <x:c r="I249" s="133" t="str">
        <x:v>Project Owner / Product / Engineering</x:v>
      </x:c>
      <x:c r="J249" s="133"/>
      <x:c r="K249" s="133" t="str">
        <x:v>13B-12</x:v>
      </x:c>
      <x:c r="L249" s="133"/>
      <x:c r="M249" s="133" t="str">
        <x:v>PASS / DATE-DEADLINE CONTROL CONTRACT STANDARDIZED — Published commit d111e3d4b95c7221bca3fb3aeca3a221219974a2 updates DeadlineField, executive-contract.ts and its focused test. The existing DeadlineField now consumes the shared dark-first form contract for datetime and timezone controls, with standardized timezone badge, label/helper treatment and semantic validation styling. Deadline parsing, timezone conversion, min/max validation, RFQ/RFI/procurement opening logic and existing event handlers remain unchanged.</x:v>
      </x:c>
      <x:c r="N249" s="249"/>
      <x:c r="O249" s="249" t="n">
        <x:v>46295</x:v>
      </x:c>
      <x:c r="P249" s="135" t="str">
        <x:v>Validation before publication: focused date/deadline + design-system tests PASS (82), lint PASS, build PASS, git diff --check PASS. Pre-commit scope/behavior review confirmed all three files CLEAN-SCOPE, with no parsing, timezone-conversion, min/max validation or procurement/deadline business-logic changes. Intentional visual change is limited to the shared dark-first date/deadline treatment. Standalone date inputs outside DeadlineField remain deferred to controlled adoption. Next: 13C-04 — Standardize badges/status chips.</x:v>
      </x:c>
    </x:row>
    <x:row r="250">
      <x:c r="A250" s="133" t="str">
        <x:v>✓</x:v>
      </x:c>
      <x:c r="B250" s="133" t="str">
        <x:v>13C-04</x:v>
      </x:c>
      <x:c r="C250" s="133" t="str">
        <x:v>13C Shared Enterprise Components</x:v>
      </x:c>
      <x:c r="D250" s="133" t="str">
        <x:v>Components</x:v>
      </x:c>
      <x:c r="E250" s="133" t="str">
        <x:v>Standardize badges/status chips</x:v>
      </x:c>
      <x:c r="F250" s="133" t="str">
        <x:v>RFQ, RFI, quote, award, risk and workflow statuses use one semantic badge system.</x:v>
      </x:c>
      <x:c r="G250" s="133" t="str">
        <x:v>P0</x:v>
      </x:c>
      <x:c r="H250" s="133" t="str">
        <x:v>Completed</x:v>
      </x:c>
      <x:c r="I250" s="133" t="str">
        <x:v>Project Owner / Product / Engineering</x:v>
      </x:c>
      <x:c r="J250" s="133"/>
      <x:c r="K250" s="133" t="str">
        <x:v>13B-12</x:v>
      </x:c>
      <x:c r="L250" s="133"/>
      <x:c r="M250" s="133" t="str">
        <x:v>PASS / SEMANTIC BADGE SYSTEM STANDARDIZED — Published commit 4af570c530859b8572a0a4d48cc2ad2547b5fdc1 updates ExecutiveBadge, the existing RFQ workspace ExecutiveStatusBadge helper, executive-contract.ts and its focused test. Canonical semantic badge roles/classes now live in the shared contract, and both shared badge implementations consume the same success/warning/risk/info/neutral/gold/board treatment. Awarded, recommended and locked alias semantics remain unchanged; no new badge component was created.</x:v>
      </x:c>
      <x:c r="N250" s="249"/>
      <x:c r="O250" s="249" t="n">
        <x:v>46295</x:v>
      </x:c>
      <x:c r="P250" s="135" t="str">
        <x:v>Validation before publication: focused badge/design-system tests PASS (73), lint PASS, build PASS, git diff --check PASS. Pre-commit semantic review confirmed all four files CLEAN-SCOPE, with no status-name/meaning changes, no RFQ/RFI/quote/award workflow or procurement-logic change, and no unrelated edits. Intentional visual change is limited to shared semantic badge normalization. Page-local status chips remain deferred to controlled adoption. Next: 13C-05 — Standardize card roles.</x:v>
      </x:c>
    </x:row>
    <x:row r="251">
      <x:c r="A251" s="133" t="str">
        <x:v>✓</x:v>
      </x:c>
      <x:c r="B251" s="133" t="str">
        <x:v>13C-05</x:v>
      </x:c>
      <x:c r="C251" s="133" t="str">
        <x:v>13C Shared Enterprise Components</x:v>
      </x:c>
      <x:c r="D251" s="133" t="str">
        <x:v>Components</x:v>
      </x:c>
      <x:c r="E251" s="133" t="str">
        <x:v>Standardize card roles</x:v>
      </x:c>
      <x:c r="F251" s="133" t="str">
        <x:v>Only Status/Metric/Action/Intelligence/Summary cards remain; redundant card variants are consolidated.</x:v>
      </x:c>
      <x:c r="G251" s="133" t="str">
        <x:v>P0</x:v>
      </x:c>
      <x:c r="H251" s="133" t="str">
        <x:v>Completed</x:v>
      </x:c>
      <x:c r="I251" s="133" t="str">
        <x:v>Project Owner / Product / Engineering</x:v>
      </x:c>
      <x:c r="J251" s="133"/>
      <x:c r="K251" s="133" t="str">
        <x:v>13B-12</x:v>
      </x:c>
      <x:c r="L251" s="133"/>
      <x:c r="M251" s="133" t="str">
        <x:v>PASS / CANONICAL CARD ROLES STANDARDIZED — Published commit a3af9776410417736ff4b02b1375b31a1a5dbd8b updates only executive-contract.ts and its focused test. The shared card contract now defines exactly five roles: Status, Metric, Action, Intelligence and Summary. Each role reuses the existing tile/panel depth, surface, radius and elevation contracts; the Intelligence role explicitly reuses the existing Nexus Intelligence surface contract. No new card component was created and no existing component was deleted or replaced.</x:v>
      </x:c>
      <x:c r="N251" s="249"/>
      <x:c r="O251" s="249" t="n">
        <x:v>46295</x:v>
      </x:c>
      <x:c r="P251" s="135" t="str">
        <x:v>Validation before publication: focused card/design-system tests PASS (74), lint PASS, build PASS, git diff --check PASS. Pre-commit boundary review confirmed both files CLEAN-SCOPE with no component deletion/replacement, no page/card migration, no business/data behavior change and no unrelated edits. Existing metric/action/insight/risk cards that still use local panel treatments remain deferred to controlled adoption. Next: 13C-06 — Standardize enterprise tables.</x:v>
      </x:c>
    </x:row>
    <x:row r="252">
      <x:c r="A252" s="133" t="str">
        <x:v>✓</x:v>
      </x:c>
      <x:c r="B252" s="133" t="str">
        <x:v>13C-06</x:v>
      </x:c>
      <x:c r="C252" s="133" t="str">
        <x:v>13C Shared Enterprise Components</x:v>
      </x:c>
      <x:c r="D252" s="133" t="str">
        <x:v>Components</x:v>
      </x:c>
      <x:c r="E252" s="133" t="str">
        <x:v>Standardize enterprise tables</x:v>
      </x:c>
      <x:c r="F252" s="133" t="str">
        <x:v>Sticky headers, alignment, density, overflow, sorting/filter visual states and responsive behavior are consistent.</x:v>
      </x:c>
      <x:c r="G252" s="133" t="str">
        <x:v>P0</x:v>
      </x:c>
      <x:c r="H252" s="133" t="str">
        <x:v>Completed</x:v>
      </x:c>
      <x:c r="I252" s="133" t="str">
        <x:v>Project Owner / Product / Engineering</x:v>
      </x:c>
      <x:c r="J252" s="133"/>
      <x:c r="K252" s="133" t="str">
        <x:v>13B-12</x:v>
      </x:c>
      <x:c r="L252" s="133"/>
      <x:c r="M252" s="133" t="str">
        <x:v>PASS / ENTERPRISE TABLE CONTRACT STANDARDIZED — Published commit 8a4f5b621f3d6bf78f7c95b383ca464610041a87 updates only executive-contract.ts and its focused test. No shared table component existed, so 13C-06 intentionally defined the shared presentation contract only: responsive horizontal overflow, sticky headers, consistent header/cell density, numeric right alignment with tabular figures, screen-reader caption treatment, and shared active sort/filter visual states. No new table component was created.</x:v>
      </x:c>
      <x:c r="N252" s="249"/>
      <x:c r="O252" s="249" t="n">
        <x:v>46295</x:v>
      </x:c>
      <x:c r="P252" s="135" t="str">
        <x:v>Validation before publication: focused table/design-system tests PASS (46), lint PASS, build PASS, git diff --check PASS. Pre-commit consistency review confirmed both files CLEAN-SCOPE, no shared table primitive was reused, no page/table migration occurred, and no sorting/filtering/query/data/pagination behavior changed. Existing page-local tables remain deferred to controlled adoption. Next: 13C-07 — Standardize dialogs and confirmation modals.</x:v>
      </x:c>
    </x:row>
    <x:row r="253">
      <x:c r="A253" s="133" t="str">
        <x:v>✓</x:v>
      </x:c>
      <x:c r="B253" s="133" t="str">
        <x:v>13C-07</x:v>
      </x:c>
      <x:c r="C253" s="133" t="str">
        <x:v>13C Shared Enterprise Components</x:v>
      </x:c>
      <x:c r="D253" s="133" t="str">
        <x:v>Components</x:v>
      </x:c>
      <x:c r="E253" s="133" t="str">
        <x:v>Standardize dialogs and confirmation modals</x:v>
      </x:c>
      <x:c r="F253" s="133" t="str">
        <x:v>Consequential actions use consistent confirmation hierarchy and keyboard behavior.</x:v>
      </x:c>
      <x:c r="G253" s="133" t="str">
        <x:v>P0</x:v>
      </x:c>
      <x:c r="H253" s="133" t="str">
        <x:v>Completed</x:v>
      </x:c>
      <x:c r="I253" s="133" t="str">
        <x:v>Project Owner / Product / Engineering</x:v>
      </x:c>
      <x:c r="J253" s="133"/>
      <x:c r="K253" s="133" t="str">
        <x:v>13B-12</x:v>
      </x:c>
      <x:c r="L253" s="133"/>
      <x:c r="M253" s="133" t="str">
        <x:v>PASS / CONFIRMATION DIALOG CONTRACT STANDARDIZED — Published commit df6627fa7de5d7ddc2c9f706c406422dd240c965 updates ExecutiveConfirmDialog, executive-contract.ts and its focused test. The existing shared dialog now consumes one canonical overlay/surface/title/body/actions hierarchy and the shared primary, secondary and destructive button contracts. Confirm/cancel handlers, Escape behavior, focus trapping, accessible labeling and destructive action meaning are preserved; no new dialog component was created.</x:v>
      </x:c>
      <x:c r="N253" s="249"/>
      <x:c r="O253" s="249" t="n">
        <x:v>46295</x:v>
      </x:c>
      <x:c r="P253" s="135" t="str">
        <x:v>Validation before publication: focused dialog/design-system tests PASS (58), lint PASS, build PASS, git diff --check PASS. Pre-commit scope/behavior review confirmed all three files CLEAN-SCOPE with no handler changes, no keyboard/focus regression, no adverse accessibility change, no authorization/business-logic change, no page-level window.confirm migration and no company-delete dialog migration. Intentional visual change is limited to the shared dialog treatment. Remaining page-level confirmations are deferred to controlled adoption. Next: 13C-08 — Standardize drawers/side panels.</x:v>
      </x:c>
    </x:row>
    <x:row r="254">
      <x:c r="A254" s="133" t="str">
        <x:v>✓</x:v>
      </x:c>
      <x:c r="B254" s="133" t="str">
        <x:v>13C-08</x:v>
      </x:c>
      <x:c r="C254" s="133" t="str">
        <x:v>13C Shared Enterprise Components</x:v>
      </x:c>
      <x:c r="D254" s="133" t="str">
        <x:v>Components</x:v>
      </x:c>
      <x:c r="E254" s="133" t="str">
        <x:v>Standardize drawers/side panels</x:v>
      </x:c>
      <x:c r="F254" s="133" t="str">
        <x:v>Contextual help, filters, details and intelligence use reusable drawer primitives.</x:v>
      </x:c>
      <x:c r="G254" s="133" t="str">
        <x:v>P0</x:v>
      </x:c>
      <x:c r="H254" s="133" t="str">
        <x:v>Completed</x:v>
      </x:c>
      <x:c r="I254" s="133" t="str">
        <x:v>Project Owner / Product / Engineering</x:v>
      </x:c>
      <x:c r="J254" s="133"/>
      <x:c r="K254" s="133" t="str">
        <x:v>13B-12</x:v>
      </x:c>
      <x:c r="L254" s="133"/>
      <x:c r="M254" s="133" t="str">
        <x:v>PASS / DRAWER CONTRACT STANDARDIZED — Published commit 9da855568cfd287319ac99a1d823d8d0f67eef0c updates only executive-contract.ts and its focused test. No shared drawer component existed, so 13C-08 intentionally standardized the reusable drawer/side-panel presentation contract only: overlay alignment/backdrop, sidebar-width surface treatment, header/body/footer hierarchy, shared icon close treatment and Nexus Intelligence surface reuse. No drawer component was created.</x:v>
      </x:c>
      <x:c r="N254" s="249"/>
      <x:c r="O254" s="249" t="n">
        <x:v>46295</x:v>
      </x:c>
      <x:c r="P254" s="135" t="str">
        <x:v>Validation before publication: focused drawer/design-system tests PASS (48), lint PASS, build PASS, git diff --check PASS. Pre-commit boundary review confirmed both files CLEAN-SCOPE, no new drawer component, no page/sidebar/contextual-panel migration, no filter/help/detail/data/query/state behavior change and no unrelated edits. Existing contextual panels and sidebars remain on their local layouts pending controlled adoption. Next: 13C-09 — Standardize tooltips/popovers.</x:v>
      </x:c>
    </x:row>
    <x:row r="255">
      <x:c r="A255" s="133" t="str">
        <x:v>✓</x:v>
      </x:c>
      <x:c r="B255" s="133" t="str">
        <x:v>13C-09</x:v>
      </x:c>
      <x:c r="C255" s="133" t="str">
        <x:v>13C Shared Enterprise Components</x:v>
      </x:c>
      <x:c r="D255" s="133" t="str">
        <x:v>Components</x:v>
      </x:c>
      <x:c r="E255" s="133" t="str">
        <x:v>Standardize tooltips/popovers</x:v>
      </x:c>
      <x:c r="F255" s="133" t="str">
        <x:v>Short contextual explanations share timing, placement and accessibility behavior.</x:v>
      </x:c>
      <x:c r="G255" s="133" t="str">
        <x:v>P1</x:v>
      </x:c>
      <x:c r="H255" s="133" t="str">
        <x:v>Completed</x:v>
      </x:c>
      <x:c r="I255" s="133" t="str">
        <x:v>Project Owner / Product / Engineering</x:v>
      </x:c>
      <x:c r="J255" s="133"/>
      <x:c r="K255" s="133" t="str">
        <x:v>13B-12</x:v>
      </x:c>
      <x:c r="L255" s="133"/>
      <x:c r="M255" s="133" t="str">
        <x:v>PASS / TOOLTIP-POPOVER CONTRACT STANDARDIZED — Published commit 4b67a4a9c7179ee42bb49769f182d769b12c39d2 updates only executive-contract.ts and its focused test. No shared tooltip/popover component existed, so 13C-09 intentionally standardized the presentation/accessibility contract only: compact elevated surfaces, tooltip/popover placement offsets, fast motion timing and preserved accessibility expectations. No tooltip or popover component was created.</x:v>
      </x:c>
      <x:c r="N255" s="249"/>
      <x:c r="O255" s="249" t="n">
        <x:v>46295</x:v>
      </x:c>
      <x:c r="P255" s="135" t="str">
        <x:v>Validation before publication: focused tooltip/design-system tests PASS (49), lint PASS, build PASS, git diff --check PASS. Pre-commit boundary review confirmed both files CLEAN-SCOPE, no new tooltip/popover component, no page/help migration, no content/business/data/state behavior change and no unrelated edits. Existing page help remains on local title/description wiring pending controlled adoption. Next: 13C-10 — Standardize toast/inline feedback.</x:v>
      </x:c>
    </x:row>
    <x:row r="256">
      <x:c r="A256" s="133" t="str">
        <x:v>✓</x:v>
      </x:c>
      <x:c r="B256" s="133" t="str">
        <x:v>13C-10</x:v>
      </x:c>
      <x:c r="C256" s="133" t="str">
        <x:v>13C Shared Enterprise Components</x:v>
      </x:c>
      <x:c r="D256" s="133" t="str">
        <x:v>Components</x:v>
      </x:c>
      <x:c r="E256" s="133" t="str">
        <x:v>Standardize toast/inline feedback</x:v>
      </x:c>
      <x:c r="F256" s="133" t="str">
        <x:v>Success, error, warning and informational feedback share one non-intrusive system.</x:v>
      </x:c>
      <x:c r="G256" s="133" t="str">
        <x:v>P0</x:v>
      </x:c>
      <x:c r="H256" s="133" t="str">
        <x:v>Completed</x:v>
      </x:c>
      <x:c r="I256" s="133" t="str">
        <x:v>Project Owner / Product / Engineering</x:v>
      </x:c>
      <x:c r="J256" s="133"/>
      <x:c r="K256" s="133" t="str">
        <x:v>13B-12</x:v>
      </x:c>
      <x:c r="L256" s="133"/>
      <x:c r="M256" s="133" t="str">
        <x:v>PASS / TOAST-INLINE FEEDBACK CONTRACT STANDARDIZED — Published commit 4807b1748a53505e111aef79c78f9c3f4260aba5 updates only executive-contract.ts and its focused test. No shared toast/inline-feedback component existed, so 13C-10 intentionally standardized the semantic, presentation and accessibility contract only: success/warning/error/info treatments, compact title/body hierarchy, icon/action/dismiss treatments, non-intrusive fixed placement, shared motion, and polite/assertive live-region expectations. No toast component or provider was created.</x:v>
      </x:c>
      <x:c r="N256" s="249"/>
      <x:c r="O256" s="249" t="n">
        <x:v>46295</x:v>
      </x:c>
      <x:c r="P256" s="135" t="str">
        <x:v>Validation before publication: focused feedback/design-system tests PASS (50), lint PASS, build PASS, git diff --check PASS. Pre-commit boundary review confirmed both files CLEAN-SCOPE, no feedback component/provider, no page-alert migration, no notification delivery/business/state behavior change and no unrelated edits. Existing page alerts remain on local status styling/live regions pending controlled adoption. Next: 13C-11 — Standardize loading/skeleton states.</x:v>
      </x:c>
    </x:row>
    <x:row r="257">
      <x:c r="A257" s="133" t="str">
        <x:v>✓</x:v>
      </x:c>
      <x:c r="B257" s="133" t="str">
        <x:v>13C-11</x:v>
      </x:c>
      <x:c r="C257" s="133" t="str">
        <x:v>13C Shared Enterprise Components</x:v>
      </x:c>
      <x:c r="D257" s="133" t="str">
        <x:v>Components</x:v>
      </x:c>
      <x:c r="E257" s="133" t="str">
        <x:v>Standardize loading/skeleton states</x:v>
      </x:c>
      <x:c r="F257" s="133" t="str">
        <x:v>Core async surfaces use reusable skeleton/progress patterns without artificial delays.</x:v>
      </x:c>
      <x:c r="G257" s="133" t="str">
        <x:v>P0</x:v>
      </x:c>
      <x:c r="H257" s="133" t="str">
        <x:v>Completed</x:v>
      </x:c>
      <x:c r="I257" s="133" t="str">
        <x:v>Project Owner / Product / Engineering</x:v>
      </x:c>
      <x:c r="J257" s="133"/>
      <x:c r="K257" s="133" t="str">
        <x:v>13B-12</x:v>
      </x:c>
      <x:c r="L257" s="133"/>
      <x:c r="M257" s="133" t="str">
        <x:v>PASS / LOADING-SKELETON CONTRACT STANDARDIZED — Published commit d10d5c143597295c1054750ee3e1624662069a64 updates ExecutiveProgress, executive-contract.ts and its focused test. The existing ExecutiveProgress primitive now consumes the shared progress track/value contract, using the existing Nexus gold and context-duration motion tokens. The shared loading contract also defines reusable skeleton surface/line treatments, screen-reader loading labels and polite live-region expectations. No skeleton component was created.</x:v>
      </x:c>
      <x:c r="N257" s="249"/>
      <x:c r="O257" s="249" t="n">
        <x:v>46295</x:v>
      </x:c>
      <x:c r="P257" s="135" t="str">
        <x:v>Validation before publication: focused loading/design-system tests PASS (80), lint PASS, build PASS, git diff --check PASS. Pre-commit scope/async-behavior review confirmed all three files CLEAN-SCOPE, no progress value/range behavior change, no timer/artificial delay, no fetch/query/Suspense/async logic change, reduced-motion compatibility preserved, accessibility semantics preserved, no route/page loading migration and no unrelated edits. Existing route loading screens remain on local skeleton blocks pending controlled adoption. Next: 13C-12 — Standardize empty states.</x:v>
      </x:c>
    </x:row>
    <x:row r="258">
      <x:c r="A258" s="133" t="str">
        <x:v>✓</x:v>
      </x:c>
      <x:c r="B258" s="133" t="str">
        <x:v>13C-12</x:v>
      </x:c>
      <x:c r="C258" s="133" t="str">
        <x:v>13C Shared Enterprise Components</x:v>
      </x:c>
      <x:c r="D258" s="133" t="str">
        <x:v>Components</x:v>
      </x:c>
      <x:c r="E258" s="133" t="str">
        <x:v>Standardize empty states</x:v>
      </x:c>
      <x:c r="F258" s="133" t="str">
        <x:v>Empty states explain context and next action using reusable layout/content rules.</x:v>
      </x:c>
      <x:c r="G258" s="133" t="str">
        <x:v>P0</x:v>
      </x:c>
      <x:c r="H258" s="133" t="str">
        <x:v>Completed</x:v>
      </x:c>
      <x:c r="I258" s="133" t="str">
        <x:v>Project Owner / Product / Engineering</x:v>
      </x:c>
      <x:c r="J258" s="133"/>
      <x:c r="K258" s="133" t="str">
        <x:v>13B-12</x:v>
      </x:c>
      <x:c r="L258" s="133"/>
      <x:c r="M258" s="133" t="str">
        <x:v>PASS / EMPTY-STATE CONTRACT STANDARDIZED — Published commit abec43ffa489d33307948671a662469fbf494550 updates only executive-contract.ts and its focused test. No shared empty-state component existed, so 13C-12 intentionally standardized the reusable layout/content/accessibility contract only: compact/full variants, dashed low-emphasis surface treatment, icon/eyebrow/title/body/action hierarchy, primary-action treatment, and status/polite live-region expectations. No empty-state component was created.</x:v>
      </x:c>
      <x:c r="N258" s="249"/>
      <x:c r="O258" s="249" t="n">
        <x:v>46296</x:v>
      </x:c>
      <x:c r="P258" s="135" t="str">
        <x:v>Validation before publication: focused empty-state/design-system tests PASS, lint PASS, build PASS, git diff --check PASS. Pre-commit boundary review confirmed both files CLEAN-SCOPE, no new empty-state component, no page/local-helper migration, no CTA destination/handler/navigation change, no business/data/permission condition change, no product-copy rewrite and no unrelated edits. Existing page-local empty states remain unwired to the shared contract pending controlled adoption. Next: 13C-13 — Standardize error states.</x:v>
      </x:c>
    </x:row>
    <x:row r="259">
      <x:c r="A259" s="133" t="str">
        <x:v>✓</x:v>
      </x:c>
      <x:c r="B259" s="133" t="str">
        <x:v>13C-13</x:v>
      </x:c>
      <x:c r="C259" s="133" t="str">
        <x:v>13C Shared Enterprise Components</x:v>
      </x:c>
      <x:c r="D259" s="133" t="str">
        <x:v>Components</x:v>
      </x:c>
      <x:c r="E259" s="133" t="str">
        <x:v>Standardize error states</x:v>
      </x:c>
      <x:c r="F259" s="133" t="str">
        <x:v>Errors identify problem, impact and recovery action consistently.</x:v>
      </x:c>
      <x:c r="G259" s="133" t="str">
        <x:v>P0</x:v>
      </x:c>
      <x:c r="H259" s="133" t="str">
        <x:v>Completed</x:v>
      </x:c>
      <x:c r="I259" s="133" t="str">
        <x:v>Project Owner / Product / Engineering</x:v>
      </x:c>
      <x:c r="J259" s="133"/>
      <x:c r="K259" s="133" t="str">
        <x:v>13B-12</x:v>
      </x:c>
      <x:c r="L259" s="133"/>
      <x:c r="M259" s="133" t="str">
        <x:v>PASS / ERROR-STATE CONTRACT STANDARDIZED — Published commit f53072386a4e4f51980ec1a8fa484765f536fdc1 updates only executive-contract.ts and its focused test. No shared error-state component existed, so 13C-13 intentionally standardized the semantic, presentation and accessibility contract only: risk-aligned error surface and icon treatment, problem/impact/recovery hierarchy, primary recovery action styling, and alert/assertive live-region expectations. No error-state component was created.</x:v>
      </x:c>
      <x:c r="N259" s="249"/>
      <x:c r="O259" s="249" t="n">
        <x:v>46296</x:v>
      </x:c>
      <x:c r="P259" s="135" t="str">
        <x:v>Validation before publication: focused error-state/design-system tests PASS, lint PASS, build PASS, git diff --check PASS. Pre-commit boundary review confirmed both files CLEAN-SCOPE, no new error-state component, no page/error-boundary migration, no retry/recovery-handler or navigation behavior change, no business/API/permission logic change, no broad product-copy rewrite and no unrelated edits. Existing page alerts and route error boundaries remain on local markup pending controlled adoption. Next: 13C-14 — Create workflow stepper component.</x:v>
      </x:c>
    </x:row>
    <x:row r="260">
      <x:c r="A260" s="133" t="str">
        <x:v>✓</x:v>
      </x:c>
      <x:c r="B260" s="133" t="str">
        <x:v>13C-14</x:v>
      </x:c>
      <x:c r="C260" s="133" t="str">
        <x:v>13C Shared Enterprise Components</x:v>
      </x:c>
      <x:c r="D260" s="133" t="str">
        <x:v>Components</x:v>
      </x:c>
      <x:c r="E260" s="133" t="str">
        <x:v>Create workflow stepper component</x:v>
      </x:c>
      <x:c r="F260" s="133" t="str">
        <x:v>Issuer/respondent lifecycle stages use one reusable accessible progress/navigation component.</x:v>
      </x:c>
      <x:c r="G260" s="133" t="str">
        <x:v>P0</x:v>
      </x:c>
      <x:c r="H260" s="133" t="str">
        <x:v>Completed</x:v>
      </x:c>
      <x:c r="I260" s="133" t="str">
        <x:v>Project Owner / Product / Engineering</x:v>
      </x:c>
      <x:c r="J260" s="133"/>
      <x:c r="K260" s="133" t="str">
        <x:v>13B-12</x:v>
      </x:c>
      <x:c r="L260" s="133"/>
      <x:c r="M260" s="133" t="str">
        <x:v>PASS / WORKFLOW STEPPER COMPONENT CREATED — Published commit 15406a70f7fdf319fdc645b5591c350b9f37788a adds one generic shared ExecutiveWorkflowStepper, its focused test, and the supporting executive design-system stepper contract/tests. The component is data-driven and supports completed/current/upcoming states, disabled/non-interactive stages, horizontal/compact responsive layouts, native link/button interaction, semantic nav/ordered-list structure, and aria-current='step' for the current stage.</x:v>
      </x:c>
      <x:c r="N260" s="249"/>
      <x:c r="O260" s="249" t="n">
        <x:v>46296</x:v>
      </x:c>
      <x:c r="P260" s="135" t="str">
        <x:v>Validation before publication: focused stepper/design-system tests PASS, lint PASS, build PASS, git diff --check PASS. Pre-commit architecture review confirmed all four files CLEAN-SCOPE, exactly one new shared stepper, no RFQ/procurement lifecycle rules, no issuer/respondent-specific wording, no embedded route/navigation logic, no page migration, no authorization/business/data behavior change and no unrelated edits. Existing RFQ wizard and executive decision timeline remain on local stage markup pending controlled adoption. Next: 13C-15 — Create intelligence card component.</x:v>
      </x:c>
    </x:row>
    <x:row r="261">
      <x:c r="A261" s="133" t="str">
        <x:v>✓</x:v>
      </x:c>
      <x:c r="B261" s="133" t="str">
        <x:v>13C-15</x:v>
      </x:c>
      <x:c r="C261" s="133" t="str">
        <x:v>13C Shared Enterprise Components</x:v>
      </x:c>
      <x:c r="D261" s="133" t="str">
        <x:v>Components</x:v>
      </x:c>
      <x:c r="E261" s="133" t="str">
        <x:v>Create intelligence card component</x:v>
      </x:c>
      <x:c r="F261" s="133" t="str">
        <x:v>Signal → evidence → impact → recommendation → action can be rendered consistently.</x:v>
      </x:c>
      <x:c r="G261" s="133" t="str">
        <x:v>P1</x:v>
      </x:c>
      <x:c r="H261" s="133" t="str">
        <x:v>Completed</x:v>
      </x:c>
      <x:c r="I261" s="133" t="str">
        <x:v>Project Owner / Product / Engineering</x:v>
      </x:c>
      <x:c r="J261" s="133"/>
      <x:c r="K261" s="133" t="str">
        <x:v>13B-12</x:v>
      </x:c>
      <x:c r="L261" s="133"/>
      <x:c r="M261" s="133" t="str">
        <x:v>PASS / INTELLIGENCE CARD COMPONENT CREATED — Published commit 380ceb6673ea4c34f8c08e4fa65fc1dfa6bdc659 adds one generic shared ExecutiveIntelligenceCard and its focused test. The component reuses the existing Nexus Intelligence card surface and preserves the canonical presentation hierarchy Signal → Evidence → Impact → Recommendation → Action, with optional status/evidence/impact/recommendation/action sections handled safely.</x:v>
      </x:c>
      <x:c r="N261" s="249"/>
      <x:c r="O261" s="249" t="n">
        <x:v>46296</x:v>
      </x:c>
      <x:c r="P261" s="135" t="str">
        <x:v>Validation before publication: focused intelligence-card tests PASS, lint PASS, build PASS, git diff --check PASS. Pre-commit architecture review confirmed both files CLEAN-SCOPE, exactly one new shared intelligence card, generic/presentation-only behavior, caller-driven Signal/Evidence/Impact/Recommendation content, caller-provided Action only, existing intelligence surface reuse, no recommendation/risk/score or business-domain logic, no AI/data/query/API behavior change, no page/component migration and no unrelated edits. Existing insight, risk, action and opportunity cards remain on local layouts pending controlled adoption. Next: 13C-16 — Create page/context header component.</x:v>
      </x:c>
    </x:row>
    <x:row r="262">
      <x:c r="A262" s="133" t="str">
        <x:v>✓</x:v>
      </x:c>
      <x:c r="B262" s="133" t="str">
        <x:v>13C-16</x:v>
      </x:c>
      <x:c r="C262" s="133" t="str">
        <x:v>13C Shared Enterprise Components</x:v>
      </x:c>
      <x:c r="D262" s="133" t="str">
        <x:v>Components</x:v>
      </x:c>
      <x:c r="E262" s="133" t="str">
        <x:v>Create page/context header component</x:v>
      </x:c>
      <x:c r="F262" s="133" t="str">
        <x:v>Company/project/RFQ title, status, deadlines and contextual actions use one shared header.</x:v>
      </x:c>
      <x:c r="G262" s="133" t="str">
        <x:v>P0</x:v>
      </x:c>
      <x:c r="H262" s="133" t="str">
        <x:v>Completed</x:v>
      </x:c>
      <x:c r="I262" s="133" t="str">
        <x:v>Project Owner / Product / Engineering</x:v>
      </x:c>
      <x:c r="J262" s="133"/>
      <x:c r="K262" s="133" t="str">
        <x:v>13B-12</x:v>
      </x:c>
      <x:c r="L262" s="133"/>
      <x:c r="M262" s="133" t="str">
        <x:v>PASS / PAGE-CONTEXT HEADER COMPONENT CREATED — Published commit 04f85bac3dca74b0d7498162423be52c4705f5f1 adds one generic shared ExecutivePageHeader and its focused test. The component accepts caller-provided title, optional eyebrow/context label, description, status, metadata/deadline content and actions, with semantic heading structure and responsive stacking/wrapping.</x:v>
      </x:c>
      <x:c r="N262" s="249"/>
      <x:c r="O262" s="249" t="n">
        <x:v>46296</x:v>
      </x:c>
      <x:c r="P262" s="135" t="str">
        <x:v>Validation before publication: focused page-header tests PASS, lint PASS, build PASS, git diff --check PASS. Pre-commit architecture review confirmed both files CLEAN-SCOPE, exactly one new shared header, generic/presentation-only behavior, caller-provided content/actions only, no status calculation, no deadline/overdue logic, no ownership/permission inference, no business-domain or navigation/action logic, no page migration and no unrelated edits. Existing RFQ command center, executive hero and report header remain on their local layouts pending controlled adoption. Next: 13C-17 — Component regression review.</x:v>
      </x:c>
    </x:row>
    <x:row r="263">
      <x:c r="A263" s="133" t="str">
        <x:v>✓</x:v>
      </x:c>
      <x:c r="B263" s="133" t="str">
        <x:v>13C-17</x:v>
      </x:c>
      <x:c r="C263" s="133" t="str">
        <x:v>13C Shared Enterprise Components</x:v>
      </x:c>
      <x:c r="D263" s="133" t="str">
        <x:v>Components</x:v>
      </x:c>
      <x:c r="E263" s="133" t="str">
        <x:v>Component regression review</x:v>
      </x:c>
      <x:c r="F263" s="133" t="str">
        <x:v>Shared component changes are verified before page-level adoption begins.</x:v>
      </x:c>
      <x:c r="G263" s="133" t="str">
        <x:v>P0</x:v>
      </x:c>
      <x:c r="H263" s="133" t="str">
        <x:v>Completed</x:v>
      </x:c>
      <x:c r="I263" s="133" t="str">
        <x:v>Project Owner / Product / Engineering</x:v>
      </x:c>
      <x:c r="J263" s="133"/>
      <x:c r="K263" s="133" t="str">
        <x:v>13B-12</x:v>
      </x:c>
      <x:c r="L263" s="133"/>
      <x:c r="M263" s="133" t="str">
        <x:v>PASS / PHASE 13C COMPONENT REGRESSION GATE CLOSED — Read-only regression review completed at HEAD cb982b1fa12656caa7a1ec0ae92753125e93a028 with no file modifications. The Phase 13C shared-component foundation was verified before page-level adoption: no duplicate component conflicts, no circular dependency risk, no regressions in ExecutiveConfirmDialog, ExecutiveProgress, ExecutiveWorkflowStepper, ExecutiveIntelligenceCard or ExecutivePageHeader, and no internal design-system contract inconsistency.</x:v>
      </x:c>
      <x:c r="N263" s="249"/>
      <x:c r="O263" s="249" t="n">
        <x:v>46296</x:v>
      </x:c>
      <x:c r="P263" s="135" t="str">
        <x:v>Focused Phase 13C/shared-component tests PASS; lint PASS; build PASS; git diff --check PASS. No business/procurement/auth/data logic leaked into shared UI, no page migration occurred within the reviewed Phase 13C scope, no artificial delay was introduced, accessibility contracts remain coherent and reduced-motion handling remains intact. Blocking issue: NONE. Phase 13C is complete. Next: 13D-01 — Implement dark-first authenticated Workspace Shell.</x:v>
      </x:c>
    </x:row>
    <x:row r="264">
      <x:c r="A264" s="133" t="str">
        <x:v>✓</x:v>
      </x:c>
      <x:c r="B264" s="133" t="str">
        <x:v>13D-01</x:v>
      </x:c>
      <x:c r="C264" s="133" t="str">
        <x:v>13D Workspace Shell &amp; Navigation</x:v>
      </x:c>
      <x:c r="D264" s="133" t="str">
        <x:v>Shell</x:v>
      </x:c>
      <x:c r="E264" s="133" t="str">
        <x:v>Implement dark-first authenticated Workspace Shell</x:v>
      </x:c>
      <x:c r="F264" s="133" t="str">
        <x:v>All authenticated pages inherit common background, max-width, content spacing and responsive structure.</x:v>
      </x:c>
      <x:c r="G264" s="133" t="str">
        <x:v>P0</x:v>
      </x:c>
      <x:c r="H264" s="133" t="str">
        <x:v>Completed</x:v>
      </x:c>
      <x:c r="I264" s="133" t="str">
        <x:v>Project Owner / Product / Engineering</x:v>
      </x:c>
      <x:c r="J264" s="133" t="str">
        <x:v>Cursor UI 04</x:v>
      </x:c>
      <x:c r="K264" s="133" t="str">
        <x:v>13C-17</x:v>
      </x:c>
      <x:c r="L264" s="133"/>
      <x:c r="M264" s="133" t="str">
        <x:v>PASS / AUTHENTICATED WORKSPACE SHELL STANDARDIZED — Published commit d8c4c1fa34affb0fa28f2259fe7d51ebe7e8e0d6 updates only src/components/app-shell.tsx and src/lib/navigation/application-shell.test.ts. Existing AppShell is reused as the single authenticated shell. Authenticated content now inherits the shared dark-first page foundation through EXECUTIVE_PAGE_CLASS, with Nexus navy background, shared max-width/padding/vertical spacing, and root overflow protection.</x:v>
      </x:c>
      <x:c r="N264" s="249"/>
      <x:c r="O264" s="249" t="n">
        <x:v>46296</x:v>
      </x:c>
      <x:c r="P264" s="135" t="str">
        <x:v>Validation before publication: focused shell/layout tests PASS, lint PASS, build PASS, git diff --check PASS. Pre-commit boundary review confirmed both files CLEAN-SCOPE, no parallel shell, no sidebar/topbar structure change, no navigation/auth/session/permission/business/data behavior change, no page migration, no Corporate surface change and no unrelated edits. Known deferred adoption issue: pages that already apply the page container may temporarily nest max-width/padding until controlled page adoption. Next: 13D-02 — Implement enterprise sidebar treatment.</x:v>
      </x:c>
    </x:row>
    <x:row r="265">
      <x:c r="A265" s="133" t="str">
        <x:v>✓</x:v>
      </x:c>
      <x:c r="B265" s="133" t="str">
        <x:v>13D-02</x:v>
      </x:c>
      <x:c r="C265" s="133" t="str">
        <x:v>13D Workspace Shell &amp; Navigation</x:v>
      </x:c>
      <x:c r="D265" s="133" t="str">
        <x:v>Sidebar</x:v>
      </x:c>
      <x:c r="E265" s="133" t="str">
        <x:v>Implement enterprise sidebar treatment</x:v>
      </x:c>
      <x:c r="F265" s="133" t="str">
        <x:v>Company Workspace sections, active state, hover, collapse, icons and tooltips are consistent and calm.</x:v>
      </x:c>
      <x:c r="G265" s="133" t="str">
        <x:v>P0</x:v>
      </x:c>
      <x:c r="H265" s="133" t="str">
        <x:v>Completed</x:v>
      </x:c>
      <x:c r="I265" s="133" t="str">
        <x:v>Project Owner / Product / Engineering</x:v>
      </x:c>
      <x:c r="J265" s="133"/>
      <x:c r="K265" s="133" t="str">
        <x:v>13D-01</x:v>
      </x:c>
      <x:c r="L265" s="133"/>
      <x:c r="M265" s="133" t="str">
        <x:v>PASS / ENTERPRISE SIDEBAR STANDARDIZED — Published commit 3f0567498712526bf37d110597f766bd05b3d68a updates only src/components/sidebar.tsx and src/lib/navigation/application-shell.test.ts. The existing Sidebar is reused; section hierarchy, active/hover states, collapsed treatment, icon treatment, compact labels/tooltips and motion/focus styling were standardized without creating a parallel navigation system.</x:v>
      </x:c>
      <x:c r="N265" s="249"/>
      <x:c r="O265" s="249" t="n">
        <x:v>46296</x:v>
      </x:c>
      <x:c r="P265" s="133" t="str">
        <x:v>Validation before publication: focused sidebar/navigation tests PASS, lint PASS, build PASS, git diff --check PASS. The previously logged hydration defect was structurally possible because experience-specific description text could differ after client context load. The fix defers experience-specific sublabels until context resolution while keeping labels/routes deterministic on the first render. Pre-commit review confirmed no nav-item/href changes, no route-visibility/auth changes, no company/workspace selection changes, no Topbar/AppShell changes, native keyboard/focus semantics preserved, navigation-neutral tooltip behavior, and no unrelated edits. Remaining note: the nav item set still follows loaded workspace experience after first paint; descriptions no longer expose the wrong sublabel during that wait. Next: 13D-03 — Implement global top/context header.</x:v>
      </x:c>
    </x:row>
    <x:row r="266">
      <x:c r="A266" s="133" t="str">
        <x:v>✓</x:v>
      </x:c>
      <x:c r="B266" s="133" t="str">
        <x:v>13D-03</x:v>
      </x:c>
      <x:c r="C266" s="133" t="str">
        <x:v>13D Workspace Shell &amp; Navigation</x:v>
      </x:c>
      <x:c r="D266" s="133" t="str">
        <x:v>Header</x:v>
      </x:c>
      <x:c r="E266" s="133" t="str">
        <x:v>Implement global top/context header</x:v>
      </x:c>
      <x:c r="F266" s="133" t="str">
        <x:v>Current company/context, breadcrumb, key actions and status/deadlines follow one layout.</x:v>
      </x:c>
      <x:c r="G266" s="133" t="str">
        <x:v>P0</x:v>
      </x:c>
      <x:c r="H266" s="133" t="str">
        <x:v>Completed</x:v>
      </x:c>
      <x:c r="I266" s="133" t="str">
        <x:v>Project Owner / Product / Engineering</x:v>
      </x:c>
      <x:c r="J266" s="133"/>
      <x:c r="K266" s="133" t="str">
        <x:v>13D-01</x:v>
      </x:c>
      <x:c r="L266" s="133"/>
      <x:c r="M266" s="133" t="str">
        <x:v>PASS / GLOBAL TOP-CONTEXT HEADER STANDARDIZED — Published commit d20566e4e3690d296df1d129454c28046b91868e updates AppTopbar, AppPageContext and the focused shell/navigation test only. The existing AppTopbar and AppPageContext were reused; no competing header system was created. Topbar context, breadcrumb hierarchy, action placement and status presentation were aligned to the executive design system while preserving one clear page-title hierarchy.</x:v>
      </x:c>
      <x:c r="N266" s="249"/>
      <x:c r="O266" s="249" t="n">
        <x:v>46296</x:v>
      </x:c>
      <x:c r="P266" s="135" t="str">
        <x:v>Validation before publication: focused topbar/context/shell tests PASS, lint PASS, build PASS, git diff --check PASS. Pre-commit boundary review confirmed all three files CLEAN-SCOPE, no duplicate page h1, no company-selection change, no breadcrumb/navigation change, no action-handler change, no status/deadline calculation change, no fabricated shell deadline, no auth/session/permission change, no Sidebar/AppShell change, hydration determinism preserved and no unrelated edits. Known remaining scope: shell has no deadline value to present; page-level deadlines remain on their pages. Next: 13D-04 — Add Search / Ask Nexus global entry point.</x:v>
      </x:c>
    </x:row>
    <x:row r="267">
      <x:c r="A267" s="133" t="str"/>
      <x:c r="B267" s="133" t="str">
        <x:v>13D-04</x:v>
      </x:c>
      <x:c r="C267" s="133" t="str">
        <x:v>13D Workspace Shell &amp; Navigation</x:v>
      </x:c>
      <x:c r="D267" s="133" t="str">
        <x:v>Search</x:v>
      </x:c>
      <x:c r="E267" s="133" t="str">
        <x:v>Add Search / Ask Nexus global entry point</x:v>
      </x:c>
      <x:c r="F267" s="133" t="str">
        <x:v>A single global entry exists without forcing a chatbot into every page.</x:v>
      </x:c>
      <x:c r="G267" s="133" t="str">
        <x:v>P1</x:v>
      </x:c>
      <x:c r="H267" s="133" t="str">
        <x:v>Blocked</x:v>
      </x:c>
      <x:c r="I267" s="133" t="str">
        <x:v>Project Owner / Product / Engineering</x:v>
      </x:c>
      <x:c r="J267" s="133"/>
      <x:c r="K267" s="133" t="str">
        <x:v>13D-03</x:v>
      </x:c>
      <x:c r="L267" s="133"/>
      <x:c r="M267" s="133" t="str">
        <x:v>BLOCKED / NO STABLE ASK NEXUS DESTINATION — Read-only search at HEAD 849e5d2059287beccf585bc753bfc5251e42349f found no existing Ask Nexus route, trigger, search destination or reusable global entry. The existing shell Insights link targets /analytics and is not an Ask Nexus experience. Per 13D-04 early-stop rules, no route, AI/chat experience, backend, search algorithm or shell entry was invented.</x:v>
      </x:c>
      <x:c r="N267" s="249"/>
      <x:c r="O267" s="249" t="n">
        <x:v>46296</x:v>
      </x:c>
      <x:c r="P267" s="135" t="str">
        <x:v>No files changed. Tests/lint/build/diff-check were not run because implementation did not begin. No Ask Nexus intelligence/payload, search algorithm, auth/permission, Sidebar or page-level chatbot behavior changed. Unblock criterion: an approved stable Ask Nexus/Search destination or existing trigger must exist so the shell can link to it without creating a new AI flow. 13D-04 remains open/Blocked. Next executable canonical task: 13D-05 — Connect workflow stepper to issuer/respondent context.</x:v>
      </x:c>
    </x:row>
    <x:row r="268">
      <x:c r="A268" s="133" t="str"/>
      <x:c r="B268" s="133" t="str">
        <x:v>13D-05</x:v>
      </x:c>
      <x:c r="C268" s="133" t="str">
        <x:v>13D Workspace Shell &amp; Navigation</x:v>
      </x:c>
      <x:c r="D268" s="133" t="str">
        <x:v>Context</x:v>
      </x:c>
      <x:c r="E268" s="133" t="str">
        <x:v>Connect workflow stepper to issuer/respondent context</x:v>
      </x:c>
      <x:c r="F268" s="133" t="str">
        <x:v>Current stage is visible without introducing permanent buyer/supplier mode.</x:v>
      </x:c>
      <x:c r="G268" s="133" t="str">
        <x:v>P0</x:v>
      </x:c>
      <x:c r="H268" s="133" t="str">
        <x:v>Blocked</x:v>
      </x:c>
      <x:c r="I268" s="133" t="str">
        <x:v>Project Owner / Product / Engineering</x:v>
      </x:c>
      <x:c r="J268" s="133"/>
      <x:c r="K268" s="133" t="str">
        <x:v>13C-14</x:v>
      </x:c>
      <x:c r="L268" s="133"/>
      <x:c r="M268" s="133" t="str">
        <x:v>BLOCKED / NO SAFE SHARED LIFECYCLE MAPPING — Read-only review at HEAD a73bb8df3e2037dfc02f887cbf75e865f3e15c70 found that issuer and respondent RFQ procurement stages are represented as different navigation lists in RFQExecutiveActions, and neither exposes completed/current/upcoming state compatible with ExecutiveWorkflowStepper. The decision timeline uses a different complete/active/locked/pending/watch model. Connecting the shared stepper now would require inventing current-stage semantics or dropping lock/watch meaning.</x:v>
      </x:c>
      <x:c r="N268" s="249"/>
      <x:c r="O268" s="249" t="n">
        <x:v>46296</x:v>
      </x:c>
      <x:c r="P268" s="135" t="str">
        <x:v>No files changed. Tests/lint/build/diff-check were not run because implementation stopped at the task's early-stop condition. No RFQ lifecycle/state-machine, deadline/commercial-lock, authorization, Workspace Membership, quotation/evaluation/award, route or navigation behavior changed. Unblock criterion: an approved caller-owned lifecycle mapping must expose stepper-compatible completed/current/upcoming semantics for the targeted issuer/respondent context without losing lock/watch states or inventing stage meaning. 13D-05 remains open/Blocked. Next executable canonical task: 13D-06 — Implement compact authenticated enterprise footer.</x:v>
      </x:c>
    </x:row>
    <x:row r="269">
      <x:c r="A269" s="133" t="str">
        <x:v>✓</x:v>
      </x:c>
      <x:c r="B269" s="133" t="str">
        <x:v>13D-06</x:v>
      </x:c>
      <x:c r="C269" s="133" t="str">
        <x:v>13D Workspace Shell &amp; Navigation</x:v>
      </x:c>
      <x:c r="D269" s="133" t="str">
        <x:v>Footer</x:v>
      </x:c>
      <x:c r="E269" s="133" t="str">
        <x:v>Implement compact authenticated enterprise footer</x:v>
      </x:c>
      <x:c r="F269" s="133" t="str">
        <x:v>Privacy, Security, Help, System Status and version/environment area are available without marketing clutter.</x:v>
      </x:c>
      <x:c r="G269" s="133" t="str">
        <x:v>P1</x:v>
      </x:c>
      <x:c r="H269" s="133" t="str">
        <x:v>Completed</x:v>
      </x:c>
      <x:c r="I269" s="133" t="str">
        <x:v>Project Owner / Product / Engineering</x:v>
      </x:c>
      <x:c r="J269" s="133" t="str">
        <x:v>Cursor UI 05</x:v>
      </x:c>
      <x:c r="K269" s="133" t="str">
        <x:v>13D-01</x:v>
      </x:c>
      <x:c r="L269" s="133"/>
      <x:c r="M269" s="133" t="str">
        <x:v>PASS / AUTHENTICATED ENTERPRISE FOOTER STANDARDIZED — Published commit 05d826e2dfb46bb788b198c227fa6cea7e7ae5a4 updates only src/components/application-footer.tsx and src/lib/navigation/application-shell.test.ts. The existing authenticated ApplicationFooter is reused. Privacy, Terms and Support retain their existing real destinations; version is sourced from package.json and runtime environment from NODE_ENV. No unsupported Security, Help or System Status destination was invented.</x:v>
      </x:c>
      <x:c r="N269" s="249"/>
      <x:c r="O269" s="249" t="n">
        <x:v>46296</x:v>
      </x:c>
      <x:c r="P269" s="135" t="str">
        <x:v>Validation before publication: focused footer/shell tests PASS (41), lint PASS, build PASS, git diff --check PASS. Pre-commit boundary review confirmed both files CLEAN-SCOPE, no second footer, no route changes, no fabricated system-health data, no invented destinations/values, no marketing copy, no auth/session behavior change, no AppShell/Sidebar/AppTopbar change, no Corporate-footer change and no unrelated edits. Known remaining scope: no existing Security, Help or System Status destination is available; these remain intentionally absent until real destinations exist. Next executable canonical task: 13D-07 — Implement sidebar/header responsive behavior.</x:v>
      </x:c>
    </x:row>
    <x:row r="270">
      <x:c r="A270" s="133" t="str">
        <x:v>✓</x:v>
      </x:c>
      <x:c r="B270" s="133" t="str">
        <x:v>13D-07</x:v>
      </x:c>
      <x:c r="C270" s="133" t="str">
        <x:v>13D Workspace Shell &amp; Navigation</x:v>
      </x:c>
      <x:c r="D270" s="133" t="str">
        <x:v>Responsive</x:v>
      </x:c>
      <x:c r="E270" s="133" t="str">
        <x:v>Implement sidebar/header responsive behavior</x:v>
      </x:c>
      <x:c r="F270" s="133" t="str">
        <x:v>Desktop/tablet/mobile shell remains usable and content-first.</x:v>
      </x:c>
      <x:c r="G270" s="133" t="str">
        <x:v>P0</x:v>
      </x:c>
      <x:c r="H270" s="133" t="str">
        <x:v>Completed</x:v>
      </x:c>
      <x:c r="I270" s="133" t="str">
        <x:v>Project Owner / Product / Engineering</x:v>
      </x:c>
      <x:c r="J270" s="133"/>
      <x:c r="K270" s="133" t="str">
        <x:v>13D-02</x:v>
      </x:c>
      <x:c r="L270" s="133"/>
      <x:c r="M270" s="133" t="str">
        <x:v>PASS / AUTHENTICATED SHELL RESPONSIVE BEHAVIOR HARDENED — Published commit 62897f8b263c00f668e95d7c7adaee3aa3560d92 updates only src/components/sidebar.tsx, src/components/common/AppTopbar.tsx, src/components/app-page-context.tsx and src/lib/navigation/application-shell.test.ts. Shared shell presentation was tightened for mobile/tablet/desktop overflow protection, topbar wrapping and breadcrumb truncation while preserving existing navigation behavior.</x:v>
      </x:c>
      <x:c r="N270" s="249"/>
      <x:c r="O270" s="249" t="n">
        <x:v>46296</x:v>
      </x:c>
      <x:c r="P270" s="135" t="str">
        <x:v>Validation before publication: focused responsive shell/navigation tests PASS (83), lint PASS, build PASS, git diff --check PASS. Pre-commit boundary review confirmed all four files CLEAN-SCOPE: desktop/collapsed/mobile sidebar behavior preserved; topbar wrapping/height changes do not alter actions; breadcrumb wrapping/truncation does not alter destinations; no nav item/route/active-state/auth/permission/workspace-selection/action-handler/page redesign/AppShell/Corporate change; no unrelated edits. Known remaining behavior: AppTopbar remains hidden below lg, preserving the existing mobile header; once visible, actions wrap rather than clip. Next: 13D-08 — Verify shell keyboard/focus/reduced-motion behavior.</x:v>
      </x:c>
    </x:row>
    <x:row r="271">
      <x:c r="A271" s="133" t="str">
        <x:v>✓</x:v>
      </x:c>
      <x:c r="B271" s="133" t="str">
        <x:v>13D-08</x:v>
      </x:c>
      <x:c r="C271" s="133" t="str">
        <x:v>13D Workspace Shell &amp; Navigation</x:v>
      </x:c>
      <x:c r="D271" s="133" t="str">
        <x:v>Accessibility</x:v>
      </x:c>
      <x:c r="E271" s="133" t="str">
        <x:v>Verify shell keyboard/focus/reduced-motion behavior</x:v>
      </x:c>
      <x:c r="F271" s="133" t="str">
        <x:v>Core navigation is accessible before page upgrades.</x:v>
      </x:c>
      <x:c r="G271" s="133" t="str">
        <x:v>P0</x:v>
      </x:c>
      <x:c r="H271" s="133" t="str">
        <x:v>Completed</x:v>
      </x:c>
      <x:c r="I271" s="133" t="str">
        <x:v>Project Owner / Product / Engineering</x:v>
      </x:c>
      <x:c r="J271" s="133"/>
      <x:c r="K271" s="133" t="str">
        <x:v>13D-07</x:v>
      </x:c>
      <x:c r="L271" s="133"/>
      <x:c r="M271" s="133" t="str">
        <x:v>PASS / EVIDENCE-ONLY SHELL ACCESSIBILITY VERIFICATION — At HEAD be1fef69fa9c7c2ea5428b21238fd0289c37377f, read-only verification confirmed keyboard reachability, native Link/Button semantics, mobile menu ARIA state, consistent visible focus treatment, collapsed navigation keyboard operability, topbar/breadcrumb/footer keyboard focus, absence of keyboard traps or responsive focus loss, and reduced-motion compliance. No shell-level accessibility defect required a code change.</x:v>
      </x:c>
      <x:c r="N271" s="249"/>
      <x:c r="O271" s="249" t="n">
        <x:v>46296</x:v>
      </x:c>
      <x:c r="P271" s="135" t="str">
        <x:v>Validation: focused shell accessibility/navigation tests PASS (83), lint PASS, build PASS, git diff --check PASS. Files changed: none. No navigation behavior, auth/permission behavior, page-specific work or intentional visual change. No incorrect tabbable decorative element found. 13D-08 is closed without a source commit because verification required no modification. Next executable canonical task: 13D-09 — Run route/navigation regression after shell adoption.</x:v>
      </x:c>
    </x:row>
    <x:row r="272">
      <x:c r="A272" s="133" t="str">
        <x:v>✓</x:v>
      </x:c>
      <x:c r="B272" s="133" t="str">
        <x:v>13D-09</x:v>
      </x:c>
      <x:c r="C272" s="133" t="str">
        <x:v>13D Workspace Shell &amp; Navigation</x:v>
      </x:c>
      <x:c r="D272" s="133" t="str">
        <x:v>Regression</x:v>
      </x:c>
      <x:c r="E272" s="133" t="str">
        <x:v>Run route/navigation regression after shell adoption</x:v>
      </x:c>
      <x:c r="F272" s="133" t="str">
        <x:v>Invitation/auth next paths and existing route behavior remain intact.</x:v>
      </x:c>
      <x:c r="G272" s="133" t="str">
        <x:v>P0</x:v>
      </x:c>
      <x:c r="H272" s="133" t="str">
        <x:v>Completed</x:v>
      </x:c>
      <x:c r="I272" s="133" t="str">
        <x:v>Project Owner / Product / Engineering</x:v>
      </x:c>
      <x:c r="J272" s="133"/>
      <x:c r="K272" s="133" t="str">
        <x:v>13D-01</x:v>
      </x:c>
      <x:c r="L272" s="133" t="str">
        <x:v>G2</x:v>
      </x:c>
      <x:c r="M272" s="133" t="str">
        <x:v>PASS / EVIDENCE-ONLY ROUTE-NAVIGATION REGRESSION — At HEAD 881ce17c23c94fd3fe6a98ab479c58227f84738c, regression verification confirmed authenticated destinations, Sidebar/AppTopbar/breadcrumb destinations, invitation next-path behavior, login/auth next behavior, protected routes, RFQ protected-route behavior, and public/authenticated boundaries remain intact after shell adoption. No auth bypass, legacy/duplicate route reintroduction, Corporate route impact, or route/navigation regression was found.</x:v>
      </x:c>
      <x:c r="N272" s="249"/>
      <x:c r="O272" s="249" t="n">
        <x:v>46296</x:v>
      </x:c>
      <x:c r="P272" s="135" t="str">
        <x:v>Validation: focused route/navigation/auth regression tests PASS (101), lint PASS, build PASS, git diff --check PASS. Files changed: none. No intentional visual change. 13D-09 is closed without a source commit because verification required no modification. Next executable canonical task: 13D-10 — Workspace Shell sign-off.</x:v>
      </x:c>
    </x:row>
    <x:row r="273">
      <x:c r="A273" s="133" t="str">
        <x:v>✓</x:v>
      </x:c>
      <x:c r="B273" s="133" t="str">
        <x:v>13D-10</x:v>
      </x:c>
      <x:c r="C273" s="133" t="str">
        <x:v>13D Workspace Shell &amp; Navigation</x:v>
      </x:c>
      <x:c r="D273" s="133" t="str">
        <x:v>Review</x:v>
      </x:c>
      <x:c r="E273" s="133" t="str">
        <x:v>Workspace Shell sign-off</x:v>
      </x:c>
      <x:c r="F273" s="133" t="str">
        <x:v>Shared shell is approved before broad page-by-page visual migration.</x:v>
      </x:c>
      <x:c r="G273" s="133" t="str">
        <x:v>P0</x:v>
      </x:c>
      <x:c r="H273" s="133" t="str">
        <x:v>Completed</x:v>
      </x:c>
      <x:c r="I273" s="133" t="str">
        <x:v>Project Owner / Product / Engineering</x:v>
      </x:c>
      <x:c r="J273" s="133"/>
      <x:c r="K273" s="133" t="str">
        <x:v>13D-09</x:v>
      </x:c>
      <x:c r="L273" s="133"/>
      <x:c r="M273" s="133" t="str">
        <x:v>PASS / WORKSPACE SHELL SIGN-OFF — At HEAD d67b4030d011a4aa62016cad11d6e60bc975643e, read-only sign-off confirmed the shared authenticated shell is stable, non-duplicative, responsive, accessible, route-safe, and coherent across Sidebar, AppTopbar, AppPageContext, ApplicationFooter and AppShell. Desktop/mobile navigation, authenticated/public boundaries, accessibility verification and route/navigation regression remain preserved. No known shell-level defect remains and no PASS/CLOSED task requires reopening.</x:v>
      </x:c>
      <x:c r="N273" s="249"/>
      <x:c r="O273" s="249" t="n">
        <x:v>46296</x:v>
      </x:c>
      <x:c r="P273" s="135" t="str">
        <x:v>No files changed. 13D-04 remains BLOCKED/Open because no approved Ask Nexus/Search destination exists; 13D-05 remains BLOCKED/Open because issuer/respondent RFQ workflow presentation lacks a safe caller-owned mapping compatible with ExecutiveWorkflowStepper. Sign-off review determined neither blocker is an unfinished shared-shell contract and neither prevents broad page migration. Broad page migration is safe without immediate shell rework. Next executable canonical task: 13E-01 — Create reusable Nexus Completion Moment.</x:v>
      </x:c>
    </x:row>
    <x:row r="274">
      <x:c r="A274" s="133" t="str">
        <x:v>✓</x:v>
      </x:c>
      <x:c r="B274" s="133" t="str">
        <x:v>13E-01</x:v>
      </x:c>
      <x:c r="C274" s="133" t="str">
        <x:v>13E Motion &amp; Completion System</x:v>
      </x:c>
      <x:c r="D274" s="133" t="str">
        <x:v>Motion</x:v>
      </x:c>
      <x:c r="E274" s="133" t="str">
        <x:v>Create reusable Nexus Completion Moment</x:v>
      </x:c>
      <x:c r="F274" s="133" t="str">
        <x:v>Action → processing → confirmation → state change → next-best-action is a reusable enterprise pattern.</x:v>
      </x:c>
      <x:c r="G274" s="133" t="str">
        <x:v>P0</x:v>
      </x:c>
      <x:c r="H274" s="133" t="str">
        <x:v>Completed</x:v>
      </x:c>
      <x:c r="I274" s="133" t="str">
        <x:v>Project Owner / Product / Engineering</x:v>
      </x:c>
      <x:c r="J274" s="133" t="str">
        <x:v>Cursor UI 06</x:v>
      </x:c>
      <x:c r="K274" s="133" t="str">
        <x:v>13B-10</x:v>
      </x:c>
      <x:c r="L274" s="133"/>
      <x:c r="M274" s="133" t="str">
        <x:v>PASS / REUSABLE EXECUTIVE COMPLETION MOMENT CREATED — Published commit f1e9c57aed1ee38a94ed13746faa0605b0308c30 adds only src/components/executive/executive-completion-moment.tsx and src/components/executive/executive-completion-moment.test.ts. No reusable equivalent existed, so one small presentation-only primitive was created. It supports caller-owned processing and confirmed states, state-change summary, supporting detail, next-best-action and secondary action while reusing ExecutiveProgress and existing feedback/motion contracts.</x:v>
      </x:c>
      <x:c r="N274" s="249"/>
      <x:c r="O274" s="249" t="n">
        <x:v>46296</x:v>
      </x:c>
      <x:c r="P274" s="135" t="str">
        <x:v>Validation before publication: focused completion tests PASS (2), lint PASS, build PASS, git diff --check PASS. Pre-commit boundary review confirmed both files CLEAN-SCOPE: presentation-only; no API/async ownership, timers, auto-navigation, route/auth imports, RFQ lifecycle logic, quotation/evaluation/award logic, Workspace Membership logic, existing workflow migration, Corporate changes or unrelated edits. Native caller-provided action semantics remain accessibility-safe and reduced-motion behavior is inherited through the existing ExecutiveProgress/design-system contract. Next executable canonical task: 13E-02 — Implement RFQ created completion moment.</x:v>
      </x:c>
    </x:row>
    <x:row r="275">
      <x:c r="A275" s="133" t="str"/>
      <x:c r="B275" s="133" t="str">
        <x:v>13E-02</x:v>
      </x:c>
      <x:c r="C275" s="133" t="str">
        <x:v>13E Motion &amp; Completion System</x:v>
      </x:c>
      <x:c r="D275" s="133" t="str">
        <x:v>Motion</x:v>
      </x:c>
      <x:c r="E275" s="133" t="str">
        <x:v>Implement RFQ created completion moment</x:v>
      </x:c>
      <x:c r="F275" s="133" t="str">
        <x:v>RFQ creation confirms success and guides next configuration step without confetti.</x:v>
      </x:c>
      <x:c r="G275" s="133" t="str">
        <x:v>P1</x:v>
      </x:c>
      <x:c r="H275" s="133" t="str">
        <x:v>Blocked</x:v>
      </x:c>
      <x:c r="I275" s="133" t="str">
        <x:v>Project Owner / Product / Engineering</x:v>
      </x:c>
      <x:c r="J275" s="133"/>
      <x:c r="K275" s="133" t="str">
        <x:v>13E-01</x:v>
      </x:c>
      <x:c r="L275" s="133"/>
      <x:c r="M275" s="133" t="str">
        <x:v>BLOCKED / NO STABLE RFQ-CREATION SUCCESS SURFACE — Read-only review at HEAD 9920cda91534f0c953d08f9835d4e112cec0b42c found that successful RFQ creation waits about two seconds and then always navigates to /rfq/{slug}. There is no stable existing success state on which to mount ExecutiveCompletionMoment without changing current navigation behavior.</x:v>
      </x:c>
      <x:c r="N275" s="249"/>
      <x:c r="O275" s="249" t="n">
        <x:v>46296</x:v>
      </x:c>
      <x:c r="P275" s="135" t="str">
        <x:v>No files changed. Tests/lint/build/diff-check were not run because implementation stopped at the explicit early-stop condition. RFQ creation behavior, validation/submit behavior, created RFQ identity/slug handling, payload/schema, sourcing/deadline logic, authorization, supplier invitation behavior, quotation/evaluation/award logic and Workspace Membership behavior remain unchanged. No new route, auto-publish behavior or altered auto-navigation was introduced. Unblock criterion: an approved stable RFQ-creation success state must exist, or the navigation contract must be explicitly changed in a separate governed task. Next executable canonical task: 13E-03 — Implement RFQ published completion moment.</x:v>
      </x:c>
    </x:row>
    <x:row r="276">
      <x:c r="A276" s="133" t="str"/>
      <x:c r="B276" s="133" t="str">
        <x:v>13E-03</x:v>
      </x:c>
      <x:c r="C276" s="133" t="str">
        <x:v>13E Motion &amp; Completion System</x:v>
      </x:c>
      <x:c r="D276" s="133" t="str">
        <x:v>Motion</x:v>
      </x:c>
      <x:c r="E276" s="133" t="str">
        <x:v>Implement RFQ published completion moment</x:v>
      </x:c>
      <x:c r="F276" s="133" t="str">
        <x:v>Publish state shows invited count/deadlines and next engagement action.</x:v>
      </x:c>
      <x:c r="G276" s="133" t="str">
        <x:v>P1</x:v>
      </x:c>
      <x:c r="H276" s="133" t="str">
        <x:v>Blocked</x:v>
      </x:c>
      <x:c r="I276" s="133" t="str">
        <x:v>Project Owner / Product / Engineering</x:v>
      </x:c>
      <x:c r="J276" s="133"/>
      <x:c r="K276" s="133" t="str">
        <x:v>13E-01</x:v>
      </x:c>
      <x:c r="L276" s="133"/>
      <x:c r="M276" s="133" t="str">
        <x:v>BLOCKED / NO STABLE RFQ-PUBLISH SUCCESS SURFACE — Read-only review at HEAD dd7272e2c986d591fe7943397665104e3a185f89 found that the RFQ publish wizard sets success and then always navigates to /rfq/{slug} after about two seconds. The transient overlay has no stable host for ExecutiveCompletionMoment, no truthful invited-count source at that surface, and no separate existing next engagement action.</x:v>
      </x:c>
      <x:c r="N276" s="249"/>
      <x:c r="O276" s="249" t="n">
        <x:v>46296</x:v>
      </x:c>
      <x:c r="P276" s="135" t="str">
        <x:v>No files changed. Tests/lint/build/diff-check were not run because implementation stopped at the explicit early-stop condition. RFQ publish behavior and gating, status-transition logic, publish payload, supplier invitation behavior, deadline/commercial-lock logic, authorization, Workspace Membership and quotation/evaluation/award logic remain unchanged. No route/action, invited count, deadline, or next engagement action was invented. Unblock criterion: an approved stable post-publish success state must exist, or the navigation/state contract must be explicitly changed in a separate governed task; truthful invited-count/deadline/next-action sources must be available at that surface. Next executable canonical task: 13E-04 — Implement invitation sent feedback.</x:v>
      </x:c>
    </x:row>
    <x:row r="277">
      <x:c r="A277" s="133" t="str">
        <x:v>✓</x:v>
      </x:c>
      <x:c r="B277" s="133" t="str">
        <x:v>13E-04</x:v>
      </x:c>
      <x:c r="C277" s="133" t="str">
        <x:v>13E Motion &amp; Completion System</x:v>
      </x:c>
      <x:c r="D277" s="133" t="str">
        <x:v>Motion</x:v>
      </x:c>
      <x:c r="E277" s="133" t="str">
        <x:v>Implement invitation sent feedback</x:v>
      </x:c>
      <x:c r="F277" s="133" t="str">
        <x:v>Delivery/retry state is animated subtly and truthfully reflects sent/skipped/failed.</x:v>
      </x:c>
      <x:c r="G277" s="133" t="str">
        <x:v>P1</x:v>
      </x:c>
      <x:c r="H277" s="133" t="str">
        <x:v>Completed</x:v>
      </x:c>
      <x:c r="I277" s="133" t="str">
        <x:v>Project Owner / Product / Engineering</x:v>
      </x:c>
      <x:c r="J277" s="133"/>
      <x:c r="K277" s="133" t="str">
        <x:v>13E-01</x:v>
      </x:c>
      <x:c r="L277" s="133"/>
      <x:c r="M277" s="133" t="str">
        <x:v>PASS / EXISTING RFQ INVITATION DELIVERY FEEDBACK VERIFIED — At HEAD 508f25555495881739d36070bf9bd9bfe93fb9db, read-only verification confirmed the existing RFQ Procurement Invitation feedback already exposes a stable delivery-result state with truthful sent, skipped and failed outcomes and preserves the existing retry action. No ExecutiveCompletionMoment migration or presentation change was required.</x:v>
      </x:c>
      <x:c r="N277" s="249"/>
      <x:c r="O277" s="249" t="n">
        <x:v>46296</x:v>
      </x:c>
      <x:c r="P277" s="135" t="str">
        <x:v>Validation: focused RFQ invitation feedback tests PASS (13), lint PASS, build PASS, git diff --check PASS. Files changed: none. Invitation send behavior, recipient selection, deduplication/skipping rules, email delivery logic, retry eligibility, authorization, RFQ lifecycle/deadline logic, routes/navigation and Workspace Membership Invitation remain unchanged. No auto-retry introduced. Keyboard/focus, reduced-motion and accessibility/live-region behavior remain preserved. 13E-04 is closed without a source commit. Next executable canonical task: 13E-05 — Implement RFI submitted completion moment.</x:v>
      </x:c>
    </x:row>
    <x:row r="278">
      <x:c r="A278" s="133" t="str">
        <x:v>✓</x:v>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str">
        <x:v>Completed</x:v>
      </x:c>
      <x:c r="I278" s="133" t="str">
        <x:v>Project Owner / Product / Engineering</x:v>
      </x:c>
      <x:c r="J278" s="133" t="str"/>
      <x:c r="K278" s="133" t="inlineStr">
        <x:is>
          <x:t xml:space="preserve">13E-01</x:t>
        </x:is>
      </x:c>
      <x:c r="L278" s="133" t="str"/>
      <x:c r="M278" s="133" t="str">
        <x:v>PASS / RFI SUBMISSION COMPLETION MOMENT PUBLISHED — Commit 696c0f917a820bd0bf7b69d533ab258a7e24143f changes only src/components/rfq-workspace/rfq-rfi-workspace.tsx and src/components/rfq-workspace/rfq-rfi-submission.test.ts. The existing stable RFI submission success state now reuses ExecutiveCompletionMoment and presents confirmation from the returned/persisted RFI record.</x:v>
      </x:c>
      <x:c r="N278" s="249" t="n"/>
      <x:c r="O278" s="249" t="n">
        <x:v>46296</x:v>
      </x:c>
      <x:c r="P278" s="135" t="str">
        <x:v>Validation before publication: focused RFI submission tests PASS (49), lint PASS, build PASS, git diff --check PASS. Boundary review confirmed both task files CLEAN-SCOPE. Existing POST /api/rfq-rfis submit behavior and question payload are preserved; timestamp is sourced from rfi.created_at and status from existing rfi.status. No next action was invented because no existing proposal destination exists on the success surface. No route/auto-navigation, RFI payload/schema, RFQ lifecycle/status, quotation/proposal, deadline/commercial-lock, authorization, Workspace Membership, Corporate or unrelated changes were introduced. Remote branch verification confirmed parent b1358379cdd844d1b16ca01521075cc3ef1ce4e8 and exactly two changed files. Next executable canonical task: 13E-06 — Implement clarification/addendum published feedback.</x:v>
      </x:c>
    </x:row>
    <x:row r="279">
      <x:c r="A279" s="133" t="str">
        <x:v>✓</x:v>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str">
        <x:v>Completed</x:v>
      </x:c>
      <x:c r="I279" s="133" t="str">
        <x:v>Project Owner / Product / Engineering</x:v>
      </x:c>
      <x:c r="J279" s="133" t="str"/>
      <x:c r="K279" s="133" t="inlineStr">
        <x:is>
          <x:t xml:space="preserve">13E-01</x:t>
        </x:is>
      </x:c>
      <x:c r="L279" s="133" t="str"/>
      <x:c r="M279" s="133" t="str">
        <x:v>PASS / ADDENDUM PUBLICATION COMPLETION FEEDBACK PUBLISHED — Commit 8179c3939f2be8559f888142396a272d8fa03f19 changes only src/components/rfq-addenda-manager.tsx and src/components/rfq-workspace/rfq-addenda-manager.test.ts. The existing stable Addendum publication success state now reuses ExecutiveCompletionMoment and truthfully separates publication confirmation, acknowledgement implication, and returned notification delivery outcomes.</x:v>
      </x:c>
      <x:c r="N279" s="249" t="n"/>
      <x:c r="O279" s="249" t="n">
        <x:v>46296</x:v>
      </x:c>
      <x:c r="P279" s="135" t="str">
        <x:v>Validation before publication: focused addenda tests PASS (6), lint PASS, build PASS, git diff --check PASS. Boundary diagnosis found clean 13E-06 hunks mixed with pre-existing governed-handoff work; a temporary-index isolation check proved the task stands independently from HEAD and the isolated focused test PASS. Remote verification confirmed parent 43db5aa9a77546f805085e25cf68f56fde562781 and exactly two authorized files. Existing POST /api/rfq-addenda request, payload, validation, create lock, loading, error handling, list insertion, form reset, acknowledgement execution flow, RFQ lifecycle, deadline/commercial-lock, authorization, Workspace Membership, routes and Corporate scope remain unchanged. Publication remains confirmed even when notification delivery reports skipped/failed outcomes; no next action, route, supplier count or acknowledgement count was invented. Next executable canonical task: 13E-07 — Implement quote/proposal submitted completion moment.</x:v>
      </x:c>
    </x:row>
    <x:row r="280">
      <x:c r="A280" s="133" t="str">
        <x:f>IF(H280="Completed","✓",IF(H280="Blocked","!",""))</x:f>
        <x:v>!</x:v>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str">
        <x:v>Blocked</x:v>
      </x:c>
      <x:c r="I280" s="133" t="str">
        <x:v>Project Owner / Product / Engineering</x:v>
      </x:c>
      <x:c r="J280" s="133" t="str"/>
      <x:c r="K280" s="133" t="inlineStr">
        <x:is>
          <x:t xml:space="preserve">13E-01</x:t>
        </x:is>
      </x:c>
      <x:c r="L280" s="133" t="str"/>
      <x:c r="M280" s="133" t="str">
        <x:v>BLOCKED / NO STABLE QUOTE-SUBMISSION COMPLETION SURFACE — Read-only inspection at HEAD 777656999c0138dcd5b02a3d2d80709e44d1e049 confirmed the canonical respondent submit workspace uses /api/quotes and immediately router.push(`/rfq/${slug}`) plus router.refresh() after successful new submission, revised resubmission, or reconfirmation. The returned POST response contains truthful quote identity/state and the PATCH revalidation response contains truthful quote/revalidation identity/time, but no stable existing success host remains on the submit surface for ExecutiveCompletionMoment.</x:v>
      </x:c>
      <x:c r="N280" s="249" t="n"/>
      <x:c r="O280" s="249" t="n">
        <x:v>46296</x:v>
      </x:c>
      <x:c r="P280" s="135" t="str">
        <x:v>No files changed. Tests/lint/build/diff-check were not rerun because implementation stopped at the explicit early-stop condition. Existing quote POST/PATCH behavior, deadline/addenda acknowledgement gates, authorization, confidentiality, duplicate-submission protection, payload/schema, quote revalidation, routes and Workspace Membership remain unchanged. A completion moment with ID/time and next tracking action would require changing the existing auto-navigation/state contract or introducing a new stable post-submit state. Unblock criterion: an approved stable post-submission success state must exist, or the navigation contract must be explicitly changed in a separate governed task. Next executable canonical task: 13E-08 — Implement award completion feedback.</x:v>
      </x:c>
    </x:row>
    <x:row r="281">
      <x:c r="A281" s="133" t="str">
        <x:f>IF(H281="Completed","✓",IF(H281="Blocked","!",""))</x:f>
        <x:v>!</x:v>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str">
        <x:v>Blocked</x:v>
      </x:c>
      <x:c r="I281" s="133" t="str">
        <x:v>Project Owner / Product / Engineering</x:v>
      </x:c>
      <x:c r="J281" s="133" t="str"/>
      <x:c r="K281" s="133" t="inlineStr">
        <x:is>
          <x:t xml:space="preserve">13E-01</x:t>
        </x:is>
      </x:c>
      <x:c r="L281" s="133" t="str"/>
      <x:c r="M281" s="133" t="str">
        <x:v>BLOCKED / NO STABLE AWARD-COMPLETION SURFACE — Read-only inspection at HEAD 0963d89958730d96ead64406f4cea3da0e754e28 confirmed AwardContractButton closes the confirmation dialog and immediately navigates to data.redirectTo or /rfq/{slug}, followed by router.refresh(), after a successful POST /api/award-contract. The API returns truthful awardedQuote, RFQ, redirectTo, Buyer/Supplier notification outcomes and warnings, but no stable existing success host remains on the award control surface for ExecutiveCompletionMoment.</x:v>
      </x:c>
      <x:c r="N281" s="249" t="n"/>
      <x:c r="O281" s="249" t="n">
        <x:v>46296</x:v>
      </x:c>
      <x:c r="P281" s="135" t="str">
        <x:v>No files changed. Tests/lint/build/diff-check were not rerun because implementation stopped at the explicit early-stop condition. Existing award RPC/API behavior, authorization, deadline/commercial-opening governance, Buyer/Supplier notification delivery, audit warnings, RFQ/Quote state transition, routes and Workspace Membership remain unchanged. Presenting an award completion moment and transition to commercial handoff would require changing the current post-award navigation/state contract or introducing a stable post-award success state. Unblock criterion: an approved stable post-award success state must exist, or the navigation contract must be explicitly changed in a separate governed task. Next executable canonical task: 13E-09 — Create processing-state pattern.</x:v>
      </x:c>
    </x:row>
    <x:row r="282">
      <x:c r="A282" s="133" t="str">
        <x:v>✓</x:v>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str">
        <x:v>Completed</x:v>
      </x:c>
      <x:c r="I282" s="133" t="str">
        <x:v>Project Owner / Product / Engineering</x:v>
      </x:c>
      <x:c r="J282" s="133" t="str"/>
      <x:c r="K282" s="133" t="inlineStr">
        <x:is>
          <x:t xml:space="preserve">13E-01</x:t>
        </x:is>
      </x:c>
      <x:c r="L282" s="133" t="str"/>
      <x:c r="M282" s="133" t="str">
        <x:v>PASS / EXISTING PROCESSING-STATE PATTERN VERIFIED — Read-only verification at HEAD d992098031a6468c90ec6babe6276b9b69985249 confirmed ExecutiveCompletionMoment already provides the reusable processing-state contract required by 13E-09. The existing `processing` state sets aria-busy, uses the shared informational feedback/live-region contract, and can render caller-provided real progress through ExecutiveProgress.</x:v>
      </x:c>
      <x:c r="N282" s="249" t="n"/>
      <x:c r="O282" s="249" t="n">
        <x:v>46296</x:v>
      </x:c>
      <x:c r="P282" s="135" t="str">
        <x:v>No source files changed. Existing focused ExecutiveCompletionMoment tests already verify processing before confirmed state, conditional ExecutiveProgress rendering, aria-busy/live-region semantics, shared motion tokens and motion-reduce behavior. The component owns no fetch/async workflow, timers, setTimeout, auto-navigation or fabricated stages, so fast actions do not gain fake delays; callers may show progress only when they have truthful progress values. No duplicate processing component was created. Next executable canonical task: 13E-10 — Standardize success animation.</x:v>
      </x:c>
    </x:row>
    <x:row r="283">
      <x:c r="A283" s="133" t="str">
        <x:v>✓</x:v>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str">
        <x:v>Completed</x:v>
      </x:c>
      <x:c r="I283" s="133" t="str">
        <x:v>Project Owner / Product / Engineering</x:v>
      </x:c>
      <x:c r="J283" s="133" t="str"/>
      <x:c r="K283" s="133" t="inlineStr">
        <x:is>
          <x:t xml:space="preserve">13B-10</x:t>
        </x:is>
      </x:c>
      <x:c r="L283" s="133" t="str"/>
      <x:c r="M283" s="133" t="str">
        <x:v>PASS / EXECUTIVE ATTENTION MOTION PATTERN PUBLISHED — Commit 786e7e3cdeb36e120b91624a78da6f6866a677e3 changes only src/lib/design-system/executive-contract.ts, src/app/globals.css, and src/lib/design-system/executive-contract.test.ts. A shared `np-attention` contract now provides a subtle one-shot warning/gold/cyan wash-and-edge highlight using existing executive motion tokens.</x:v>
      </x:c>
      <x:c r="N283" s="249" t="n"/>
      <x:c r="O283" s="249" t="n">
        <x:v>46296</x:v>
      </x:c>
      <x:c r="P283" s="135" t="str">
        <x:v>Validation before publication: focused design-system tests PASS (34), lint PASS, build PASS, git diff --check PASS; all three files CLEAN-SCOPE. Remote verification confirmed parent 4e1e770f3d456078839415265923ca3152742980 and exactly three authorized files. Animation iteration count is one, uses existing context/milestone durations and standard easing, returns to a static transparent state, and is disabled by the existing global prefers-reduced-motion contract. No infinite loop, scale, bounce, confetti, React component, product-page integration, token-value change, business logic, authorization, route or domain behavior was introduced. Next executable canonical task: 13E-11 — Standardize error/recovery motion.</x:v>
      </x:c>
    </x:row>
    <x:row r="284">
      <x:c r="A284" s="133" t="str">
        <x:v>✓</x:v>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str">
        <x:v>Completed</x:v>
      </x:c>
      <x:c r="I284" s="133" t="str">
        <x:v>Project Owner / Product / Engineering</x:v>
      </x:c>
      <x:c r="J284" s="133" t="str"/>
      <x:c r="K284" s="133" t="inlineStr">
        <x:is>
          <x:t xml:space="preserve">13B-10</x:t>
        </x:is>
      </x:c>
      <x:c r="L284" s="133" t="str"/>
      <x:c r="M284" s="133" t="str">
        <x:v>PASS / EXECUTIVE ERROR-RECOVERY PATTERN PUBLISHED — Commit fb37b1af5a4866327d444be6e9bab9364448dd42 changes only src/components/executive/executive-error-recovery.tsx, src/components/executive/executive-error-recovery.test.ts, src/lib/design-system/executive-contract.ts, and src/app/globals.css. A reusable presentation-only ExecutiveErrorRecovery primitive now reuses existing executive error contracts, supports caller-owned recovery copy/action and optional caller-owned focus transfer, and adds a subtle one-shot error highlight.</x:v>
      </x:c>
      <x:c r="N284" s="249" t="n"/>
      <x:c r="O284" s="249" t="n">
        <x:v>46296</x:v>
      </x:c>
      <x:c r="P284" s="135" t="str">
        <x:v>Validation before publication: focused tests PASS (5), lint PASS, build PASS, git diff --check PASS; all four files CLEAN-SCOPE. Remote verification confirmed parent 1af7bfdc537b640e8b9df84df2f142ca84b06218 and exactly four authorized files. The primitive owns no fetch/API, router/navigation, business logic, timers, or product-specific behavior. Focus moves only to a caller-provided target when active. The error highlight runs once, uses existing context/milestone durations and standard easing, returns to static state, and is disabled by the existing global reduced-motion policy. No product-page integration or existing token-value change was introduced. Next executable canonical task: 13E-12 — Set animation performance budget.</x:v>
      </x:c>
    </x:row>
    <x:row r="285">
      <x:c r="A285" s="133" t="str">
        <x:v>✓</x:v>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str">
        <x:v>Completed</x:v>
      </x:c>
      <x:c r="I285" s="133" t="str">
        <x:v>Project Owner / Product / Engineering</x:v>
      </x:c>
      <x:c r="J285" s="133" t="str"/>
      <x:c r="K285" s="133" t="inlineStr">
        <x:is>
          <x:t xml:space="preserve">13E-01</x:t>
        </x:is>
      </x:c>
      <x:c r="L285" s="133" t="str"/>
      <x:c r="M285" s="133" t="str">
        <x:v>PASS / EXECUTIVE MOTION PERFORMANCE BUDGET PUBLISHED — Commit 4afa4545e4f9cee1697d584311e6e6ceb6b8f21a changes only src/app/globals.css, src/lib/design-system/executive-contract.ts, src/lib/design-system/executive-contract.test.ts, and src/components/executive/executive-error-recovery.test.ts. The shared attention/recovery patterns now render their warning/risk visual state on non-interactive pseudo-element overlays and animate opacity only; the shared contract records opacity/transform as the permitted core motion performance properties and pointer-events:none for overlays.</x:v>
      </x:c>
      <x:c r="N285" s="249" t="n"/>
      <x:c r="O285" s="249" t="n">
        <x:v>46296</x:v>
      </x:c>
      <x:c r="P285" s="135" t="str">
        <x:v>Validation before publication: focused tests PASS (39), lint PASS, build PASS, git diff --check PASS; all four files CLEAN-SCOPE. Remote verification confirmed parent 00d4663dbd4da1126867f89acc830ee788a8a5b6 and exactly four authorized files. Attention/recovery remain one-shot; no animated background-color, box-shadow or layout properties remain in keyframes; overlays use pointer-events:none and therefore do not block interaction. Existing motion duration/easing token values and the global reduced-motion policy remain unchanged. No runtime instrumentation, timers, product-page integration, business logic, authorization, route or domain behavior changed. Next executable canonical task: 13E-13 — Reduced-motion QA for all milestone/attention patterns.</x:v>
      </x:c>
    </x:row>
    <x:row r="286">
      <x:c r="A286" s="133" t="str">
        <x:v>✓</x:v>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str">
        <x:v>Completed</x:v>
      </x:c>
      <x:c r="I286" s="133" t="str">
        <x:v>Project Owner / Product / Engineering</x:v>
      </x:c>
      <x:c r="J286" s="133" t="str"/>
      <x:c r="K286" s="133" t="inlineStr">
        <x:is>
          <x:t xml:space="preserve">13E-12</x:t>
        </x:is>
      </x:c>
      <x:c r="L286" s="133" t="str"/>
      <x:c r="M286" s="133" t="str">
        <x:v>PASS / REDUCED-MOTION QA PUBLISHED — Commit 15a6f528cad2fcacf3f0d37745ce76956f469893 changes only src/app/globals.css, src/lib/design-system/executive-contract.test.ts, src/components/executive/executive-error-recovery.test.ts, and src/components/executive/executive-completion-moment.test.ts. Under prefers-reduced-motion, Attention and Error Recovery now retain visible static overlays while animation remains globally disabled; Completion Moment remains fully understandable through its status, title, summary, detail and caller actions without depending on motion.</x:v>
      </x:c>
      <x:c r="N286" s="249" t="n"/>
      <x:c r="O286" s="249" t="n">
        <x:v>46296</x:v>
      </x:c>
      <x:c r="P286" s="135" t="str">
        <x:v>Validation before publication: focused tests PASS (42), lint PASS, build PASS, git diff --check PASS; all four files CLEAN-SCOPE. Remote verification confirmed parent becdb875cc9665e242ef1785ff710293154ba15f and exactly four authorized files. Normal-motion behavior and motion token values remain unchanged; no runtime media-query detection, requestAnimationFrame, timers, new components, product-page integration, business logic, authorization, route or domain behavior changed. Phase 13E executable work is exhausted, but 13E-02, 13E-03, 13E-07 and 13E-08 remain BLOCKED/Open pending approved stable completion-state/navigation contracts. Next executable canonical task: 13F-01 — Define five-level guidance model.</x:v>
      </x:c>
    </x:row>
    <x:row r="287">
      <x:c r="A287" s="133" t="str">
        <x:v>✓</x:v>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str">
        <x:v>Completed</x:v>
      </x:c>
      <x:c r="I287" s="133" t="str">
        <x:v>Project Owner / Product / Engineering</x:v>
      </x:c>
      <x:c r="J287" s="133" t="inlineStr">
        <x:is>
          <x:t xml:space="preserve">Cursor UI 07</x:t>
        </x:is>
      </x:c>
      <x:c r="K287" s="133" t="inlineStr">
        <x:is>
          <x:t xml:space="preserve">13D-10</x:t>
        </x:is>
      </x:c>
      <x:c r="L287" s="133" t="str"/>
      <x:c r="M287" s="133" t="str">
        <x:v>PASS / FIVE-LEVEL EXECUTIVE GUIDANCE MODEL PUBLISHED — Commit 2e653196cbcf1dc73938f0c2f955c924264cb751 adds exactly two domain-neutral files: src/lib/guidance/executive-guidance-model.ts and src/lib/guidance/executive-guidance-model.test.ts. The shared contract defines exactly five stable levels: L0 Silent Intelligence, L1 Inline Hint, L2 Guidance Card, L3 Anchored Coachmark, and L4 Interactive Nexus Guide, with typed purpose, interaction, proactive eligibility, interruption, persistence, visibility, modality, blocking and consequential-action boundaries.</x:v>
      </x:c>
      <x:c r="N287" s="249" t="n"/>
      <x:c r="O287" s="249" t="n">
        <x:v>46296</x:v>
      </x:c>
      <x:c r="P287" s="135" t="str">
        <x:v>Validation before publication: focused tests PASS (5), lint PASS, build PASS, git diff --check PASS; both files CLEAN-SCOPE. Remote verification confirmed parent 0d332523a7b478fa7ad116123c327bd7684e3005 and exactly two authorized files. No RFQ/procurement/business-specific logic, React/UI components, eligibility/frequency/memory implementation, routes, API, database, auth, Ask Nexus implementation or product-page integration was introduced. L4 remains explicitly user-requested and all levels are non-blocking, do not invent controls and do not perform consequential actions. Next executable canonical task: 13F-02 — Implement guidance eligibility rules.</x:v>
      </x:c>
    </x:row>
    <x:row r="288">
      <x:c r="A288" s="133" t="str">
        <x:v>✓</x:v>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str">
        <x:v>Completed</x:v>
      </x:c>
      <x:c r="I288" s="133" t="str">
        <x:v>Project Owner / Product / Engineering</x:v>
      </x:c>
      <x:c r="J288" s="133" t="str"/>
      <x:c r="K288" s="133" t="inlineStr">
        <x:is>
          <x:t xml:space="preserve">13F-01</x:t>
        </x:is>
      </x:c>
      <x:c r="L288" s="133" t="str"/>
      <x:c r="M288" s="133" t="str">
        <x:v>PASS / EXECUTIVE GUIDANCE ELIGIBILITY RULES PUBLISHED — Commit f8b53f587c14e2049e1c6ea52db10c0ac6d179d8 adds exactly two domain-neutral files: src/lib/guidance/executive-guidance-eligibility.ts and src/lib/guidance/executive-guidance-eligibility.test.ts. The closed eligibility contract defines exactly five canonical contexts: FIRST_TIME, CHANGE, RISK, INCOMPLETE and REQUESTED. FIRST_TIME/CHANGE/RISK/INCOMPLETE are eligible proactive contexts; REQUESTED is eligible but explicitly user-requested and non-proactive; unknown/empty values are ineligible.</x:v>
      </x:c>
      <x:c r="N288" s="249" t="n"/>
      <x:c r="O288" s="249" t="n">
        <x:v>46296</x:v>
      </x:c>
      <x:c r="P288" s="135" t="str">
        <x:v>Validation before publication: focused tests PASS (5), lint PASS, build PASS, git diff --check PASS; both files CLEAN-SCOPE. Remote verification confirmed parent 9da88f195e33742113f39f4841dbdc313a6cc07c and exactly two authorized files. No RFQ/procurement/business-specific logic, frequency controls, seen/dismissed/snoozed memory, persistence, React/UI components, routes, API, database, auth, Ask Nexus behavior or product integration was introduced. Next executable canonical task: 13F-03 — Implement guidance frequency controls.</x:v>
      </x:c>
    </x:row>
    <x:row r="289">
      <x:c r="A289" s="133" t="str">
        <x:v>✓</x:v>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str">
        <x:v>Completed</x:v>
      </x:c>
      <x:c r="I289" s="133" t="str">
        <x:v>Project Owner / Product / Engineering</x:v>
      </x:c>
      <x:c r="J289" s="133" t="str"/>
      <x:c r="K289" s="133" t="inlineStr">
        <x:is>
          <x:t xml:space="preserve">13F-02</x:t>
        </x:is>
      </x:c>
      <x:c r="L289" s="133" t="str"/>
      <x:c r="M289" s="133" t="str">
        <x:v>PASS / EXECUTIVE GUIDANCE FREQUENCY CONTROLS PUBLISHED — Commit b94f88cf7c1d713310ed582b6f048beaa0839362 adds exactly two domain-neutral files: src/lib/guidance/executive-guidance-frequency.ts and src/lib/guidance/executive-guidance-frequency.test.ts. The pure caller-state contract enforces a proactive page-load quota of one, keeps REQUESTED guidance independent of that quota, blocks dismissed/completed L3 anchored coachmarks, and rejects unknown/ineligible contexts without consuming quota.</x:v>
      </x:c>
      <x:c r="N289" s="249" t="n"/>
      <x:c r="O289" s="249" t="n">
        <x:v>46296</x:v>
      </x:c>
      <x:c r="P289" s="135" t="str">
        <x:v>Validation before publication: focused tests PASS (7), lint PASS, build PASS, git diff --check PASS; both files CLEAN-SCOPE. Remote verification confirmed parent d3519bcc850fcf6ced4c57e25351e8da7d106f8d and exactly two authorized files. No localStorage/sessionStorage/cookies/indexedDB/database persistence, snooze/timestamp/cooldown logic, React/hooks/context, UI components, routes, API, auth, Ask Nexus behavior or product integration was introduced. Non-coachmark dismissal/completion semantics were not invented. Next executable canonical task: 13F-04 — Implement seen/dismissed/snoozed guidance memory.</x:v>
      </x:c>
    </x:row>
    <x:row r="290">
      <x:c r="A290" s="133" t="str">
        <x:v>✓</x:v>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str">
        <x:v>Completed</x:v>
      </x:c>
      <x:c r="I290" s="133" t="str">
        <x:v>Project Owner / Product / Engineering</x:v>
      </x:c>
      <x:c r="J290" s="133" t="str"/>
      <x:c r="K290" s="133" t="inlineStr">
        <x:is>
          <x:t xml:space="preserve">13F-03</x:t>
        </x:is>
      </x:c>
      <x:c r="L290" s="133" t="str"/>
      <x:c r="M290" s="133" t="str">
        <x:v>PASS / EXECUTIVE GUIDANCE MEMORY CONTRACT PUBLISHED — Commit 61e8f84005b4884d96b18a00df476038ea6dead7 adds exactly two domain-neutral files: src/lib/guidance/executive-guidance-memory.ts and src/lib/guidance/executive-guidance-memory.test.ts. The caller-owned contract defines unseen, seen, dismissed, snoozed and completed states; seen does not permanently suppress; dismissed/completed suppress repeat tutorial guidance; snoozed suppresses only until caller-provided snoozedUntil and then reopens consideration.</x:v>
      </x:c>
      <x:c r="N290" s="249" t="n"/>
      <x:c r="O290" s="249" t="n">
        <x:v>46296</x:v>
      </x:c>
      <x:c r="P290" s="135" t="str">
        <x:v>Validation before publication: focused tests PASS (6), lint PASS, build PASS, git diff --check PASS; both files CLEAN-SCOPE. Remote verification confirmed parent f7fd16450bebca44149b810091d2300ec9a918fe and exactly two authorized files. Remind Me Later maps to snoozed, invalid/missing snooze deadlines fail safely without indefinite suppression, and all time evaluation uses caller-provided now. No localStorage/sessionStorage/cookies/indexedDB/database/Supabase persistence, hidden clocks, timers, React/hooks/context, UI components, routes, API, auth, Ask Nexus behavior or product integration was introduced. Next executable canonical task: 13F-05 — Create inline hint component.</x:v>
      </x:c>
    </x:row>
    <x:row r="291">
      <x:c r="A291" s="133" t="str">
        <x:v>✓</x:v>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str">
        <x:v>Completed</x:v>
      </x:c>
      <x:c r="I291" s="133" t="str">
        <x:v>Project Owner / Product / Engineering</x:v>
      </x:c>
      <x:c r="J291" s="133" t="str"/>
      <x:c r="K291" s="133" t="inlineStr">
        <x:is>
          <x:t xml:space="preserve">13C-09</x:t>
        </x:is>
      </x:c>
      <x:c r="L291" s="133" t="str"/>
      <x:c r="M291" s="133" t="str">
        <x:v>PASS / EXECUTIVE INLINE HINT COMPONENT PUBLISHED — Commit d1793c8253449ad4d71aedf6908e44daf057461c adds exactly two files: src/components/executive/executive-inline-hint.tsx and src/components/executive/executive-inline-hint.test.ts. ExecutiveInlineHint is a reusable L1 presentation-only contextual hint that reuses EXECUTIVE_FORM_HELPER, accepts caller-provided id for aria-describedby associations, wraps long text responsively, and remains always-visible, non-modal and non-blocking.</x:v>
      </x:c>
      <x:c r="N291" s="249" t="n"/>
      <x:c r="O291" s="249" t="n">
        <x:v>46296</x:v>
      </x:c>
      <x:c r="P291" s="135" t="str">
        <x:v>Validation before publication: focused tests PASS (5), lint PASS, build PASS, git diff --check PASS; both files CLEAN-SCOPE. Remote verification confirmed parent 135770ecd32f94a8003e210f5b893aa58c5ae0a2 and exactly two authorized files. No buttons/links/dialogs/popovers/tooltips/live regions, React state/hooks, routing, requests, timers, eligibility/frequency/memory ownership, new design tokens, RFQ/procurement-specific logic or product-page integration was introduced. Next executable canonical task: 13F-06 — Create contextual guidance card.</x:v>
      </x:c>
    </x:row>
    <x:row r="292">
      <x:c r="A292" s="133" t="str">
        <x:v>✓</x:v>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str">
        <x:v>Completed</x:v>
      </x:c>
      <x:c r="I292" s="133" t="str">
        <x:v>Project Owner / Product / Engineering</x:v>
      </x:c>
      <x:c r="J292" s="133" t="str"/>
      <x:c r="K292" s="133" t="inlineStr">
        <x:is>
          <x:t xml:space="preserve">13C-15</x:t>
        </x:is>
      </x:c>
      <x:c r="L292" s="133" t="str"/>
      <x:c r="M292" s="133" t="str">
        <x:v>PASS / EXECUTIVE CONTEXTUAL GUIDANCE CARD PUBLISHED — Commit f90844661a664a12354c2a239c6aec9c3ce2ab0e adds exactly two files: src/components/executive/executive-guidance-card.tsx and src/components/executive/executive-guidance-card.test.ts. ExecutiveGuidanceCard is a reusable L2 embedded guidance primitive built on ExecutivePanel with optional caller-owned Review and Dismiss actions using the shared EXECUTIVE_BUTTON_SECONDARY and EXECUTIVE_BUTTON_TERTIARY contracts.</x:v>
      </x:c>
      <x:c r="N292" s="249" t="n"/>
      <x:c r="O292" s="249" t="n">
        <x:v>46296</x:v>
      </x:c>
      <x:c r="P292" s="135" t="str">
        <x:v>Validation before publication: focused tests PASS (6), lint PASS, build PASS, git diff --check PASS; both files CLEAN-SCOPE. Remote verification confirmed parent c0998c1973e833e7fb6b58c63b01f940a3fef65c and exactly two authorized files. The card remains embedded, non-modal and non-blocking; action buttons render only when both label and handler are supplied and use type=button. No component-owned state, routing, persistence, eligibility/frequency/memory logic, new design tokens, API/database/auth, RFQ/procurement-specific behavior or product-page integration was introduced. Next executable canonical task: 13F-07 — Create anchored first-use coachmark.</x:v>
      </x:c>
    </x:row>
    <x:row r="293">
      <x:c r="A293" s="133" t="str">
        <x:v>✓</x:v>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str">
        <x:v>Completed</x:v>
      </x:c>
      <x:c r="I293" s="133" t="str">
        <x:v>Project Owner / Product / Engineering</x:v>
      </x:c>
      <x:c r="J293" s="133" t="str"/>
      <x:c r="K293" s="133" t="inlineStr">
        <x:is>
          <x:t xml:space="preserve">13F-04</x:t>
        </x:is>
      </x:c>
      <x:c r="L293" s="133" t="str"/>
      <x:c r="M293" s="133" t="str">
        <x:v>PASS / EXECUTIVE ANCHORED COACHMARK PUBLISHED — Commit 397bbfcfaecaec1c34c19f3a1863b983ff55f75a adds exactly two files: src/components/executive/executive-coachmark.tsx and src/components/executive/executive-coachmark.test.ts. ExecutiveCoachmark is a reusable L3 caller-controlled anchored coachmark that preserves the real caller-provided anchor, renders only when open, and reuses EXECUTIVE_POPOVER_SURFACE / PLACEMENT / MOTION plus shared executive button contracts.</x:v>
      </x:c>
      <x:c r="N293" s="249" t="n"/>
      <x:c r="O293" s="249" t="n">
        <x:v>46296</x:v>
      </x:c>
      <x:c r="P293" s="135" t="str">
        <x:v>Validation before publication: focused tests PASS (7), lint PASS, build PASS, git diff --check PASS; both files CLEAN-SCOPE. Remote verification confirmed parent 9e51861f692f17c478f6148c11c931ea303c7bef and exactly two authorized files. The coachmark is non-modal with no overlay, portal, dialog role, focus trap or invented anchor; open/replay state and optional action/dismiss effects remain caller-owned. No eligibility/frequency/memory/persistence, Help system, routing, API/database/auth, RFQ/procurement-specific behavior or product-page integration was introduced. Next executable canonical task: 13F-08 — Create Nexus Guide side panel.</x:v>
      </x:c>
    </x:row>
    <x:row r="294">
      <x:c r="A294" s="133" t="str">
        <x:v>✓</x:v>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str">
        <x:v>Completed</x:v>
      </x:c>
      <x:c r="I294" s="133" t="str">
        <x:v>Project Owner / Product / Engineering</x:v>
      </x:c>
      <x:c r="J294" s="133" t="str"/>
      <x:c r="K294" s="133" t="inlineStr">
        <x:is>
          <x:t xml:space="preserve">13C-08</x:t>
        </x:is>
      </x:c>
      <x:c r="L294" s="133" t="str"/>
      <x:c r="M294" s="133" t="str">
        <x:v>PASS / EXECUTIVE NEXUS GUIDE PANEL PUBLISHED — Commit aa358c01d7f4869a5ae2e77cb00ea62bc85478b4 adds exactly two files: src/components/executive/executive-nexus-guide.tsx and src/components/executive/executive-nexus-guide.test.ts. ExecutiveNexusGuide is a reusable caller-controlled side panel built on the shared Executive Drawer contracts and presents only caller-supplied workflow, readiness, attention items, suggested next step, and optional action nodes.</x:v>
      </x:c>
      <x:c r="N294" s="249" t="n"/>
      <x:c r="O294" s="249" t="n">
        <x:v>46296</x:v>
      </x:c>
      <x:c r="P294" s="135" t="str">
        <x:v>Validation before publication: focused tests PASS (6), lint PASS, build PASS, git diff --check PASS; both files CLEAN-SCOPE. Remote verification confirmed parent 23d90057f02902b319ae75397529400e9ce5a17e and exactly two authorized files. Closed state renders nothing; empty sections are omitted; close is a caller-owned type=button control; long content wraps responsively. No AI/Ask Nexus/chat/prompt behavior, workflow/readiness/risk inference, fetching/data loading, routing/deep-link generation, eligibility/frequency/memory ownership, persistence/storage, API/database/auth, RFQ/procurement logic, new design tokens or product-page integration was introduced. Next executable canonical task: 13F-09 — Add RFI/clarification contextual guidance.</x:v>
      </x:c>
    </x:row>
    <x:row r="295">
      <x:c r="A295" s="133" t="str">
        <x:v>✓</x:v>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str">
        <x:v>Completed</x:v>
      </x:c>
      <x:c r="I295" s="133" t="str">
        <x:v>Project Owner / Product / Engineering</x:v>
      </x:c>
      <x:c r="J295" s="133" t="str"/>
      <x:c r="K295" s="133" t="inlineStr">
        <x:is>
          <x:t xml:space="preserve">13F-06</x:t>
        </x:is>
      </x:c>
      <x:c r="L295" s="133" t="str"/>
      <x:c r="M295" s="133" t="str">
        <x:v>PASS / RFI CONTEXTUAL GUIDANCE PUBLISHED — Commit 0bc78e96f7dcbe425f27548f964f10e4e7c31477 changes exactly four authorized files: src/lib/guidance/rfi-contextual-guidance.ts, src/lib/guidance/rfi-contextual-guidance.test.ts, src/components/rfq-workspace/rfq-rfi-workspace.tsx, and src/components/rfq-workspace/rfq-rfi-submission.test.ts. A pure RFI guidance resolver now produces at most one truthful contextual guidance item from explicit caller signals and existing deadline/open-RFI state.</x:v>
      </x:c>
      <x:c r="N295" s="249" t="n"/>
      <x:c r="O295" s="249" t="n">
        <x:v>46296</x:v>
      </x:c>
      <x:c r="P295" s="135" t="str">
        <x:v>Validation before publication: focused tests PASS (9), lint PASS, build PASS, git diff --check PASS; all four files CLEAN-SCOPE. Remote verification confirmed parent 3ac2a514ea32ad2aa53f89b51a6a4a4ed2ef041b and exactly four authorized files. Approaching-deadline and owner/open-RFI guidance use real current state; ambiguity and Addendum impact require explicit true signals and are never inferred from RFI text or responses. RFQ RFI confidentiality wording, POST/PATCH submit/answer behavior, Addendum workflow, API/database/auth/RLS, deadline enforcement and product navigation remain unchanged. Next executable canonical task: 13F-10 — Add proposal readiness contextual guidance.</x:v>
      </x:c>
    </x:row>
    <x:row r="296">
      <x:c r="A296" s="133" t="str">
        <x:v>✓</x:v>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str">
        <x:v>Completed</x:v>
      </x:c>
      <x:c r="I296" s="133" t="str">
        <x:v>Project Owner / Product / Engineering</x:v>
      </x:c>
      <x:c r="J296" s="133" t="str"/>
      <x:c r="K296" s="133" t="inlineStr">
        <x:is>
          <x:t xml:space="preserve">13F-06</x:t>
        </x:is>
      </x:c>
      <x:c r="L296" s="133" t="str"/>
      <x:c r="M296" s="133" t="str">
        <x:v>PASS / QUOTATION READINESS CONTEXTUAL GUIDANCE PUBLISHED — Commit b553b9758ae99f802a96688ef34bf48af6efc130 changes exactly four authorized files: src/lib/guidance/quotation-readiness-guidance.ts, src/lib/guidance/quotation-readiness-guidance.test.ts, src/components/rfq-workspace/rfq-submit-workspace.tsx, and src/components/rfq-workspace/rfq-submit-page.test.ts. A pure quotation readiness resolver now produces at most one contextual guidance item from verified completeness evidence and outstanding required Addendum acknowledgement state.</x:v>
      </x:c>
      <x:c r="N296" s="249" t="n"/>
      <x:c r="O296" s="249" t="n">
        <x:v>46296</x:v>
      </x:c>
      <x:c r="P296" s="135" t="str">
        <x:v>Validation before publication: focused tests PASS (18), lint PASS, build PASS, git diff --check PASS; all four files CLEAN-SCOPE. Remote verification confirmed parent 768b247f2305dcd33a81901b8c7f86f207e24cf2 and exactly four authorized files. Required Addendum acknowledgement is prioritized; missing amount/timeline/commercial-note evidence is combined into one truthful guidance item; compliance/documents require explicit true signals and are not inferred in the submit workspace. Existing completeness UI and submit/reconfirm/resubmit mutation contracts, Quote API/payloads, deadline enforcement, revalidation logic, database/auth/RLS and navigation remain unchanged. Next executable canonical task: 13F-11 — Add evaluation exception guidance.</x:v>
      </x:c>
    </x:row>
    <x:row r="297">
      <x:c r="A297" s="133" t="str">
        <x:v>✓</x:v>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str">
        <x:v>Completed</x:v>
      </x:c>
      <x:c r="I297" s="133" t="str">
        <x:v>Project Owner / Product / Engineering</x:v>
      </x:c>
      <x:c r="J297" s="133" t="str"/>
      <x:c r="K297" s="133" t="inlineStr">
        <x:is>
          <x:t xml:space="preserve">13F-06</x:t>
        </x:is>
      </x:c>
      <x:c r="L297" s="133" t="str"/>
      <x:c r="M297" s="133" t="str">
        <x:v>PASS / EVALUATION EXCEPTION GUIDANCE PUBLISHED — Commit 53911307de96669fd5091f92375b2015301536b4 changes exactly four authorized files: src/lib/guidance/evaluation-exception-guidance.ts, src/lib/guidance/evaluation-exception-guidance.test.ts, src/components/rfq-workspace/rfq-quote-comparison.tsx, and src/components/rfq-workspace/rfq-quote-comparison.test.ts. A pure evaluation-exception resolver now produces at most one issuer review guidance item from existing comparison evidence.</x:v>
      </x:c>
      <x:c r="N297" s="249" t="n"/>
      <x:c r="O297" s="249" t="n">
        <x:v>46296</x:v>
      </x:c>
      <x:c r="P297" s="135" t="str">
        <x:v>Validation before publication: focused tests PASS (14), lint PASS, build PASS, git diff --check PASS; all four files CLEAN-SCOPE. Remote verification confirmed parent 1becc32b1665c33ffa43b8a3cc7181c86e2ecda4 and exactly four authorized files. Material revalidation is prioritized; high-risk evidence is derived only from existing riskLevel; highest-price evidence only from existing isHighest. No new thresholds, data access, AI/inference, commercial unlock change, issuer authorization change, ranking/scoring/recommendation change or award behavior change was introduced. Next executable canonical task: 13F-12 — Add attention guidance to Activity Center.</x:v>
      </x:c>
    </x:row>
    <x:row r="298">
      <x:c r="A298" s="133" t="str">
        <x:v>✓</x:v>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str">
        <x:v>Completed</x:v>
      </x:c>
      <x:c r="I298" s="133" t="str">
        <x:v>Project Owner / Product / Engineering</x:v>
      </x:c>
      <x:c r="J298" s="133" t="str"/>
      <x:c r="K298" s="133" t="inlineStr">
        <x:is>
          <x:t xml:space="preserve">13F-06</x:t>
        </x:is>
      </x:c>
      <x:c r="L298" s="133" t="str"/>
      <x:c r="M298" s="133" t="str">
        <x:v>PASS / ACTIVITY CENTER ATTENTION GUIDANCE PUBLISHED — Commit 9d2060830c903e6bb184197b3bae78571aa05b7b changes exactly four authorized files: src/lib/guidance/activity-attention-guidance.ts, src/lib/guidance/activity-attention-guidance.test.ts, src/app/notifications/page.tsx, and src/lib/procurement/activity-center-prioritization.test.ts. Needs Attention rows now explain why supported priority events matter and reuse only the already-authorized RFQ source href.</x:v>
      </x:c>
      <x:c r="N298" s="249" t="n"/>
      <x:c r="O298" s="249" t="n">
        <x:v>46296</x:v>
      </x:c>
      <x:c r="P298" s="135" t="str">
        <x:v>Validation before publication: focused tests PASS (11), lint PASS, build PASS, git diff --check PASS; all four files CLEAN-SCOPE. Remote verification confirmed parent 380ff3d097fbe5856a7f77056d4c8c6a74e85305 and exactly four authorized files. Supported rationales cover addendum_action_required, rfi, rfi_response, and quote; unknown/non-attention types are suppressed. Deep links use only resolveRfqSourceHref()-derived sourceHref, no title/message parsing or invented routes, no priority-order change, no Updates/History change, no duplicate source action, and no new data/API/database/AI behavior. Next executable canonical task: 13F-13 — Standardize guidance writing tone.</x:v>
      </x:c>
    </x:row>
    <x:row r="299">
      <x:c r="A299" s="133" t="str">
        <x:v>✓</x:v>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str">
        <x:v>Completed</x:v>
      </x:c>
      <x:c r="I299" s="133" t="str">
        <x:v>Project Owner / Product / Engineering</x:v>
      </x:c>
      <x:c r="J299" s="133" t="str"/>
      <x:c r="K299" s="133" t="inlineStr">
        <x:is>
          <x:t xml:space="preserve">13F-01</x:t>
        </x:is>
      </x:c>
      <x:c r="L299" s="133" t="str"/>
      <x:c r="M299" s="133" t="str">
        <x:v>PASS / GUIDANCE WRITING TONE STANDARDIZED — Commit 9324616d59d52f4b614c8cc3712e1f4caa87caef changes exactly eight authorized guidance source/test files across RFI, quotation readiness, evaluation exceptions, and Activity attention. Guidance copy is now concise, professional, procurement-accurate, non-patronizing, and action-oriented while preserving resolver logic and priorities.</x:v>
      </x:c>
      <x:c r="N299" s="249" t="n"/>
      <x:c r="O299" s="249" t="n">
        <x:v>46296</x:v>
      </x:c>
      <x:c r="P299" s="135" t="str">
        <x:v>Validation before publication: focused tests PASS (27), lint PASS, build PASS, git diff --check PASS; all eight files CLEAN-SCOPE. Remote verification confirmed parent 727e0bcb5fba0263091a64fb96d6b6301c368c74 and exactly eight authorized files. No UI/product file, resolver input/output shape, resolver condition/priority, routing, API, database/auth/RLS, commercial lifecycle, scoring/ranking, award behavior or guidance eligibility/frequency/memory logic changed. Tone-contract tests prohibit patronizing/informal/hype language and preserve procurement terminology, confidentiality and governance semantics. Next executable canonical task: 13F-14 — Guidance annoyance review.</x:v>
      </x:c>
    </x:row>
    <x:row r="300">
      <x:c r="A300" s="133" t="str"/>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str">
        <x:v>Blocked</x:v>
      </x:c>
      <x:c r="I300" s="133" t="str">
        <x:v>Project Owner / Product / Engineering</x:v>
      </x:c>
      <x:c r="J300" s="133" t="str"/>
      <x:c r="K300" s="133" t="inlineStr">
        <x:is>
          <x:t xml:space="preserve">13F-12</x:t>
        </x:is>
      </x:c>
      <x:c r="L300" s="133" t="str"/>
      <x:c r="M300" s="133" t="str">
        <x:v>BLOCKED / PARTIAL QA PASS — Authorized owner session established. Private RFI workspace and Activity Center Needs Attention now PASS the annoyance walkthrough. Quote Comparison prior PASS evidence is retained. Quotation Submit/Revalidation remains UNVERIFIED, so 13F-14 cannot close yet.</x:v>
      </x:c>
      <x:c r="N300" s="249" t="n"/>
      <x:c r="O300" s="249" t="n">
        <x:v>46296</x:v>
      </x:c>
      <x:c r="P300" s="135" t="str">
        <x:v>Authenticated QA continuation on HEAD a3a181a447fe431ea4e43cd1657669f20867a244: RFQ authenticated PASS; Activity Center authenticated PASS. Private RFI: contextual only PASS, at most one card PASS, no redundant status copy PASS, primary actions unobstructed PASS, no-context quiet PASS. Activity Center: Needs Attention only PASS, rationale concise/non-duplicative PASS, single authorized source action PASS, Updates/History unchanged PASS, rows scan-friendly PASS. Global checks PASS: no repeated/annoying guidance, no workflow interruption, no confidentiality/domain regression, no unsupported guidance, no P0/P1 product defect. Quote Comparison prior PASS retained. Quotation Submit/Revalidation remains UNVERIFIED and is the sole remaining 13F-14 evidence gap. No code/database/auth changes; no commit/push. Exact next action: walk only Quotation Submit/Revalidation with existing authorized data/session; if all five checks PASS and no new P0/P1 defect appears, close 13F-14 and Phase 13F.</x:v>
      </x:c>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29da15bf6fc744e5"/>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da4905edc5774170"/>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316</x:v>
      </x:c>
      <x:c r="D6" s="133" t="inlineStr">
        <x:is>
          <x:t xml:space="preserve">G0A — Corporate platform architecture ready</x:t>
        </x:is>
      </x:c>
      <x:c r="E6" s="32" t="str">
        <x:f>'03 Launch Gates'!D20</x:f>
        <x:v>Completed</x:v>
      </x:c>
      <x:c r="G6" t="inlineStr">
        <x:is>
          <x:t xml:space="preserve">UI Tasks Complete</x:t>
        </x:is>
      </x:c>
      <x:c r="H6" t="n">
        <x:f>SUM(B36:B46)</x:f>
        <x:v>94</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7</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0.8610354223433242</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0.8872727272727273</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3</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12</x:v>
      </x:c>
      <x:c r="C37" s="133" t="n">
        <x:f>COUNTIFS('01 Master Plan'!C$5:C$383,A37,'01 Master Plan'!H$5:H$383,"In Progress")</x:f>
        <x:v>0</x:v>
      </x:c>
      <x:c r="D37" s="133" t="n">
        <x:f>COUNTIFS('01 Master Plan'!C$5:C$383,A37,'01 Master Plan'!H$5:H$383,"Not Started")</x:f>
        <x:v>0</x:v>
      </x:c>
      <x:c r="E37" s="133" t="n">
        <x:f>COUNTIFS('01 Master Plan'!C$5:C$383,A37,'01 Master Plan'!H$5:H$383,"Blocked")</x:f>
        <x:v>0</x:v>
      </x:c>
      <x:c r="F37" s="133" t="n">
        <x:f>COUNTIFS('01 Master Plan'!C$5:C$383,A37,'01 Master Plan'!H$5:H$383,"Deferred")</x:f>
        <x:v>0</x:v>
      </x:c>
      <x:c r="G37" s="255" t="n">
        <x:f>IFERROR(B37/(B37+C37+D37+E37),0)</x:f>
        <x:v>1</x:v>
      </x:c>
    </x:row>
    <x:row r="38">
      <x:c r="A38" s="133" t="inlineStr">
        <x:is>
          <x:t xml:space="preserve">13C Shared Enterprise Components</x:t>
        </x:is>
      </x:c>
      <x:c r="B38" s="133" t="n">
        <x:f>COUNTIFS('01 Master Plan'!C$5:C$383,A38,'01 Master Plan'!H$5:H$383,"Completed")+COUNTIFS('01 Master Plan'!C$5:C$383,A38,'01 Master Plan'!H$5:H$383,"Complete")</x:f>
        <x:v>17</x:v>
      </x:c>
      <x:c r="C38" s="133" t="n">
        <x:f>COUNTIFS('01 Master Plan'!C$5:C$383,A38,'01 Master Plan'!H$5:H$383,"In Progress")</x:f>
        <x:v>0</x:v>
      </x:c>
      <x:c r="D38" s="133" t="n">
        <x:f>COUNTIFS('01 Master Plan'!C$5:C$383,A38,'01 Master Plan'!H$5:H$383,"Not Started")</x:f>
        <x:v>0</x:v>
      </x:c>
      <x:c r="E38" s="133" t="n">
        <x:f>COUNTIFS('01 Master Plan'!C$5:C$383,A38,'01 Master Plan'!H$5:H$383,"Blocked")</x:f>
        <x:v>0</x:v>
      </x:c>
      <x:c r="F38" s="133" t="n">
        <x:f>COUNTIFS('01 Master Plan'!C$5:C$383,A38,'01 Master Plan'!H$5:H$383,"Deferred")</x:f>
        <x:v>0</x:v>
      </x:c>
      <x:c r="G38" s="255" t="n">
        <x:f>IFERROR(B38/(B38+C38+D38+E38),0)</x:f>
        <x:v>1</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8</x:v>
      </x:c>
      <x:c r="C40" s="162" t="n">
        <x:f>COUNTIFS('01 Master Plan'!C$5:C$383,A40,'01 Master Plan'!H$5:H$383,"In Progress")</x:f>
        <x:v>0</x:v>
      </x:c>
      <x:c r="D40" s="162" t="n">
        <x:f>COUNTIFS('01 Master Plan'!C$5:C$383,A40,'01 Master Plan'!H$5:H$383,"Not Started")</x:f>
        <x:v>0</x:v>
      </x:c>
      <x:c r="E40" s="162" t="n">
        <x:f>COUNTIFS('01 Master Plan'!C$5:C$383,A40,'01 Master Plan'!H$5:H$383,"Blocked")</x:f>
        <x:v>2</x:v>
      </x:c>
      <x:c r="F40" s="162" t="n">
        <x:f>COUNTIFS('01 Master Plan'!C$5:C$383,A40,'01 Master Plan'!H$5:H$383,"Deferred")</x:f>
        <x:v>0</x:v>
      </x:c>
      <x:c r="G40" s="257" t="n">
        <x:f>IFERROR(B40/(B40+C40+D40+E40),0)</x:f>
        <x:v>0.8</x:v>
      </x:c>
    </x:row>
    <x:row r="41">
      <x:c r="A41" s="133" t="inlineStr">
        <x:is>
          <x:t xml:space="preserve">13E Motion &amp; Completion System</x:t>
        </x:is>
      </x:c>
      <x:c r="B41" s="133" t="n">
        <x:f>COUNTIFS('01 Master Plan'!C$5:C$383,A41,'01 Master Plan'!H$5:H$383,"Completed")+COUNTIFS('01 Master Plan'!C$5:C$383,A41,'01 Master Plan'!H$5:H$383,"Complete")</x:f>
        <x:v>9</x:v>
      </x:c>
      <x:c r="C41" s="133" t="n">
        <x:f>COUNTIFS('01 Master Plan'!C$5:C$383,A41,'01 Master Plan'!H$5:H$383,"In Progress")</x:f>
        <x:v>0</x:v>
      </x:c>
      <x:c r="D41" s="133" t="n">
        <x:f>COUNTIFS('01 Master Plan'!C$5:C$383,A41,'01 Master Plan'!H$5:H$383,"Not Started")</x:f>
        <x:v>0</x:v>
      </x:c>
      <x:c r="E41" s="133" t="n">
        <x:f>COUNTIFS('01 Master Plan'!C$5:C$383,A41,'01 Master Plan'!H$5:H$383,"Blocked")</x:f>
        <x:v>4</x:v>
      </x:c>
      <x:c r="F41" s="133" t="n">
        <x:f>COUNTIFS('01 Master Plan'!C$5:C$383,A41,'01 Master Plan'!H$5:H$383,"Deferred")</x:f>
        <x:v>0</x:v>
      </x:c>
      <x:c r="G41" s="255" t="n">
        <x:f>IFERROR(B41/(B41+C41+D41+E41),0)</x:f>
        <x:v>0.6923076923076923</x:v>
      </x:c>
    </x:row>
    <x:row r="42">
      <x:c r="A42" s="133" t="inlineStr">
        <x:is>
          <x:t xml:space="preserve">13F Contextual Guidance Framework</x:t>
        </x:is>
      </x:c>
      <x:c r="B42" s="133" t="n">
        <x:f>COUNTIFS('01 Master Plan'!C$5:C$383,A42,'01 Master Plan'!H$5:H$383,"Completed")+COUNTIFS('01 Master Plan'!C$5:C$383,A42,'01 Master Plan'!H$5:H$383,"Complete")</x:f>
        <x:v>13</x:v>
      </x:c>
      <x:c r="C42" s="133" t="n">
        <x:f>COUNTIFS('01 Master Plan'!C$5:C$383,A42,'01 Master Plan'!H$5:H$383,"In Progress")</x:f>
        <x:v>0</x:v>
      </x:c>
      <x:c r="D42" s="133" t="n">
        <x:f>COUNTIFS('01 Master Plan'!C$5:C$383,A42,'01 Master Plan'!H$5:H$383,"Not Started")</x:f>
        <x:v>0</x:v>
      </x:c>
      <x:c r="E42" s="133" t="n">
        <x:f>COUNTIFS('01 Master Plan'!C$5:C$383,A42,'01 Master Plan'!H$5:H$383,"Blocked")</x:f>
        <x:v>1</x:v>
      </x:c>
      <x:c r="F42" s="133" t="n">
        <x:f>COUNTIFS('01 Master Plan'!C$5:C$383,A42,'01 Master Plan'!H$5:H$383,"Deferred")</x:f>
        <x:v>0</x:v>
      </x:c>
      <x:c r="G42" s="255" t="n">
        <x:f>IFERROR(B42/(B42+C42+D42+E42),0)</x:f>
        <x:v>0.9285714285714286</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23edd560fefb4e8c"/>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1531a96fb56a4e3a"/>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af0cb990eb154f0f"/>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fc218607fed2402a"/>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8a2670f404e1415d"/>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3df818e1a7f34316"/>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row r="1199">
      <x:c r="A1199" t="n">
        <x:v>46295</x:v>
      </x:c>
      <x:c r="B1199" t="str">
        <x:v>Phase 13B / 13B-11</x:v>
      </x:c>
      <x:c r="C1199" t="str">
        <x:v>13B-11 Dark-Surface Logo Treatment Published</x:v>
      </x:c>
      <x:c r="D1199" t="str">
        <x:v>executive-benchmark-engine</x:v>
      </x:c>
      <x:c r="E1199" t="str">
        <x:v>76d82183ad5bb30a00f68c9305579d4b6d9b4a41</x:v>
      </x:c>
      <x:c r="F1199" t="str">
        <x:v>Standardized the canonical official-logo treatment for dark application surfaces without altering the logo assets or brand geometry.</x:v>
      </x:c>
      <x:c r="G1199" t="str">
        <x:v>Published src/app/globals.css, src/lib/design-system/executive-contract.ts, src/lib/design-system/executive-contract.test.ts, plus only scoped dark-surface hunks in src/components/branding/nexus-pavilion-logo.tsx. Focused tests 72 PASS; lint/build/diff-check PASS.</x:v>
      </x:c>
      <x:c r="H1199" t="str">
        <x:v>PASS / 13B-11 CLOSED / PUBLISHED</x:v>
      </x:c>
      <x:c r="I1199" t="str">
        <x:v>Selective staging excluded pre-existing loading/fetchPriority and unrelated newline changes from the logo component. Official assets unchanged; no page/shell migration, DB/Auth/RLS or Production change.</x:v>
      </x:c>
      <x:c r="J1199" t="str">
        <x:v>Next canonical Master Plan task: Phase 13B / 13B-12 — Design-system foundation review.</x:v>
      </x:c>
    </x:row>
    <x:row r="1200">
      <x:c r="A1200" t="n">
        <x:v>46295</x:v>
      </x:c>
      <x:c r="B1200" t="str">
        <x:v>Phase 13B / 13B-12</x:v>
      </x:c>
      <x:c r="C1200" t="str">
        <x:v>13B-12 Design-System Foundation Gate PASS</x:v>
      </x:c>
      <x:c r="D1200" t="str">
        <x:v>executive-benchmark-engine</x:v>
      </x:c>
      <x:c r="E1200" t="str">
        <x:v>378ac6461ec77a49e25559469ce58f27dfbedbc8</x:v>
      </x:c>
      <x:c r="F1200" t="str">
        <x:v>Completed a read-only foundation review of the canonical 13B design-system contracts and accepted the foundation for Phase 13C.</x:v>
      </x:c>
      <x:c r="G1200" t="str">
        <x:v>Semantic colors, typography, spacing/grid, surfaces/depth, status palette, Intelligence language, interaction states, motion durations/easing/reduced motion, logo treatment, light-mode compatibility and accessibility all PASS. Focused tests 41 PASS; lint/build/diff-check PASS.</x:v>
      </x:c>
      <x:c r="H1200" t="str">
        <x:v>PASS / 13B-12 CLOSED / PHASE 13B FOUNDATION ACCEPTED</x:v>
      </x:c>
      <x:c r="I1200" t="str">
        <x:v>No source files modified. Deferred adoption gaps remain non-blocking and are assigned to later controlled component/shell/page adoption. No DB/Auth/RLS/Production change.</x:v>
      </x:c>
      <x:c r="J1200" t="str">
        <x:v>Next canonical Master Plan task: Phase 13C / 13C-01 — Standardize button system.</x:v>
      </x:c>
    </x:row>
    <x:row r="1201">
      <x:c r="A1201" t="n">
        <x:v>46295</x:v>
      </x:c>
      <x:c r="B1201" t="str">
        <x:v>Phase 13C / 13C-01</x:v>
      </x:c>
      <x:c r="C1201" t="str">
        <x:v>13C-01 Executive Button System Published</x:v>
      </x:c>
      <x:c r="D1201" t="str">
        <x:v>executive-benchmark-engine</x:v>
      </x:c>
      <x:c r="E1201" t="str">
        <x:v>0c507085e76a69e315f2887803cfb53f1f00556a</x:v>
      </x:c>
      <x:c r="F1201" t="str">
        <x:v>Extended the existing executive CTA contract into one shared button system covering primary, secondary, tertiary, destructive, icon, loading and disabled behavior.</x:v>
      </x:c>
      <x:c r="G1201" t="str">
        <x:v>Exactly two files published: src/lib/design-system/executive-contract.ts and src/lib/design-system/executive-contract.test.ts. Focused tests 71 PASS; lint/build/diff-check PASS.</x:v>
      </x:c>
      <x:c r="H1201" t="str">
        <x:v>PASS / 13C-01 CLOSED / PUBLISHED</x:v>
      </x:c>
      <x:c r="I1201" t="str">
        <x:v>No new button component, no page migration, no RegisterForm modification, and no click/submit/navigation/business behavior change. Existing local button classes remain for later controlled adoption. No DB/Auth/RLS/Production change.</x:v>
      </x:c>
      <x:c r="J1201" t="str">
        <x:v>Next canonical Master Plan task: Phase 13C / 13C-02 — Standardize form controls.</x:v>
      </x:c>
    </x:row>
    <x:row r="1202">
      <x:c r="A1202" t="n">
        <x:v>46295</x:v>
      </x:c>
      <x:c r="B1202" t="str">
        <x:v>Phase 13C / 13C-02</x:v>
      </x:c>
      <x:c r="C1202" t="str">
        <x:v>13C-02 Executive Form-Control Contract Published</x:v>
      </x:c>
      <x:c r="D1202" t="str">
        <x:v>executive-benchmark-engine</x:v>
      </x:c>
      <x:c r="E1202" t="str">
        <x:v>2dd0043c360a0c003d57ff7a0cad7a4a28e39d32</x:v>
      </x:c>
      <x:c r="F1202" t="str">
        <x:v>Standardized the shared dark-first form-control contract for input, textarea, select, checkbox, radio and validation/accessibility states.</x:v>
      </x:c>
      <x:c r="G1202" t="str">
        <x:v>Exactly two files published: src/lib/design-system/executive-contract.ts and src/lib/design-system/executive-contract.test.ts. Focused tests 43 PASS; lint/build/diff-check PASS.</x:v>
      </x:c>
      <x:c r="H1202" t="str">
        <x:v>PASS / 13C-02 CLOSED / PUBLISHED</x:v>
      </x:c>
      <x:c r="I1202" t="str">
        <x:v>No new form component, no page/form migration, no RegisterForm change, no date/deadline scope, and no validation/business-logic change. Existing local form classes remain for later controlled adoption. No DB/Auth/RLS/Production change.</x:v>
      </x:c>
      <x:c r="J1202" t="str">
        <x:v>Next canonical Master Plan task: Phase 13C / 13C-03 — Standardize date/deadline controls.</x:v>
      </x:c>
    </x:row>
    <x:row r="1203">
      <x:c r="A1203" t="n">
        <x:v>46295</x:v>
      </x:c>
      <x:c r="B1203" t="str">
        <x:v>Phase 13C / 13C-03</x:v>
      </x:c>
      <x:c r="C1203" t="str">
        <x:v>13C-03 Date / Deadline Controls Published</x:v>
      </x:c>
      <x:c r="D1203" t="str">
        <x:v>executive-benchmark-engine</x:v>
      </x:c>
      <x:c r="E1203" t="str">
        <x:v>d111e3d4b95c7221bca3fb3aeca3a221219974a2</x:v>
      </x:c>
      <x:c r="F1203" t="str">
        <x:v>Standardized the existing DeadlineField against the shared executive form-control contract, including datetime, timezone display and validation treatment.</x:v>
      </x:c>
      <x:c r="G1203" t="str">
        <x:v>Exactly three files published: src/components/deadline-field.tsx, src/lib/design-system/executive-contract.ts, src/lib/design-system/executive-contract.test.ts. Focused tests 82 PASS; lint/build/diff-check PASS.</x:v>
      </x:c>
      <x:c r="H1203" t="str">
        <x:v>PASS / 13C-03 CLOSED / PUBLISHED</x:v>
      </x:c>
      <x:c r="I1203" t="str">
        <x:v>No deadline parsing, timezone conversion, min/max validation, RFQ/RFI/procurement-opening logic, API/database or Production change. Visual change limited to shared treatment; standalone date inputs remain for later controlled adoption.</x:v>
      </x:c>
      <x:c r="J1203" t="str">
        <x:v>Next canonical Master Plan task: Phase 13C / 13C-04 — Standardize badges/status chips.</x:v>
      </x:c>
    </x:row>
    <x:row r="1204">
      <x:c r="A1204" t="n">
        <x:v>46295</x:v>
      </x:c>
      <x:c r="B1204" t="str">
        <x:v>Phase 13C / 13C-04</x:v>
      </x:c>
      <x:c r="C1204" t="str">
        <x:v>13C-04 Semantic Badge System Published</x:v>
      </x:c>
      <x:c r="D1204" t="str">
        <x:v>executive-benchmark-engine</x:v>
      </x:c>
      <x:c r="E1204" t="str">
        <x:v>4af570c530859b8572a0a4d48cc2ad2547b5fdc1</x:v>
      </x:c>
      <x:c r="F1204" t="str">
        <x:v>Centralized canonical badge roles, tone aliases and semantic classes so the shared ExecutiveBadge and RFQ workspace status badge consume one status-presentation contract.</x:v>
      </x:c>
      <x:c r="G1204" t="str">
        <x:v>Four files published: src/components/executive/executive-badge.tsx, src/components/rfq-workspace/shared/executive-status-badge.tsx, src/lib/design-system/executive-contract.ts, src/lib/design-system/executive-contract.test.ts. Focused tests 73 PASS; lint/build/diff-check PASS.</x:v>
      </x:c>
      <x:c r="H1204" t="str">
        <x:v>PASS / 13C-04 CLOSED / PUBLISHED</x:v>
      </x:c>
      <x:c r="I1204" t="str">
        <x:v>Awarded/recommended/locked mappings unchanged; no status names, workflow/business logic, RFQ/RFI/quote/award state machine, DB/Auth/RLS or Production change. Visual change limited to shared badge treatment; page-local chips remain for later controlled adoption.</x:v>
      </x:c>
      <x:c r="J1204" t="str">
        <x:v>Next canonical Master Plan task: Phase 13C / 13C-05 — Standardize card roles.</x:v>
      </x:c>
    </x:row>
    <x:row r="1205">
      <x:c r="A1205" t="n">
        <x:v>46295</x:v>
      </x:c>
      <x:c r="B1205" t="str">
        <x:v>Phase 13C / 13C-05</x:v>
      </x:c>
      <x:c r="C1205" t="str">
        <x:v>13C-05 Canonical Card Roles Published</x:v>
      </x:c>
      <x:c r="D1205" t="str">
        <x:v>executive-benchmark-engine</x:v>
      </x:c>
      <x:c r="E1205" t="str">
        <x:v>a3af9776410417736ff4b02b1375b31a1a5dbd8b</x:v>
      </x:c>
      <x:c r="F1205" t="str">
        <x:v>Defined the five canonical shared card roles — Status, Metric, Action, Intelligence and Summary — using the existing executive panel, tile and intelligence contracts.</x:v>
      </x:c>
      <x:c r="G1205" t="str">
        <x:v>Exactly two files published: src/lib/design-system/executive-contract.ts and src/lib/design-system/executive-contract.test.ts. Focused tests 74 PASS; lint/build/diff-check PASS.</x:v>
      </x:c>
      <x:c r="H1205" t="str">
        <x:v>PASS / 13C-05 CLOSED / PUBLISHED</x:v>
      </x:c>
      <x:c r="I1205" t="str">
        <x:v>No new card component, no component deletion/replacement, no page/card migration, and no business/data behavior change. Existing local card treatments remain for later controlled adoption. No DB/Auth/RLS/Production change.</x:v>
      </x:c>
      <x:c r="J1205" t="str">
        <x:v>Next canonical Master Plan task: Phase 13C / 13C-06 — Standardize enterprise tables.</x:v>
      </x:c>
    </x:row>
    <x:row r="1206">
      <x:c r="A1206" t="n">
        <x:v>46295</x:v>
      </x:c>
      <x:c r="B1206" t="str">
        <x:v>Phase 13C / 13C-06</x:v>
      </x:c>
      <x:c r="C1206" t="str">
        <x:v>13C-06 Enterprise Table Contract Published</x:v>
      </x:c>
      <x:c r="D1206" t="str">
        <x:v>executive-benchmark-engine</x:v>
      </x:c>
      <x:c r="E1206" t="str">
        <x:v>8a4f5b621f3d6bf78f7c95b383ca464610041a87</x:v>
      </x:c>
      <x:c r="F1206" t="str">
        <x:v>Defined the shared enterprise-table presentation contract for overflow, sticky headers, density/alignment, numeric cells and active sort/filter visual states.</x:v>
      </x:c>
      <x:c r="G1206" t="str">
        <x:v>Exactly two files published: src/lib/design-system/executive-contract.ts and src/lib/design-system/executive-contract.test.ts. Focused tests 46 PASS; lint/build/diff-check PASS.</x:v>
      </x:c>
      <x:c r="H1206" t="str">
        <x:v>PASS / 13C-06 CLOSED / PUBLISHED</x:v>
      </x:c>
      <x:c r="I1206" t="str">
        <x:v>No shared table component existed; no component was created. No page/table migration and no sorting/filtering/query/data/pagination behavior change. Existing page-local table styling remains for later controlled adoption. No DB/Auth/RLS/Production change.</x:v>
      </x:c>
      <x:c r="J1206" t="str">
        <x:v>Next canonical Master Plan task: Phase 13C / 13C-07 — Standardize dialogs and confirmation modals.</x:v>
      </x:c>
    </x:row>
    <x:row r="1207">
      <x:c r="A1207" t="n">
        <x:v>46295</x:v>
      </x:c>
      <x:c r="B1207" t="str">
        <x:v>Phase 13C / 13C-07</x:v>
      </x:c>
      <x:c r="C1207" t="str">
        <x:v>13C-07 Confirmation Dialog Contract Published</x:v>
      </x:c>
      <x:c r="D1207" t="str">
        <x:v>executive-benchmark-engine</x:v>
      </x:c>
      <x:c r="E1207" t="str">
        <x:v>df6627fa7de5d7ddc2c9f706c406422dd240c965</x:v>
      </x:c>
      <x:c r="F1207" t="str">
        <x:v>Standardized the existing ExecutiveConfirmDialog around one shared confirmation hierarchy using canonical surface and button contracts.</x:v>
      </x:c>
      <x:c r="G1207" t="str">
        <x:v>Exactly three files published: src/components/executive/executive-confirm-dialog.tsx, src/lib/design-system/executive-contract.ts, src/lib/design-system/executive-contract.test.ts. Focused tests 58 PASS; lint/build/diff-check PASS.</x:v>
      </x:c>
      <x:c r="H1207" t="str">
        <x:v>PASS / 13C-07 CLOSED / PUBLISHED</x:v>
      </x:c>
      <x:c r="I1207" t="str">
        <x:v>Confirm/cancel handlers, Escape/focus behavior, accessible labeling and destructive semantics preserved. No page-level window.confirm or company-delete migration, no authorization/business logic, DB/Auth/RLS or Production change.</x:v>
      </x:c>
      <x:c r="J1207" t="str">
        <x:v>Next canonical Master Plan task: Phase 13C / 13C-08 — Standardize drawers/side panels.</x:v>
      </x:c>
    </x:row>
    <x:row r="1208">
      <x:c r="A1208" t="n">
        <x:v>46295</x:v>
      </x:c>
      <x:c r="B1208" t="str">
        <x:v>Phase 13C / 13C-08</x:v>
      </x:c>
      <x:c r="C1208" t="str">
        <x:v>13C-08 Drawer Contract Published</x:v>
      </x:c>
      <x:c r="D1208" t="str">
        <x:v>executive-benchmark-engine</x:v>
      </x:c>
      <x:c r="E1208" t="str">
        <x:v>9da855568cfd287319ac99a1d823d8d0f67eef0c</x:v>
      </x:c>
      <x:c r="F1208" t="str">
        <x:v>Defined the shared drawer/side-panel presentation contract from existing overlay, sidebar-width, elevation, close-control and intelligence-surface treatments.</x:v>
      </x:c>
      <x:c r="G1208" t="str">
        <x:v>Exactly two files published: src/lib/design-system/executive-contract.ts and src/lib/design-system/executive-contract.test.ts. Focused tests 48 PASS; lint/build/diff-check PASS.</x:v>
      </x:c>
      <x:c r="H1208" t="str">
        <x:v>PASS / 13C-08 CLOSED / PUBLISHED</x:v>
      </x:c>
      <x:c r="I1208" t="str">
        <x:v>No shared drawer component existed and none was created. No page/sidebar migration, no filter/help/detail/data/query/state behavior change, and no DB/Auth/RLS/Production change.</x:v>
      </x:c>
      <x:c r="J1208" t="str">
        <x:v>Next canonical Master Plan task: Phase 13C / 13C-09 — Standardize tooltips/popovers.</x:v>
      </x:c>
    </x:row>
    <x:row r="1209">
      <x:c r="A1209" t="n">
        <x:v>46295</x:v>
      </x:c>
      <x:c r="B1209" t="str">
        <x:v>Phase 13C / 13C-09</x:v>
      </x:c>
      <x:c r="C1209" t="str">
        <x:v>13C-09 Tooltip-Popover Contract Published</x:v>
      </x:c>
      <x:c r="D1209" t="str">
        <x:v>executive-benchmark-engine</x:v>
      </x:c>
      <x:c r="E1209" t="str">
        <x:v>4b67a4a9c7179ee42bb49769f182d769b12c39d2</x:v>
      </x:c>
      <x:c r="F1209" t="str">
        <x:v>Defined the shared tooltip/popover presentation and accessibility contract from existing elevated-surface, typography and motion tokens.</x:v>
      </x:c>
      <x:c r="G1209" t="str">
        <x:v>Exactly two files published: src/lib/design-system/executive-contract.ts and src/lib/design-system/executive-contract.test.ts. Focused tests 49 PASS; lint/build/diff-check PASS.</x:v>
      </x:c>
      <x:c r="H1209" t="str">
        <x:v>PASS / 13C-09 CLOSED / PUBLISHED</x:v>
      </x:c>
      <x:c r="I1209" t="str">
        <x:v>No shared tooltip/popover component existed and none was created. No page/help migration, no content/business/data/state behavior change, and no DB/Auth/RLS/Production change.</x:v>
      </x:c>
      <x:c r="J1209" t="str">
        <x:v>Next canonical Master Plan task: Phase 13C / 13C-10 — Standardize toast/inline feedback.</x:v>
      </x:c>
    </x:row>
    <x:row r="1210">
      <x:c r="A1210" t="n">
        <x:v>46295</x:v>
      </x:c>
      <x:c r="B1210" t="str">
        <x:v>Phase 13C / 13C-10</x:v>
      </x:c>
      <x:c r="C1210" t="str">
        <x:v>13C-10 Toast-Inline Feedback Contract Published</x:v>
      </x:c>
      <x:c r="D1210" t="str">
        <x:v>executive-benchmark-engine</x:v>
      </x:c>
      <x:c r="E1210" t="str">
        <x:v>4807b1748a53505e111aef79c78f9c3f4260aba5</x:v>
      </x:c>
      <x:c r="F1210" t="str">
        <x:v>Defined the shared toast/inline-feedback semantic, presentation and accessibility contract from existing status, typography, button and motion tokens.</x:v>
      </x:c>
      <x:c r="G1210" t="str">
        <x:v>Exactly two files published: src/lib/design-system/executive-contract.ts and src/lib/design-system/executive-contract.test.ts. Focused tests 50 PASS; lint/build/diff-check PASS.</x:v>
      </x:c>
      <x:c r="H1210" t="str">
        <x:v>PASS / 13C-10 CLOSED / PUBLISHED</x:v>
      </x:c>
      <x:c r="I1210" t="str">
        <x:v>No shared feedback component/provider existed and none was created. No page-alert migration, no notification delivery/business/state behavior change, and no DB/Auth/RLS/Production change.</x:v>
      </x:c>
      <x:c r="J1210" t="str">
        <x:v>Next canonical Master Plan task: Phase 13C / 13C-11 — Standardize loading/skeleton states.</x:v>
      </x:c>
    </x:row>
    <x:row r="1211">
      <x:c r="A1211" t="n">
        <x:v>46295</x:v>
      </x:c>
      <x:c r="B1211" t="str">
        <x:v>Phase 13C / 13C-11</x:v>
      </x:c>
      <x:c r="C1211" t="str">
        <x:v>13C-11 Loading-Skeleton Contract Published</x:v>
      </x:c>
      <x:c r="D1211" t="str">
        <x:v>executive-benchmark-engine</x:v>
      </x:c>
      <x:c r="E1211" t="str">
        <x:v>d10d5c143597295c1054750ee3e1624662069a64</x:v>
      </x:c>
      <x:c r="F1211" t="str">
        <x:v>Standardized loading/skeleton/progress treatment by wiring the existing ExecutiveProgress primitive to shared design-system progress tokens and defining reusable skeleton/loading accessibility contracts.</x:v>
      </x:c>
      <x:c r="G1211" t="str">
        <x:v>Exactly three files published: src/components/executive/executive-progress.tsx, src/lib/design-system/executive-contract.ts, src/lib/design-system/executive-contract.test.ts. Focused tests 80 PASS; lint/build/diff-check PASS.</x:v>
      </x:c>
      <x:c r="H1211" t="str">
        <x:v>PASS / 13C-11 CLOSED / PUBLISHED</x:v>
      </x:c>
      <x:c r="I1211" t="str">
        <x:v>No artificial delay, no fetch/query/Suspense/async behavior change, reduced-motion and accessibility preserved, no route/page loading migration, and no DB/Auth/RLS/Production change.</x:v>
      </x:c>
      <x:c r="J1211" t="str">
        <x:v>Next canonical Master Plan task: Phase 13C / 13C-12 — Standardize empty states.</x:v>
      </x:c>
    </x:row>
    <x:row r="1212">
      <x:c r="A1212" t="n">
        <x:v>46296</x:v>
      </x:c>
      <x:c r="B1212" t="str">
        <x:v>Phase 13C / 13C-12</x:v>
      </x:c>
      <x:c r="C1212" t="str">
        <x:v>13C-12 Empty-State Contract Published</x:v>
      </x:c>
      <x:c r="D1212" t="str">
        <x:v>executive-benchmark-engine</x:v>
      </x:c>
      <x:c r="E1212" t="str">
        <x:v>abec43ffa489d33307948671a662469fbf494550</x:v>
      </x:c>
      <x:c r="F1212" t="str">
        <x:v>Defined the shared empty-state layout, content hierarchy and accessibility contract from existing local patterns without introducing a new component.</x:v>
      </x:c>
      <x:c r="G1212" t="str">
        <x:v>Exactly two files published: src/lib/design-system/executive-contract.ts and src/lib/design-system/executive-contract.test.ts. Focused tests PASS; lint/build/diff-check PASS.</x:v>
      </x:c>
      <x:c r="H1212" t="str">
        <x:v>PASS / 13C-12 CLOSED / PUBLISHED</x:v>
      </x:c>
      <x:c r="I1212" t="str">
        <x:v>No empty-state component created, no page/local-helper migration, no CTA/navigation or business/data/permission behavior change, no product-copy rewrite, and no DB/Auth/RLS/Production change.</x:v>
      </x:c>
      <x:c r="J1212" t="str">
        <x:v>Next canonical Master Plan task: Phase 13C / 13C-13 — Standardize error states.</x:v>
      </x:c>
    </x:row>
    <x:row r="1213">
      <x:c r="A1213" t="n">
        <x:v>46296</x:v>
      </x:c>
      <x:c r="B1213" t="str">
        <x:v>Phase 13C / 13C-13</x:v>
      </x:c>
      <x:c r="C1213" t="str">
        <x:v>13C-13 Error-State Contract Published</x:v>
      </x:c>
      <x:c r="D1213" t="str">
        <x:v>executive-benchmark-engine</x:v>
      </x:c>
      <x:c r="E1213" t="str">
        <x:v>f53072386a4e4f51980ec1a8fa484765f536fdc1</x:v>
      </x:c>
      <x:c r="F1213" t="str">
        <x:v>Defined the shared error-state semantic, presentation and accessibility contract from existing alert patterns without introducing a new component.</x:v>
      </x:c>
      <x:c r="G1213" t="str">
        <x:v>Exactly two files published: src/lib/design-system/executive-contract.ts and src/lib/design-system/executive-contract.test.ts. Focused tests PASS; lint/build/diff-check PASS.</x:v>
      </x:c>
      <x:c r="H1213" t="str">
        <x:v>PASS / 13C-13 CLOSED / PUBLISHED</x:v>
      </x:c>
      <x:c r="I1213" t="str">
        <x:v>No error-state component created, no page/error-boundary migration, no retry/recovery/navigation behavior change, no business/API/permission logic change, no broad product-copy rewrite, and no DB/Auth/RLS/Production change.</x:v>
      </x:c>
      <x:c r="J1213" t="str">
        <x:v>Next canonical Master Plan task: Phase 13C / 13C-14 — Create workflow stepper component.</x:v>
      </x:c>
    </x:row>
    <x:row r="1214">
      <x:c r="A1214" t="n">
        <x:v>46296</x:v>
      </x:c>
      <x:c r="B1214" t="str">
        <x:v>Phase 13C / 13C-14</x:v>
      </x:c>
      <x:c r="C1214" t="str">
        <x:v>13C-14 Workflow Stepper Component Published</x:v>
      </x:c>
      <x:c r="D1214" t="str">
        <x:v>executive-benchmark-engine</x:v>
      </x:c>
      <x:c r="E1214" t="str">
        <x:v>15406a70f7fdf319fdc645b5591c350b9f37788a</x:v>
      </x:c>
      <x:c r="F1214" t="str">
        <x:v>Created one reusable ExecutiveWorkflowStepper component plus its shared design-system presentation contract and focused tests.</x:v>
      </x:c>
      <x:c r="G1214" t="str">
        <x:v>Exactly four files published: src/components/executive/executive-workflow-stepper.tsx, src/components/executive/executive-workflow-stepper.test.ts, src/lib/design-system/executive-contract.ts, src/lib/design-system/executive-contract.test.ts. Focused tests PASS; lint/build/diff-check PASS.</x:v>
      </x:c>
      <x:c r="H1214" t="str">
        <x:v>PASS / 13C-14 CLOSED / PUBLISHED</x:v>
      </x:c>
      <x:c r="I1214" t="str">
        <x:v>Generic/data-driven only; no RFQ/procurement lifecycle rules, no issuer/respondent wording, no route/navigation logic, no page migration, no authorization/business/data behavior change, and no DB/Auth/RLS/Production change.</x:v>
      </x:c>
      <x:c r="J1214" t="str">
        <x:v>Next canonical Master Plan task: Phase 13C / 13C-15 — Create intelligence card component.</x:v>
      </x:c>
    </x:row>
    <x:row r="1215">
      <x:c r="A1215" t="n">
        <x:v>46296</x:v>
      </x:c>
      <x:c r="B1215" t="str">
        <x:v>Phase 13C / 13C-15</x:v>
      </x:c>
      <x:c r="C1215" t="str">
        <x:v>13C-15 Intelligence Card Component Published</x:v>
      </x:c>
      <x:c r="D1215" t="str">
        <x:v>executive-benchmark-engine</x:v>
      </x:c>
      <x:c r="E1215" t="str">
        <x:v>380ceb6673ea4c34f8c08e4fa65fc1dfa6bdc659</x:v>
      </x:c>
      <x:c r="F1215" t="str">
        <x:v>Created one reusable ExecutiveIntelligenceCard that renders Signal, Evidence, Impact, Recommendation and caller-provided Action using the existing Nexus Intelligence surface.</x:v>
      </x:c>
      <x:c r="G1215" t="str">
        <x:v>Exactly two files published: src/components/executive/executive-intelligence-card.tsx and src/components/executive/executive-intelligence-card.test.ts. Focused tests PASS; lint/build/diff-check PASS.</x:v>
      </x:c>
      <x:c r="H1215" t="str">
        <x:v>PASS / 13C-15 CLOSED / PUBLISHED</x:v>
      </x:c>
      <x:c r="I1215" t="str">
        <x:v>Generic/presentation-only; no recommendation/risk/score calculation, no business-domain logic, no AI/data/query/API change, no page/component migration, and no DB/Auth/RLS/Production change.</x:v>
      </x:c>
      <x:c r="J1215" t="str">
        <x:v>Next canonical Master Plan task: Phase 13C / 13C-16 — Create page/context header component.</x:v>
      </x:c>
    </x:row>
    <x:row r="1216">
      <x:c r="A1216" t="n">
        <x:v>46296</x:v>
      </x:c>
      <x:c r="B1216" t="str">
        <x:v>Phase 13C / 13C-16</x:v>
      </x:c>
      <x:c r="C1216" t="str">
        <x:v>13C-16 Page-Context Header Component Published</x:v>
      </x:c>
      <x:c r="D1216" t="str">
        <x:v>executive-benchmark-engine</x:v>
      </x:c>
      <x:c r="E1216" t="str">
        <x:v>04f85bac3dca74b0d7498162423be52c4705f5f1</x:v>
      </x:c>
      <x:c r="F1216" t="str">
        <x:v>Created one reusable ExecutivePageHeader for caller-provided title, context, status, metadata/deadline content and actions with responsive semantic presentation.</x:v>
      </x:c>
      <x:c r="G1216" t="str">
        <x:v>Exactly two files published: src/components/executive/executive-page-header.tsx and src/components/executive/executive-page-header.test.ts. Focused tests PASS; lint/build/diff-check PASS.</x:v>
      </x:c>
      <x:c r="H1216" t="str">
        <x:v>PASS / 13C-16 CLOSED / PUBLISHED</x:v>
      </x:c>
      <x:c r="I1216" t="str">
        <x:v>Generic/presentation-only; no status/deadline/ownership/permission/business-domain/navigation logic, no page migration, and no DB/Auth/RLS/Production change.</x:v>
      </x:c>
      <x:c r="J1216" t="str">
        <x:v>Next canonical Master Plan task: Phase 13C / 13C-17 — Component regression review.</x:v>
      </x:c>
    </x:row>
    <x:row r="1217">
      <x:c r="A1217" t="n">
        <x:v>46296</x:v>
      </x:c>
      <x:c r="B1217" t="str">
        <x:v>Phase 13C / 13C-17</x:v>
      </x:c>
      <x:c r="C1217" t="str">
        <x:v>13C-17 Component Regression Gate PASS</x:v>
      </x:c>
      <x:c r="D1217" t="str">
        <x:v>executive-benchmark-engine</x:v>
      </x:c>
      <x:c r="E1217" t="str">
        <x:v>cb982b1fa12656caa7a1ec0ae92753125e93a028</x:v>
      </x:c>
      <x:c r="F1217" t="str">
        <x:v>Completed the read-only regression review for the full Phase 13C shared-component foundation before page-level adoption.</x:v>
      </x:c>
      <x:c r="G1217" t="str">
        <x:v>No files modified. Focused Phase 13C/shared-component tests PASS; lint PASS; build PASS; git diff --check PASS. No duplicate component conflict, circular dependency risk, component regression, contract inconsistency, accessibility regression, reduced-motion regression, page migration, artificial delay or business/procurement/auth/data logic leakage detected.</x:v>
      </x:c>
      <x:c r="H1217" t="str">
        <x:v>PASS / 13C-17 CLOSED / PHASE 13C COMPLETE</x:v>
      </x:c>
      <x:c r="I1217" t="str">
        <x:v>Read-only gate only; no code, DB/Auth/RLS, Git publication beyond tracker, or Production behavior change.</x:v>
      </x:c>
      <x:c r="J1217" t="str">
        <x:v>Next canonical Master Plan task: Phase 13D / 13D-01 — Implement dark-first authenticated Workspace Shell.</x:v>
      </x:c>
    </x:row>
    <x:row r="1218">
      <x:c r="A1218" t="n">
        <x:v>46296</x:v>
      </x:c>
      <x:c r="B1218" t="str">
        <x:v>Phase 13D / 13D-01</x:v>
      </x:c>
      <x:c r="C1218" t="str">
        <x:v>13D-01 Authenticated Workspace Shell Published</x:v>
      </x:c>
      <x:c r="D1218" t="str">
        <x:v>executive-benchmark-engine</x:v>
      </x:c>
      <x:c r="E1218" t="str">
        <x:v>d8c4c1fa34affb0fa28f2259fe7d51ebe7e8e0d6</x:v>
      </x:c>
      <x:c r="F1218" t="str">
        <x:v>Standardized the existing authenticated AppShell as the single dark-first workspace shell foundation using the shared executive page contract.</x:v>
      </x:c>
      <x:c r="G1218" t="str">
        <x:v>Exactly two files published: src/components/app-shell.tsx and src/lib/navigation/application-shell.test.ts. Focused shell/layout tests PASS; lint/build/diff-check PASS.</x:v>
      </x:c>
      <x:c r="H1218" t="str">
        <x:v>PASS / 13D-01 CLOSED / PUBLISHED</x:v>
      </x:c>
      <x:c r="I1218" t="str">
        <x:v>No parallel shell, sidebar/topbar structure change, navigation/auth/permission/business/data change, page migration or Corporate change. Nested page-container duplication is recorded as a deferred adoption issue.</x:v>
      </x:c>
      <x:c r="J1218" t="str">
        <x:v>Next canonical Master Plan task: Phase 13D / 13D-02 — Implement enterprise sidebar treatment.</x:v>
      </x:c>
    </x:row>
    <x:row r="1219">
      <x:c r="A1219" t="n">
        <x:v>46296</x:v>
      </x:c>
      <x:c r="B1219" t="str">
        <x:v>Phase 13D / 13D-02</x:v>
      </x:c>
      <x:c r="C1219" t="str">
        <x:v>13D-02 Enterprise Sidebar Published</x:v>
      </x:c>
      <x:c r="D1219" t="str">
        <x:v>executive-benchmark-engine</x:v>
      </x:c>
      <x:c r="E1219" t="str">
        <x:v>3f0567498712526bf37d110597f766bd05b3d68a</x:v>
      </x:c>
      <x:c r="F1219" t="str">
        <x:v>Standardized the existing authenticated Sidebar treatment and prevented the recorded server/client experience-sublabel hydration mismatch.</x:v>
      </x:c>
      <x:c r="G1219" t="str">
        <x:v>Exactly two files published: src/components/sidebar.tsx and src/lib/navigation/application-shell.test.ts. Focused sidebar/navigation tests PASS; lint/build/diff-check PASS.</x:v>
      </x:c>
      <x:c r="H1219" t="str">
        <x:v>PASS / 13D-02 CLOSED / PUBLISHED</x:v>
      </x:c>
      <x:c r="I1219" t="str">
        <x:v>No parallel sidebar, nav item/href change, route visibility/auth change, workspace-selection change, Topbar/AppShell change or business/data change. Hydration remediation is limited to deterministic sublabel rendering after context resolution.</x:v>
      </x:c>
      <x:c r="J1219" t="str">
        <x:v>Next canonical Master Plan task: Phase 13D / 13D-03 — Implement global top/context header.</x:v>
      </x:c>
    </x:row>
    <x:row r="1220">
      <x:c r="A1220" t="n">
        <x:v>46296</x:v>
      </x:c>
      <x:c r="B1220" t="str">
        <x:v>Phase 13D / 13D-03</x:v>
      </x:c>
      <x:c r="C1220" t="str">
        <x:v>13D-03 Global Top-Context Header Published</x:v>
      </x:c>
      <x:c r="D1220" t="str">
        <x:v>executive-benchmark-engine</x:v>
      </x:c>
      <x:c r="E1220" t="str">
        <x:v>d20566e4e3690d296df1d129454c28046b91868e</x:v>
      </x:c>
      <x:c r="F1220" t="str">
        <x:v>Standardized the existing AppTopbar and AppPageContext presentation for shell-level context, breadcrumb hierarchy, actions and status display.</x:v>
      </x:c>
      <x:c r="G1220" t="str">
        <x:v>Exactly three files published: src/components/common/AppTopbar.tsx, src/components/app-page-context.tsx, src/lib/navigation/application-shell.test.ts. Focused tests PASS; lint/build/diff-check PASS.</x:v>
      </x:c>
      <x:c r="H1220" t="str">
        <x:v>PASS / 13D-03 CLOSED / PUBLISHED</x:v>
      </x:c>
      <x:c r="I1220" t="str">
        <x:v>No competing header system, duplicate h1, company-selection/breadcrumb/navigation/action-handler/status-deadline/auth-permission logic change, no fabricated shell deadline, no Sidebar/AppShell change and no DB/Auth/RLS/Production change.</x:v>
      </x:c>
      <x:c r="J1220" t="str">
        <x:v>Next canonical Master Plan task: Phase 13D / 13D-04 — Add Search / Ask Nexus global entry point.</x:v>
      </x:c>
    </x:row>
    <x:row r="1221">
      <x:c r="A1221" t="n">
        <x:v>46296</x:v>
      </x:c>
      <x:c r="B1221" t="str">
        <x:v>Phase 13D / 13D-04</x:v>
      </x:c>
      <x:c r="C1221" t="str">
        <x:v>13D-04 Ask Nexus Global Entry Blocked</x:v>
      </x:c>
      <x:c r="D1221" t="str">
        <x:v>executive-benchmark-engine</x:v>
      </x:c>
      <x:c r="E1221" t="str">
        <x:v>849e5d2059287beccf585bc753bfc5251e42349f</x:v>
      </x:c>
      <x:c r="F1221" t="str">
        <x:v>Read-only search found no existing Ask Nexus route, trigger, search destination or reusable global entry point. /analytics is not an Ask Nexus experience.</x:v>
      </x:c>
      <x:c r="G1221" t="str">
        <x:v>No files changed; implementation stopped before tests/lint/build because the task's required stable destination does not exist.</x:v>
      </x:c>
      <x:c r="H1221" t="str">
        <x:v>BLOCKED / 13D-04 OPEN</x:v>
      </x:c>
      <x:c r="I1221" t="str">
        <x:v>No route, AI/chat backend, Ask Nexus intelligence/payload, search algorithm, auth/permission or page-level chatbot behavior changed. Unblock when an approved stable Ask Nexus/Search destination or existing trigger exists.</x:v>
      </x:c>
      <x:c r="J1221" t="str">
        <x:v>Continue with dependency-independent 13D-05; return to 13D-04 when unblock criterion is satisfied.</x:v>
      </x:c>
    </x:row>
    <x:row r="1222">
      <x:c r="A1222" t="n">
        <x:v>46296</x:v>
      </x:c>
      <x:c r="B1222" t="str">
        <x:v>Phase 13D / 13D-05</x:v>
      </x:c>
      <x:c r="C1222" t="str">
        <x:v>13D-05 Workflow Stepper Context Blocked</x:v>
      </x:c>
      <x:c r="D1222" t="str">
        <x:v>executive-benchmark-engine</x:v>
      </x:c>
      <x:c r="E1222" t="str">
        <x:v>a73bb8df3e2037dfc02f887cbf75e865f3e15c70</x:v>
      </x:c>
      <x:c r="F1222" t="str">
        <x:v>Read-only review found incompatible issuer/respondent stage representations for safe ExecutiveWorkflowStepper adoption: RFQExecutiveActions navigation lists lack completed/current/upcoming state, while the decision timeline uses complete/active/locked/pending/watch semantics.</x:v>
      </x:c>
      <x:c r="G1222" t="str">
        <x:v>No files changed; implementation stopped before tests/lint/build because connecting the stepper would invent current-stage semantics or drop lock/watch meaning.</x:v>
      </x:c>
      <x:c r="H1222" t="str">
        <x:v>BLOCKED / 13D-05 OPEN</x:v>
      </x:c>
      <x:c r="I1222" t="str">
        <x:v>No RFQ lifecycle/state-machine, deadline/commercial-lock, authorization, Workspace Membership, quotation/evaluation/award, route or navigation behavior changed. Unblock when an approved caller-owned mapping provides stepper-compatible state semantics without losing existing lifecycle meaning.</x:v>
      </x:c>
      <x:c r="J1222" t="str">
        <x:v>Continue with dependency-independent 13D-06; return to 13D-05 when the lifecycle mapping unblock criterion is satisfied.</x:v>
      </x:c>
    </x:row>
    <x:row r="1223">
      <x:c r="A1223" t="n">
        <x:v>46296</x:v>
      </x:c>
      <x:c r="B1223" t="str">
        <x:v>Phase 13D / 13D-06</x:v>
      </x:c>
      <x:c r="C1223" t="str">
        <x:v>13D-06 Authenticated Enterprise Footer Published</x:v>
      </x:c>
      <x:c r="D1223" t="str">
        <x:v>executive-benchmark-engine</x:v>
      </x:c>
      <x:c r="E1223" t="str">
        <x:v>05d826e2dfb46bb788b198c227fa6cea7e7ae5a4</x:v>
      </x:c>
      <x:c r="F1223" t="str">
        <x:v>Standardized the existing authenticated ApplicationFooter with compact enterprise treatment, existing trust links and truthful release/environment metadata.</x:v>
      </x:c>
      <x:c r="G1223" t="str">
        <x:v>Exactly two files published: src/components/application-footer.tsx and src/lib/navigation/application-shell.test.ts. Focused footer/shell tests 41 PASS; lint/build/diff-check PASS.</x:v>
      </x:c>
      <x:c r="H1223" t="str">
        <x:v>PASS / 13D-06 CLOSED / PUBLISHED</x:v>
      </x:c>
      <x:c r="I1223" t="str">
        <x:v>Privacy/Terms/Support routes preserved. Version sourced from package.json; environment from NODE_ENV. No Security/Help/System Status route or health data invented. No auth/session, AppShell/Sidebar/AppTopbar, Corporate footer or Production change.</x:v>
      </x:c>
      <x:c r="J1223" t="str">
        <x:v>Next executable canonical task: Phase 13D / 13D-07 — Implement sidebar/header responsive behavior.</x:v>
      </x:c>
    </x:row>
    <x:row r="1224">
      <x:c r="A1224" t="n">
        <x:v>46296</x:v>
      </x:c>
      <x:c r="B1224" t="str">
        <x:v>Phase 13D / 13D-07</x:v>
      </x:c>
      <x:c r="C1224" t="str">
        <x:v>13D-07 Responsive Shell Behavior Published</x:v>
      </x:c>
      <x:c r="D1224" t="str">
        <x:v>executive-benchmark-engine</x:v>
      </x:c>
      <x:c r="E1224" t="str">
        <x:v>62897f8b263c00f668e95d7c7adaee3aa3560d92</x:v>
      </x:c>
      <x:c r="F1224" t="str">
        <x:v>Hardened shared authenticated shell responsive behavior for Sidebar, AppTopbar and AppPageContext, including overflow protection, action wrapping and breadcrumb truncation.</x:v>
      </x:c>
      <x:c r="G1224" t="str">
        <x:v>Exactly four files published: src/components/sidebar.tsx, src/components/common/AppTopbar.tsx, src/components/app-page-context.tsx and src/lib/navigation/application-shell.test.ts. Focused tests 83 PASS; lint/build/diff-check PASS.</x:v>
      </x:c>
      <x:c r="H1224" t="str">
        <x:v>PASS / 13D-07 CLOSED / PUBLISHED</x:v>
      </x:c>
      <x:c r="I1224" t="str">
        <x:v>No navigation, auth/permission, workspace-selection, action/breadcrumb destination, page redesign, AppShell or Corporate change. Desktop/collapsed/mobile sidebar behavior preserved; touch/focus/reduced-motion behavior preserved.</x:v>
      </x:c>
      <x:c r="J1224" t="str">
        <x:v>Next executable canonical task: Phase 13D / 13D-08 — Verify shell keyboard/focus/reduced-motion behavior.</x:v>
      </x:c>
    </x:row>
    <x:row r="1225">
      <x:c r="A1225" t="n">
        <x:v>46296</x:v>
      </x:c>
      <x:c r="B1225" t="str">
        <x:v>Phase 13D / 13D-08</x:v>
      </x:c>
      <x:c r="C1225" t="str">
        <x:v>13D-08 Shell Accessibility Verification Passed</x:v>
      </x:c>
      <x:c r="D1225" t="str">
        <x:v>executive-benchmark-engine</x:v>
      </x:c>
      <x:c r="E1225" t="str">
        <x:v>be1fef69fa9c7c2ea5428b21238fd0289c37377f</x:v>
      </x:c>
      <x:c r="F1225" t="str">
        <x:v>Evidence-only verification confirmed authenticated shell keyboard reachability, focus-visible treatment, ARIA state, native control semantics and reduced-motion behavior.</x:v>
      </x:c>
      <x:c r="G1225" t="str">
        <x:v>No files changed. Focused shell accessibility/navigation tests 83 PASS; lint/build/diff-check PASS.</x:v>
      </x:c>
      <x:c r="H1225" t="str">
        <x:v>PASS / 13D-08 CLOSED</x:v>
      </x:c>
      <x:c r="I1225" t="str">
        <x:v>No keyboard trap, responsive focus loss or incorrect tabbable decorative element found. No navigation, auth/permission, page-specific or visual changes were made.</x:v>
      </x:c>
      <x:c r="J1225" t="str">
        <x:v>Next executable canonical task: Phase 13D / 13D-09 — Run route/navigation regression after shell adoption.</x:v>
      </x:c>
    </x:row>
    <x:row r="1226">
      <x:c r="A1226" t="n">
        <x:v>46296</x:v>
      </x:c>
      <x:c r="B1226" t="str">
        <x:v>Phase 13D / 13D-09</x:v>
      </x:c>
      <x:c r="C1226" t="str">
        <x:v>13D-09 Route/Navigation Regression Passed</x:v>
      </x:c>
      <x:c r="D1226" t="str">
        <x:v>executive-benchmark-engine</x:v>
      </x:c>
      <x:c r="E1226" t="str">
        <x:v>881ce17c23c94fd3fe6a98ab479c58227f84738c</x:v>
      </x:c>
      <x:c r="F1226" t="str">
        <x:v>Evidence-only regression verified authenticated destinations, invitation/auth next paths, protected routes, RFQ protected-route behavior and shell navigation boundaries after adoption.</x:v>
      </x:c>
      <x:c r="G1226" t="str">
        <x:v>No files changed. Focused route/navigation/auth regression tests 101 PASS; lint/build/diff-check PASS.</x:v>
      </x:c>
      <x:c r="H1226" t="str">
        <x:v>PASS / 13D-09 CLOSED</x:v>
      </x:c>
      <x:c r="I1226" t="str">
        <x:v>No auth bypass, public/authenticated boundary regression, legacy/duplicate route reintroduction, Corporate route impact, or route/navigation regression found.</x:v>
      </x:c>
      <x:c r="J1226" t="str">
        <x:v>Next executable canonical task: Phase 13D / 13D-10 — Workspace Shell sign-off.</x:v>
      </x:c>
    </x:row>
    <x:row r="1227">
      <x:c r="A1227" t="n">
        <x:v>46296</x:v>
      </x:c>
      <x:c r="B1227" t="str">
        <x:v>Phase 13D / 13D-10</x:v>
      </x:c>
      <x:c r="C1227" t="str">
        <x:v>13D-10 Workspace Shell Sign-off Passed</x:v>
      </x:c>
      <x:c r="D1227" t="str">
        <x:v>executive-benchmark-engine</x:v>
      </x:c>
      <x:c r="E1227" t="str">
        <x:v>d67b4030d011a4aa62016cad11d6e60bc975643e</x:v>
      </x:c>
      <x:c r="F1227" t="str">
        <x:v>Read-only sign-off confirmed the shared authenticated shell is stable, non-duplicative, responsive, accessible, route-safe and suitable as the baseline for downstream page migration.</x:v>
      </x:c>
      <x:c r="G1227" t="str">
        <x:v>No files changed. 13D-01 through 13D-03 and 13D-06 through 13D-10 are PASS/CLOSED. 13D-04 and 13D-05 remain explicitly open/blocked.</x:v>
      </x:c>
      <x:c r="H1227" t="str">
        <x:v>PASS / 13D-10 CLOSED / SHARED SHELL SIGNED OFF</x:v>
      </x:c>
      <x:c r="I1227" t="str">
        <x:v>13D-04 does not block sign-off because the missing Ask Nexus destination is not an unfinished shared-shell contract. 13D-05 does not block sign-off because it is an RFQ workflow presentation gap, not a shared-shell contract defect. No known shell-level defect or reopening requirement remains.</x:v>
      </x:c>
      <x:c r="J1227" t="str">
        <x:v>Proceed to Phase 13E / 13E-01 — Create reusable Nexus Completion Moment; retain 13D-04 and 13D-05 as open blockers until their explicit unblock criteria are satisfied.</x:v>
      </x:c>
    </x:row>
    <x:row r="1228">
      <x:c r="A1228" t="n">
        <x:v>46296</x:v>
      </x:c>
      <x:c r="B1228" t="str">
        <x:v>Phase 13E / 13E-01</x:v>
      </x:c>
      <x:c r="C1228" t="str">
        <x:v>13E-01 Reusable Completion Moment Published</x:v>
      </x:c>
      <x:c r="D1228" t="str">
        <x:v>executive-benchmark-engine</x:v>
      </x:c>
      <x:c r="E1228" t="str">
        <x:v>f1e9c57aed1ee38a94ed13746faa0605b0308c30</x:v>
      </x:c>
      <x:c r="F1228" t="str">
        <x:v>Created one reusable presentation-only ExecutiveCompletionMoment because no existing component covered the full Action → Processing → Confirmation → State Change → Next-Best-Action pattern.</x:v>
      </x:c>
      <x:c r="G1228" t="str">
        <x:v>Exactly two files published: src/components/executive/executive-completion-moment.tsx and its focused test. Processing/confirmed states, state-change summary, optional detail, next action and secondary action are caller-driven. Focused tests 2 PASS; lint/build/diff-check PASS.</x:v>
      </x:c>
      <x:c r="H1228" t="str">
        <x:v>PASS / 13E-01 CLOSED / PUBLISHED</x:v>
      </x:c>
      <x:c r="I1228" t="str">
        <x:v>No business logic, API/async ownership, auto-navigation, route/auth changes, RFQ-specific logic, Workspace Membership logic, existing workflow migration or Corporate change.</x:v>
      </x:c>
      <x:c r="J1228" t="str">
        <x:v>Next executable canonical task: Phase 13E / 13E-02 — Implement RFQ created completion moment.</x:v>
      </x:c>
    </x:row>
    <x:row r="1229">
      <x:c r="A1229" t="n">
        <x:v>46296</x:v>
      </x:c>
      <x:c r="B1229" t="str">
        <x:v>Phase 13E / 13E-02</x:v>
      </x:c>
      <x:c r="C1229" t="str">
        <x:v>13E-02 RFQ Created Completion Moment Blocked</x:v>
      </x:c>
      <x:c r="D1229" t="str">
        <x:v>executive-benchmark-engine</x:v>
      </x:c>
      <x:c r="E1229" t="str">
        <x:v>9920cda91534f0c953d08f9835d4e112cec0b42c</x:v>
      </x:c>
      <x:c r="F1229" t="str">
        <x:v>Read-only review found no stable RFQ-creation success surface. Successful creation waits about two seconds and then always navigates to /rfq/{slug}.</x:v>
      </x:c>
      <x:c r="G1229" t="str">
        <x:v>No files changed; implementation stopped before tests/lint/build because mounting ExecutiveCompletionMoment would require changing existing navigation semantics.</x:v>
      </x:c>
      <x:c r="H1229" t="str">
        <x:v>BLOCKED / 13E-02 OPEN</x:v>
      </x:c>
      <x:c r="I1229" t="str">
        <x:v>No RFQ creation payload/schema, validation/submit, identity/slug, deadline/sourcing, auth, supplier invitation, quotation/evaluation/award or Workspace Membership behavior changed. No new route, auto-publish or navigation change introduced.</x:v>
      </x:c>
      <x:c r="J1229" t="str">
        <x:v>Continue with dependency-independent 13E-03; return to 13E-02 only after an approved stable success state exists or the navigation contract is explicitly changed.</x:v>
      </x:c>
    </x:row>
    <x:row r="1230">
      <x:c r="A1230" t="n">
        <x:v>46296</x:v>
      </x:c>
      <x:c r="B1230" t="str">
        <x:v>Phase 13E / 13E-03</x:v>
      </x:c>
      <x:c r="C1230" t="str">
        <x:v>13E-03 RFQ Published Completion Moment Blocked</x:v>
      </x:c>
      <x:c r="D1230" t="str">
        <x:v>executive-benchmark-engine</x:v>
      </x:c>
      <x:c r="E1230" t="str">
        <x:v>dd7272e2c986d591fe7943397665104e3a185f89</x:v>
      </x:c>
      <x:c r="F1230" t="str">
        <x:v>Read-only review found no stable RFQ post-publish success surface. The publish wizard sets success and always navigates to /rfq/{slug} after about two seconds; the transient overlay lacks truthful invited-count data and a separate existing next engagement action.</x:v>
      </x:c>
      <x:c r="G1230" t="str">
        <x:v>No files changed; implementation stopped before tests/lint/build because mounting ExecutiveCompletionMoment would require changing current navigation/state semantics or inventing unavailable context.</x:v>
      </x:c>
      <x:c r="H1230" t="str">
        <x:v>BLOCKED / 13E-03 OPEN</x:v>
      </x:c>
      <x:c r="I1230" t="str">
        <x:v>No publish status-transition, payload, supplier invitation, deadline/commercial-lock, auth, Workspace Membership, quotation/evaluation/award, route/action or data-source behavior changed.</x:v>
      </x:c>
      <x:c r="J1230" t="str">
        <x:v>Continue with dependency-independent 13E-04; return to 13E-03 only when a stable post-publish success state and truthful supporting sources exist or the navigation/state contract is explicitly changed.</x:v>
      </x:c>
    </x:row>
    <x:row r="1231">
      <x:c r="A1231" t="n">
        <x:v>46296</x:v>
      </x:c>
      <x:c r="B1231" t="str">
        <x:v>Phase 13E / 13E-04</x:v>
      </x:c>
      <x:c r="C1231" t="str">
        <x:v>13E-04 Invitation Delivery Feedback Verified</x:v>
      </x:c>
      <x:c r="D1231" t="str">
        <x:v>executive-benchmark-engine</x:v>
      </x:c>
      <x:c r="E1231" t="str">
        <x:v>508f25555495881739d36070bf9bd9bfe93fb9db</x:v>
      </x:c>
      <x:c r="F1231" t="str">
        <x:v>Evidence-only verification confirmed the existing RFQ Procurement Invitation delivery-result surface already truthfully represents sent, skipped and failed outcomes and preserves retry behavior.</x:v>
      </x:c>
      <x:c r="G1231" t="str">
        <x:v>No files changed. Focused RFQ invitation feedback tests 13 PASS; lint/build/diff-check PASS.</x:v>
      </x:c>
      <x:c r="H1231" t="str">
        <x:v>PASS / 13E-04 CLOSED</x:v>
      </x:c>
      <x:c r="I1231" t="str">
        <x:v>No send, recipient-selection, deduplication/skipping, email delivery, retry eligibility, auth, RFQ lifecycle/deadline, route/navigation or Workspace Membership Invitation behavior changed. No auto-retry added; accessibility/live-region and reduced-motion behavior preserved.</x:v>
      </x:c>
      <x:c r="J1231" t="str">
        <x:v>Next executable canonical task: Phase 13E / 13E-05 — Implement RFI submitted completion moment.</x:v>
      </x:c>
    </x:row>
    <x:row r="1232">
      <x:c r="A1232" t="n">
        <x:v>46296</x:v>
      </x:c>
      <x:c r="B1232" t="str">
        <x:v>Phase 13E / 13E-05</x:v>
      </x:c>
      <x:c r="C1232" t="str">
        <x:v>13E-05 RFI Submission Completion Moment Published</x:v>
      </x:c>
      <x:c r="D1232" t="str">
        <x:v>executive-benchmark-engine</x:v>
      </x:c>
      <x:c r="E1232" t="str">
        <x:v>696c0f917a820bd0bf7b69d533ab258a7e24143f</x:v>
      </x:c>
      <x:c r="F1232" t="str">
        <x:v>Published the RFI submitted completion moment by reusing ExecutiveCompletionMoment on the existing stable RFI submission success state.</x:v>
      </x:c>
      <x:c r="G1232" t="str">
        <x:v>Exactly two files changed: src/components/rfq-workspace/rfq-rfi-workspace.tsx and src/components/rfq-workspace/rfq-rfi-submission.test.ts. Focused tests 49 PASS; lint/build/diff-check PASS; pre-commit boundary review CLEAN-SCOPE.</x:v>
      </x:c>
      <x:c r="H1232" t="str">
        <x:v>PASS / 13E-05 CLOSED / PUBLISHED</x:v>
      </x:c>
      <x:c r="I1232" t="str">
        <x:v>Remote verification confirmed branch HEAD and parent b1358379cdd844d1b16ca01521075cc3ef1ce4e8. Submit/API behavior, returned-record timestamp/status sourcing, routes, auto-navigation, payload/schema, RFQ lifecycle, quotation/proposal, deadline/commercial-lock, auth, Workspace Membership and Corporate scope remained unchanged; no next action was invented.</x:v>
      </x:c>
      <x:c r="J1232" t="str">
        <x:v>Next executable canonical task: Phase 13E / 13E-06 — Implement clarification/addendum published feedback.</x:v>
      </x:c>
    </x:row>
    <x:row r="1233">
      <x:c r="A1233" t="n">
        <x:v>46296</x:v>
      </x:c>
      <x:c r="B1233" t="str">
        <x:v>Phase 13E / 13E-06</x:v>
      </x:c>
      <x:c r="C1233" t="str">
        <x:v>13E-06 Addendum Publication Completion Feedback Published</x:v>
      </x:c>
      <x:c r="D1233" t="str">
        <x:v>executive-benchmark-engine</x:v>
      </x:c>
      <x:c r="E1233" t="str">
        <x:v>8179c3939f2be8559f888142396a272d8fa03f19</x:v>
      </x:c>
      <x:c r="F1233" t="str">
        <x:v>Published issuer-side Addendum completion feedback by reusing ExecutiveCompletionMoment on the existing stable publication success state and presenting acknowledgement implications plus returned notification delivery outcomes.</x:v>
      </x:c>
      <x:c r="G1233" t="str">
        <x:v>Exactly two isolated files published: src/components/rfq-addenda-manager.tsx and src/components/rfq-workspace/rfq-addenda-manager.test.ts. Focused tests 6 PASS; lint/build/diff-check PASS. Temporary-index isolation test also PASS.</x:v>
      </x:c>
      <x:c r="H1233" t="str">
        <x:v>PASS / 13E-06 CLOSED / PUBLISHED</x:v>
      </x:c>
      <x:c r="I1233" t="str">
        <x:v>Remote verification confirmed parent 43db5aa9a77546f805085e25cf68f56fde562781 and no unrelated hunks. Existing Addendum POST/payload, acknowledgement execution, API/schema/RPC/RLS, RFQ lifecycle, deadline/commercial-lock, authorization, Workspace Membership, routes and Corporate scope remained unchanged. Publication success is kept distinct from notification delivery outcome; no unsupported audience or acknowledgement claims were introduced.</x:v>
      </x:c>
      <x:c r="J1233" t="str">
        <x:v>Next executable canonical task: Phase 13E / 13E-07 — Implement quote/proposal submitted completion moment.</x:v>
      </x:c>
    </x:row>
    <x:row r="1234">
      <x:c r="A1234" t="n">
        <x:v>46296</x:v>
      </x:c>
      <x:c r="B1234" t="str">
        <x:v>Phase 13E / 13E-07</x:v>
      </x:c>
      <x:c r="C1234" t="str">
        <x:v>13E-07 Quote Submission Completion Moment Blocked</x:v>
      </x:c>
      <x:c r="D1234" t="str">
        <x:v>executive-benchmark-engine</x:v>
      </x:c>
      <x:c r="E1234" t="str">
        <x:v>777656999c0138dcd5b02a3d2d80709e44d1e049</x:v>
      </x:c>
      <x:c r="F1234" t="str">
        <x:v>Read-only inspection of the canonical respondent quote submission workspace found no stable post-submit success surface. Successful new submission, revised resubmission and reconfirmation immediately navigate back to the RFQ workspace.</x:v>
      </x:c>
      <x:c r="G1234" t="str">
        <x:v>No source files changed. The POST response already returns the persisted Quote plus redirect/email data, and PATCH revalidation returns quote/revalidation identity and created_at, but the current submit surface immediately router.pushes and refreshes after success.</x:v>
      </x:c>
      <x:c r="H1234" t="str">
        <x:v>BLOCKED / 13E-07 OPEN</x:v>
      </x:c>
      <x:c r="I1234" t="str">
        <x:v>No quote mutation, revalidation, authorization, deadline/addenda acknowledgement, confidentiality, duplicate-submission, payload/schema, route or Workspace Membership behavior changed. Implementing the requested completion moment would require an explicit navigation/state contract change.</x:v>
      </x:c>
      <x:c r="J1234" t="str">
        <x:v>Continue with dependency-independent 13E-08. Return to 13E-07 only after an approved stable post-submission success state exists or the navigation contract is explicitly changed.</x:v>
      </x:c>
    </x:row>
    <x:row r="1235">
      <x:c r="A1235" t="n">
        <x:v>46296</x:v>
      </x:c>
      <x:c r="B1235" t="str">
        <x:v>Phase 13E / 13E-08</x:v>
      </x:c>
      <x:c r="C1235" t="str">
        <x:v>13E-08 Award Completion Feedback Blocked</x:v>
      </x:c>
      <x:c r="D1235" t="str">
        <x:v>executive-benchmark-engine</x:v>
      </x:c>
      <x:c r="E1235" t="str">
        <x:v>0963d89958730d96ead64406f4cea3da0e754e28</x:v>
      </x:c>
      <x:c r="F1235" t="str">
        <x:v>Read-only inspection found no stable post-award success surface. AwardContractButton closes the dialog and immediately navigates to the returned RFQ destination after a successful award.</x:v>
      </x:c>
      <x:c r="G1235" t="str">
        <x:v>No source files changed. POST /api/award-contract already returns awardedQuote, RFQ, redirectTo, independent Buyer/Supplier email outcomes and warnings, but the award control surface immediately router.pushes and refreshes after success.</x:v>
      </x:c>
      <x:c r="H1235" t="str">
        <x:v>BLOCKED / 13E-08 OPEN</x:v>
      </x:c>
      <x:c r="I1235" t="str">
        <x:v>No award RPC/API, authorization, deadline/commercial-opening governance, notification delivery, audit-warning, RFQ/Quote state, route or Workspace Membership behavior changed. Implementing the requested completion moment would require an explicit post-award navigation/state contract change.</x:v>
      </x:c>
      <x:c r="J1235" t="str">
        <x:v>Continue with dependency-independent 13E-09. Return to 13E-08 only after an approved stable post-award success state exists or the navigation contract is explicitly changed.</x:v>
      </x:c>
    </x:row>
    <x:row r="1236">
      <x:c r="A1236" t="n">
        <x:v>46296</x:v>
      </x:c>
      <x:c r="B1236" t="str">
        <x:v>Phase 13E / 13E-09</x:v>
      </x:c>
      <x:c r="C1236" t="str">
        <x:v>13E-09 Processing-State Pattern Verified</x:v>
      </x:c>
      <x:c r="D1236" t="str">
        <x:v>executive-benchmark-engine</x:v>
      </x:c>
      <x:c r="E1236" t="str">
        <x:v>d992098031a6468c90ec6babe6276b9b69985249</x:v>
      </x:c>
      <x:c r="F1236" t="str">
        <x:v>Evidence-only verification confirmed the existing ExecutiveCompletionMoment processing state already satisfies the reusable processing-state requirement.</x:v>
      </x:c>
      <x:c r="G1236" t="str">
        <x:v>No source files changed. Existing component/test contract provides processing state, optional truthful progress through ExecutiveProgress, aria-busy/live-region semantics, shared motion/reduced-motion behavior, and no timer/async/navigation ownership.</x:v>
      </x:c>
      <x:c r="H1236" t="str">
        <x:v>PASS / 13E-09 CLOSED / EVIDENCE-ONLY</x:v>
      </x:c>
      <x:c r="I1236" t="str">
        <x:v>No duplicate component, fake stage, fake delay, setTimeout, API ownership, navigation behavior, business logic, authorization or domain behavior introduced.</x:v>
      </x:c>
      <x:c r="J1236" t="str">
        <x:v>Next executable canonical task: Phase 13E / 13E-10 — Standardize success animation.</x:v>
      </x:c>
    </x:row>
    <x:row r="1237">
      <x:c r="A1237" t="n">
        <x:v>46296</x:v>
      </x:c>
      <x:c r="B1237" t="str">
        <x:v>Phase 13E / 13E-10</x:v>
      </x:c>
      <x:c r="C1237" t="str">
        <x:v>13E-10 Executive Attention Motion Pattern Published</x:v>
      </x:c>
      <x:c r="D1237" t="str">
        <x:v>executive-benchmark-engine</x:v>
      </x:c>
      <x:c r="E1237" t="str">
        <x:v>786e7e3cdeb36e120b91624a78da6f6866a677e3</x:v>
      </x:c>
      <x:c r="F1237" t="str">
        <x:v>Published one shared one-shot attention/highlight motion contract for newly surfaced high-value risk/change without creating a new React component.</x:v>
      </x:c>
      <x:c r="G1237" t="str">
        <x:v>Exactly three files changed: executive-contract.ts, globals.css, and executive-contract.test.ts. Focused tests 34 PASS; lint/build/diff-check PASS; boundary review CLEAN-SCOPE.</x:v>
      </x:c>
      <x:c r="H1237" t="str">
        <x:v>PASS / 13E-10 CLOSED / PUBLISHED</x:v>
      </x:c>
      <x:c r="I1237" t="str">
        <x:v>Pattern uses existing context/milestone durations, standard easing and semantic warning/gold/cyan colors; runs once; returns to static state; global reduced-motion disables animation. No product-page integration, infinite animation, scale/bounce/confetti, token-value changes or business behavior changes.</x:v>
      </x:c>
      <x:c r="J1237" t="str">
        <x:v>Next executable canonical task: Phase 13E / 13E-11 — Standardize error/recovery motion.</x:v>
      </x:c>
    </x:row>
    <x:row r="1238">
      <x:c r="A1238" t="n">
        <x:v>46296</x:v>
      </x:c>
      <x:c r="B1238" t="str">
        <x:v>Phase 13E / 13E-11</x:v>
      </x:c>
      <x:c r="C1238" t="str">
        <x:v>13E-11 Executive Error Recovery Pattern Published</x:v>
      </x:c>
      <x:c r="D1238" t="str">
        <x:v>executive-benchmark-engine</x:v>
      </x:c>
      <x:c r="E1238" t="str">
        <x:v>fb37b1af5a4866327d444be6e9bab9364448dd42</x:v>
      </x:c>
      <x:c r="F1238" t="str">
        <x:v>Published one reusable ExecutiveErrorRecovery primitive plus a shared one-shot error highlight for actionable recovery states.</x:v>
      </x:c>
      <x:c r="G1238" t="str">
        <x:v>Exactly four files changed: executive-error-recovery.tsx, its focused test, executive-contract.ts, and globals.css. Focused tests 5 PASS; lint/build/diff-check PASS; boundary review CLEAN-SCOPE.</x:v>
      </x:c>
      <x:c r="H1238" t="str">
        <x:v>PASS / 13E-11 CLOSED / PUBLISHED</x:v>
      </x:c>
      <x:c r="I1238" t="str">
        <x:v>Existing executive error contracts and motion tokens are reused. Focus moves only to a caller-supplied target; no API/router/business logic/timers are owned. Highlight runs once, returns to static state, and global reduced-motion disables it. No product-page integration or token-value changes.</x:v>
      </x:c>
      <x:c r="J1238" t="str">
        <x:v>Next executable canonical task: Phase 13E / 13E-12 — Set animation performance budget.</x:v>
      </x:c>
    </x:row>
    <x:row r="1239">
      <x:c r="A1239" t="n">
        <x:v>46296</x:v>
      </x:c>
      <x:c r="B1239" t="str">
        <x:v>Phase 13E / 13E-12</x:v>
      </x:c>
      <x:c r="C1239" t="str">
        <x:v>13E-12 Executive Motion Performance Budget Published</x:v>
      </x:c>
      <x:c r="D1239" t="str">
        <x:v>executive-benchmark-engine</x:v>
      </x:c>
      <x:c r="E1239" t="str">
        <x:v>4afa4545e4f9cee1697d584311e6e6ceb6b8f21a</x:v>
      </x:c>
      <x:c r="F1239" t="str">
        <x:v>Published the core executive motion performance budget and refactored attention/error-recovery effects to non-interactive opacity-only overlays.</x:v>
      </x:c>
      <x:c r="G1239" t="str">
        <x:v>Exactly four files changed: globals.css, executive-contract.ts, executive-contract.test.ts, and executive-error-recovery.test.ts. Focused tests 39 PASS; lint/build/diff-check PASS; boundary review CLEAN-SCOPE.</x:v>
      </x:c>
      <x:c r="H1239" t="str">
        <x:v>PASS / 13E-12 CLOSED / PUBLISHED</x:v>
      </x:c>
      <x:c r="I1239" t="str">
        <x:v>Core motion contract is opacity/transform-first; overlays use pointer-events:none; attention/recovery remain one-shot and avoid animated background-color, box-shadow and layout properties. Existing motion token values and reduced-motion policy remain unchanged. No runtime instrumentation or product-page integration.</x:v>
      </x:c>
      <x:c r="J1239" t="str">
        <x:v>Next executable canonical task: Phase 13E / 13E-13 — Reduced-motion QA for all milestone/attention patterns.</x:v>
      </x:c>
    </x:row>
    <x:row r="1240">
      <x:c r="A1240" t="n">
        <x:v>46296</x:v>
      </x:c>
      <x:c r="B1240" t="str">
        <x:v>Phase 13E / 13E-13</x:v>
      </x:c>
      <x:c r="C1240" t="str">
        <x:v>13E-13 Reduced-Motion QA Published</x:v>
      </x:c>
      <x:c r="D1240" t="str">
        <x:v>executive-benchmark-engine</x:v>
      </x:c>
      <x:c r="E1240" t="str">
        <x:v>15a6f528cad2fcacf3f0d37745ce76956f469893</x:v>
      </x:c>
      <x:c r="F1240" t="str">
        <x:v>Published the reduced-motion fallback and QA contract for milestone, attention and error/recovery feedback.</x:v>
      </x:c>
      <x:c r="G1240" t="str">
        <x:v>Exactly four files changed: globals.css plus the design-system, error-recovery and completion-moment focused tests. Focused tests 42 PASS; lint/build/diff-check PASS; boundary review CLEAN-SCOPE.</x:v>
      </x:c>
      <x:c r="H1240" t="str">
        <x:v>PASS / 13E-13 CLOSED / PUBLISHED</x:v>
      </x:c>
      <x:c r="I1240" t="str">
        <x:v>Attention/Error Recovery retain visible static overlays under prefers-reduced-motion while global animation remains disabled; Completion Moment remains semantically complete without motion. Normal motion/token values unchanged; no runtime detection or product integration. Phase 13E remains BLOCKED, not Complete, because 13E-02/03/07/08 remain open.</x:v>
      </x:c>
      <x:c r="J1240" t="str">
        <x:v>Next executable canonical task: Phase 13F / 13F-01 — Define five-level guidance model.</x:v>
      </x:c>
    </x:row>
    <x:row r="1241">
      <x:c r="A1241" t="n">
        <x:v>46296</x:v>
      </x:c>
      <x:c r="B1241" t="str">
        <x:v>Phase 13F / 13F-01</x:v>
      </x:c>
      <x:c r="C1241" t="str">
        <x:v>13F-01 Five-Level Executive Guidance Model Published</x:v>
      </x:c>
      <x:c r="D1241" t="str">
        <x:v>executive-benchmark-engine</x:v>
      </x:c>
      <x:c r="E1241" t="str">
        <x:v>2e653196cbcf1dc73938f0c2f955c924264cb751</x:v>
      </x:c>
      <x:c r="F1241" t="str">
        <x:v>Published the domain-neutral executive guidance taxonomy with five canonical levels from silent intelligence through user-requested interactive guidance.</x:v>
      </x:c>
      <x:c r="G1241" t="str">
        <x:v>Exactly two files changed: executive-guidance-model.ts and executive-guidance-model.test.ts. Focused tests 5 PASS; lint/build/diff-check PASS; boundary review CLEAN-SCOPE.</x:v>
      </x:c>
      <x:c r="H1241" t="str">
        <x:v>PASS / 13F-01 CLOSED / PUBLISHED</x:v>
      </x:c>
      <x:c r="I1241" t="str">
        <x:v>No RFQ/procurement-specific logic, UI component creation, eligibility/frequency/memory implementation, routes, API/database/auth changes, Ask Nexus implementation or product integration. All levels remain non-blocking and non-consequential; L4 is explicitly user-requested.</x:v>
      </x:c>
      <x:c r="J1241" t="str">
        <x:v>Next executable canonical task: Phase 13F / 13F-02 — Implement guidance eligibility rules.</x:v>
      </x:c>
    </x:row>
    <x:row r="1242">
      <x:c r="A1242" t="n">
        <x:v>46296</x:v>
      </x:c>
      <x:c r="B1242" t="str">
        <x:v>Phase 13F / 13F-02</x:v>
      </x:c>
      <x:c r="C1242" t="str">
        <x:v>13F-02 Executive Guidance Eligibility Rules Published</x:v>
      </x:c>
      <x:c r="D1242" t="str">
        <x:v>executive-benchmark-engine</x:v>
      </x:c>
      <x:c r="E1242" t="str">
        <x:v>f8b53f587c14e2049e1c6ea52db10c0ac6d179d8</x:v>
      </x:c>
      <x:c r="F1242" t="str">
        <x:v>Published the domain-neutral eligibility contract for the five canonical guidance contexts.</x:v>
      </x:c>
      <x:c r="G1242" t="str">
        <x:v>Exactly two files changed: executive-guidance-eligibility.ts and executive-guidance-eligibility.test.ts. Focused tests 5 PASS; lint/build/diff-check PASS; boundary review CLEAN-SCOPE.</x:v>
      </x:c>
      <x:c r="H1242" t="str">
        <x:v>PASS / 13F-02 CLOSED / PUBLISHED</x:v>
      </x:c>
      <x:c r="I1242" t="str">
        <x:v>FIRST_TIME/CHANGE/RISK/INCOMPLETE are eligible proactive contexts; REQUESTED is eligible but explicitly user-requested and non-proactive; unknown/empty values are rejected. No frequency/memory/persistence/UI/API/database/auth or product integration was introduced.</x:v>
      </x:c>
      <x:c r="J1242" t="str">
        <x:v>Next executable canonical task: Phase 13F / 13F-03 — Implement guidance frequency controls.</x:v>
      </x:c>
    </x:row>
    <x:row r="1243">
      <x:c r="A1243" t="n">
        <x:v>46296</x:v>
      </x:c>
      <x:c r="B1243" t="str">
        <x:v>Phase 13F / 13F-03</x:v>
      </x:c>
      <x:c r="C1243" t="str">
        <x:v>13F-03 Executive Guidance Frequency Controls Published</x:v>
      </x:c>
      <x:c r="D1243" t="str">
        <x:v>executive-benchmark-engine</x:v>
      </x:c>
      <x:c r="E1243" t="str">
        <x:v>b94f88cf7c1d713310ed582b6f048beaa0839362</x:v>
      </x:c>
      <x:c r="F1243" t="str">
        <x:v>Published the pure domain-neutral page-load frequency contract for contextual guidance.</x:v>
      </x:c>
      <x:c r="G1243" t="str">
        <x:v>Exactly two files changed: executive-guidance-frequency.ts and executive-guidance-frequency.test.ts. Focused tests 7 PASS; lint/build/diff-check PASS; boundary review CLEAN-SCOPE.</x:v>
      </x:c>
      <x:c r="H1243" t="str">
        <x:v>PASS / 13F-03 CLOSED / PUBLISHED</x:v>
      </x:c>
      <x:c r="I1243" t="str">
        <x:v>One proactive guidance item per page load is enforced; REQUESTED is quota-independent; dismissed/completed anchored coachmarks are blocked from caller state. Unknown/ineligible contexts are blocked. No persistent memory/browser storage/database/runtime ownership was introduced.</x:v>
      </x:c>
      <x:c r="J1243" t="str">
        <x:v>Next executable canonical task: Phase 13F / 13F-04 — Implement seen/dismissed/snoozed guidance memory.</x:v>
      </x:c>
    </x:row>
    <x:row r="1244">
      <x:c r="A1244" t="n">
        <x:v>46296</x:v>
      </x:c>
      <x:c r="B1244" t="str">
        <x:v>Phase 13F / 13F-04</x:v>
      </x:c>
      <x:c r="C1244" t="str">
        <x:v>13F-04 Executive Guidance Memory Contract Published</x:v>
      </x:c>
      <x:c r="D1244" t="str">
        <x:v>executive-benchmark-engine</x:v>
      </x:c>
      <x:c r="E1244" t="str">
        <x:v>61e8f84005b4884d96b18a00df476038ea6dead7</x:v>
      </x:c>
      <x:c r="F1244" t="str">
        <x:v>Published the pure caller-owned memory-state contract for seen/dismissed/snoozed/completed guidance behavior.</x:v>
      </x:c>
      <x:c r="G1244" t="str">
        <x:v>Exactly two files changed: executive-guidance-memory.ts and executive-guidance-memory.test.ts. Focused tests 6 PASS; lint/build/diff-check PASS; boundary review CLEAN-SCOPE.</x:v>
      </x:c>
      <x:c r="H1244" t="str">
        <x:v>PASS / 13F-04 CLOSED / PUBLISHED</x:v>
      </x:c>
      <x:c r="I1244" t="str">
        <x:v>Five canonical memory states are defined. Seen remains reconsiderable; dismissed/completed suppress repeats; active snooze suppresses only until caller-provided snoozedUntil. Remind Me Later maps to snoozed. No storage backend, database persistence, hidden clock, React/UI/API/auth or product integration was introduced.</x:v>
      </x:c>
      <x:c r="J1244" t="str">
        <x:v>Next executable canonical task: Phase 13F / 13F-05 — Create inline hint component.</x:v>
      </x:c>
    </x:row>
    <x:row r="1245">
      <x:c r="A1245" t="n">
        <x:v>46296</x:v>
      </x:c>
      <x:c r="B1245" t="str">
        <x:v>Phase 13F / 13F-05</x:v>
      </x:c>
      <x:c r="C1245" t="str">
        <x:v>13F-05 Executive Inline Hint Component Published</x:v>
      </x:c>
      <x:c r="D1245" t="str">
        <x:v>executive-benchmark-engine</x:v>
      </x:c>
      <x:c r="E1245" t="str">
        <x:v>d1793c8253449ad4d71aedf6908e44daf057461c</x:v>
      </x:c>
      <x:c r="F1245" t="str">
        <x:v>Published the reusable L1 ExecutiveInlineHint presentation primitive for compact contextual explanations.</x:v>
      </x:c>
      <x:c r="G1245" t="str">
        <x:v>Exactly two files changed: executive-inline-hint.tsx and executive-inline-hint.test.ts. Focused tests 5 PASS; lint/build/diff-check PASS; boundary review CLEAN-SCOPE.</x:v>
      </x:c>
      <x:c r="H1245" t="str">
        <x:v>PASS / 13F-05 CLOSED / PUBLISHED</x:v>
      </x:c>
      <x:c r="I1245" t="str">
        <x:v>Reuses EXECUTIVE_FORM_HELPER; supports caller-provided id for aria-describedby; responsive long-text wrapping; no interactive behavior, live regions, state/hooks, eligibility/frequency/memory logic, product integration or procurement-specific semantics.</x:v>
      </x:c>
      <x:c r="J1245" t="str">
        <x:v>Next executable canonical task: Phase 13F / 13F-06 — Create contextual guidance card.</x:v>
      </x:c>
    </x:row>
    <x:row r="1246">
      <x:c r="A1246" t="n">
        <x:v>46296</x:v>
      </x:c>
      <x:c r="B1246" t="str">
        <x:v>Phase 13F / 13F-06</x:v>
      </x:c>
      <x:c r="C1246" t="str">
        <x:v>13F-06 Executive Contextual Guidance Card Published</x:v>
      </x:c>
      <x:c r="D1246" t="str">
        <x:v>executive-benchmark-engine</x:v>
      </x:c>
      <x:c r="E1246" t="str">
        <x:v>f90844661a664a12354c2a239c6aec9c3ce2ab0e</x:v>
      </x:c>
      <x:c r="F1246" t="str">
        <x:v>Published the reusable L2 ExecutiveGuidanceCard for embedded needs-attention guidance with caller-owned Review/Dismiss actions.</x:v>
      </x:c>
      <x:c r="G1246" t="str">
        <x:v>Exactly two files changed: executive-guidance-card.tsx and executive-guidance-card.test.ts. Focused tests 6 PASS; lint/build/diff-check PASS; boundary review CLEAN-SCOPE.</x:v>
      </x:c>
      <x:c r="H1246" t="str">
        <x:v>PASS / 13F-06 CLOSED / PUBLISHED</x:v>
      </x:c>
      <x:c r="I1246" t="str">
        <x:v>Reuses ExecutivePanel and shared executive button contracts; actions are optional and caller-owned; embedded/non-modal/non-blocking; no state, persistence, eligibility/frequency/memory ownership, routing/API/database/auth, new design tokens or procurement-specific product integration.</x:v>
      </x:c>
      <x:c r="J1246" t="str">
        <x:v>Next executable canonical task: Phase 13F / 13F-07 — Create anchored first-use coachmark.</x:v>
      </x:c>
    </x:row>
    <x:row r="1247">
      <x:c r="A1247" t="n">
        <x:v>46296</x:v>
      </x:c>
      <x:c r="B1247" t="str">
        <x:v>Phase 13F / 13F-07</x:v>
      </x:c>
      <x:c r="C1247" t="str">
        <x:v>13F-07 Executive Anchored Coachmark Published</x:v>
      </x:c>
      <x:c r="D1247" t="str">
        <x:v>executive-benchmark-engine</x:v>
      </x:c>
      <x:c r="E1247" t="str">
        <x:v>397bbfcfaecaec1c34c19f3a1863b983ff55f75a</x:v>
      </x:c>
      <x:c r="F1247" t="str">
        <x:v>Published the reusable L3 ExecutiveCoachmark anchored to caller-provided real UI controls.</x:v>
      </x:c>
      <x:c r="G1247" t="str">
        <x:v>Exactly two files changed: executive-coachmark.tsx and executive-coachmark.test.ts. Focused tests 7 PASS; lint/build/diff-check PASS; boundary review CLEAN-SCOPE.</x:v>
      </x:c>
      <x:c r="H1247" t="str">
        <x:v>PASS / 13F-07 CLOSED / PUBLISHED</x:v>
      </x:c>
      <x:c r="I1247" t="str">
        <x:v>Reuses shared popover/motion and executive button contracts; preserves anchor behavior; caller controls open/replay/action/dismiss state; non-modal with no overlay/portal/focus trap. No persistence, Help system, guidance-state ownership, routing/API/auth or procurement-specific product integration.</x:v>
      </x:c>
      <x:c r="J1247" t="str">
        <x:v>Next executable canonical task: Phase 13F / 13F-08 — Create Nexus Guide side panel.</x:v>
      </x:c>
    </x:row>
    <x:row r="1248">
      <x:c r="A1248" t="n">
        <x:v>46296</x:v>
      </x:c>
      <x:c r="B1248" t="str">
        <x:v>Phase 13F / 13F-08</x:v>
      </x:c>
      <x:c r="C1248" t="str">
        <x:v>13F-08 Executive Nexus Guide Side Panel Published</x:v>
      </x:c>
      <x:c r="D1248" t="str">
        <x:v>executive-benchmark-engine</x:v>
      </x:c>
      <x:c r="E1248" t="str">
        <x:v>aa358c01d7f4869a5ae2e77cb00ea62bc85478b4</x:v>
      </x:c>
      <x:c r="F1248" t="str">
        <x:v>Published the reusable ExecutiveNexusGuide side panel using the shared executive drawer contracts.</x:v>
      </x:c>
      <x:c r="G1248" t="str">
        <x:v>Exactly two files changed: executive-nexus-guide.tsx and executive-nexus-guide.test.ts. Focused tests 6 PASS; lint/build/diff-check PASS; boundary review CLEAN-SCOPE.</x:v>
      </x:c>
      <x:c r="H1248" t="str">
        <x:v>PASS / 13F-08 CLOSED / PUBLISHED</x:v>
      </x:c>
      <x:c r="I1248" t="str">
        <x:v>Panel is caller-controlled and presentation-only; displays supplied workflow/readiness/attention/next-step context and optional actions, omits empty sections, and owns no AI/inference/data loading/guidance-state persistence/routing/API/auth or procurement-specific product behavior.</x:v>
      </x:c>
      <x:c r="J1248" t="str">
        <x:v>Next executable canonical task: Phase 13F / 13F-09 — Add RFI/clarification contextual guidance.</x:v>
      </x:c>
    </x:row>
    <x:row r="1249">
      <x:c r="A1249" t="n">
        <x:v>46296</x:v>
      </x:c>
      <x:c r="B1249" t="str">
        <x:v>Phase 13F / 13F-09</x:v>
      </x:c>
      <x:c r="C1249" t="str">
        <x:v>13F-09 RFI / Clarification Contextual Guidance Published</x:v>
      </x:c>
      <x:c r="D1249" t="str">
        <x:v>executive-benchmark-engine</x:v>
      </x:c>
      <x:c r="E1249" t="str">
        <x:v>0bc78e96f7dcbe425f27548f964f10e4e7c31477</x:v>
      </x:c>
      <x:c r="F1249" t="str">
        <x:v>Published truthful RFI contextual guidance using a pure resolver plus a single shared ExecutiveGuidanceCard integration in RFQRfiWorkspace.</x:v>
      </x:c>
      <x:c r="G1249" t="str">
        <x:v>Exactly four authorized files changed. Focused tests 9 PASS; lint/build/diff-check PASS; boundary review CLEAN-SCOPE.</x:v>
      </x:c>
      <x:c r="H1249" t="str">
        <x:v>PASS / 13F-09 CLOSED / PUBLISHED</x:v>
      </x:c>
      <x:c r="I1249" t="str">
        <x:v>Approaching deadline and owner/open-RFI guidance use existing state; ambiguity/Addendum impact require explicit caller signals. No text inference, AI analysis, RFI API behavior change, Addendum workflow change, database/auth/RLS change or confidentiality regression.</x:v>
      </x:c>
      <x:c r="J1249" t="str">
        <x:v>Next executable canonical task: Phase 13F / 13F-10 — Add proposal readiness contextual guidance.</x:v>
      </x:c>
    </x:row>
    <x:row r="1250">
      <x:c r="A1250" t="n">
        <x:v>46296</x:v>
      </x:c>
      <x:c r="B1250" t="str">
        <x:v>Phase 13F / 13F-10</x:v>
      </x:c>
      <x:c r="C1250" t="str">
        <x:v>13F-10 Quotation Readiness Contextual Guidance Published</x:v>
      </x:c>
      <x:c r="D1250" t="str">
        <x:v>executive-benchmark-engine</x:v>
      </x:c>
      <x:c r="E1250" t="str">
        <x:v>b553b9758ae99f802a96688ef34bf48af6efc130</x:v>
      </x:c>
      <x:c r="F1250" t="str">
        <x:v>Published truthful quotation readiness contextual guidance using a pure resolver plus one shared ExecutiveGuidanceCard integration in RfqSubmitWorkspace.</x:v>
      </x:c>
      <x:c r="G1250" t="str">
        <x:v>Exactly four authorized files changed. Focused tests 18 PASS; lint/build/diff-check PASS; boundary review CLEAN-SCOPE.</x:v>
      </x:c>
      <x:c r="H1250" t="str">
        <x:v>PASS / 13F-10 CLOSED / PUBLISHED</x:v>
      </x:c>
      <x:c r="I1250" t="str">
        <x:v>Outstanding Addendum acknowledgement is highest priority; missing amount/timeline/commercial-note evidence is combined into one item. Compliance/documents require explicit caller signals and are not inferred. Submit/reconfirm/resubmit/API/data/auth behavior remains unchanged.</x:v>
      </x:c>
      <x:c r="J1250" t="str">
        <x:v>Next executable canonical task: Phase 13F / 13F-11 — Add evaluation exception guidance.</x:v>
      </x:c>
    </x:row>
    <x:row r="1251">
      <x:c r="A1251" t="n">
        <x:v>46296</x:v>
      </x:c>
      <x:c r="B1251" t="str">
        <x:v>Phase 13F / 13F-11</x:v>
      </x:c>
      <x:c r="C1251" t="str">
        <x:v>13F-11 Evaluation Exception Guidance Published</x:v>
      </x:c>
      <x:c r="D1251" t="str">
        <x:v>executive-benchmark-engine</x:v>
      </x:c>
      <x:c r="E1251" t="str">
        <x:v>53911307de96669fd5091f92375b2015301536b4</x:v>
      </x:c>
      <x:c r="F1251" t="str">
        <x:v>Published evidence-backed evaluation exception guidance using a pure resolver plus one shared ExecutiveGuidanceCard integration in RfqQuoteComparison.</x:v>
      </x:c>
      <x:c r="G1251" t="str">
        <x:v>Exactly four authorized files changed. Focused tests 14 PASS; lint/build/diff-check PASS; boundary review CLEAN-SCOPE.</x:v>
      </x:c>
      <x:c r="H1251" t="str">
        <x:v>PASS / 13F-11 CLOSED / PUBLISHED</x:v>
      </x:c>
      <x:c r="I1251" t="str">
        <x:v>Material revalidation is highest priority; high-risk and highest-price evidence reuse existing comparison fields only. No new thresholds, data loading, lifecycle bypass, issuer authorization, scoring/ranking/recommendation or award behavior changes.</x:v>
      </x:c>
      <x:c r="J1251" t="str">
        <x:v>Next executable canonical task: Phase 13F / 13F-12 — Add attention guidance to Activity Center.</x:v>
      </x:c>
    </x:row>
    <x:row r="1252">
      <x:c r="A1252" t="n">
        <x:v>46296</x:v>
      </x:c>
      <x:c r="B1252" t="str">
        <x:v>Phase 13F / 13F-12</x:v>
      </x:c>
      <x:c r="C1252" t="str">
        <x:v>13F-12 Activity Center Attention Guidance Published</x:v>
      </x:c>
      <x:c r="D1252" t="str">
        <x:v>executive-benchmark-engine</x:v>
      </x:c>
      <x:c r="E1252" t="str">
        <x:v>9d2060830c903e6bb184197b3bae78571aa05b7b</x:v>
      </x:c>
      <x:c r="F1252" t="str">
        <x:v>Published concise Needs Attention guidance for supported Activity Center events with authorization-aware RFQ source navigation.</x:v>
      </x:c>
      <x:c r="G1252" t="str">
        <x:v>Exactly four authorized files changed. Focused tests 11 PASS; lint/build/diff-check PASS; boundary review CLEAN-SCOPE.</x:v>
      </x:c>
      <x:c r="H1252" t="str">
        <x:v>PASS / 13F-12 CLOSED / PUBLISHED</x:v>
      </x:c>
      <x:c r="I1252" t="str">
        <x:v>Guidance is event-type-based only; source links use existing resolveRfqSourceHref results. Priority ordering, Updates/History behavior, company scoping, source authorization and data access remain unchanged.</x:v>
      </x:c>
      <x:c r="J1252" t="str">
        <x:v>Next executable canonical task: Phase 13F / 13F-13 — Standardize guidance writing tone.</x:v>
      </x:c>
    </x:row>
    <x:row r="1253">
      <x:c r="A1253" t="n">
        <x:v>46296</x:v>
      </x:c>
      <x:c r="B1253" t="str">
        <x:v>Phase 13F / 13F-13</x:v>
      </x:c>
      <x:c r="C1253" t="str">
        <x:v>13F-13 Guidance Writing Tone Standardized</x:v>
      </x:c>
      <x:c r="D1253" t="str">
        <x:v>executive-benchmark-engine</x:v>
      </x:c>
      <x:c r="E1253" t="str">
        <x:v>9324616d59d52f4b614c8cc3712e1f4caa87caef</x:v>
      </x:c>
      <x:c r="F1253" t="str">
        <x:v>Standardized Phase 13F guidance copy across RFI, quotation readiness, evaluation exceptions and Activity attention.</x:v>
      </x:c>
      <x:c r="G1253" t="str">
        <x:v>Exactly eight authorized source/test files changed. Focused tests 27 PASS; lint/build/diff-check PASS; boundary review CLEAN-SCOPE.</x:v>
      </x:c>
      <x:c r="H1253" t="str">
        <x:v>PASS / 13F-13 CLOSED / PUBLISHED</x:v>
      </x:c>
      <x:c r="I1253" t="str">
        <x:v>Copy-only standardization: concise, professional, procurement-accurate, non-patronizing, action-oriented. Resolver logic/priorities, UI/product code, lifecycle/authorization, routing/API/data and guidance-state rules remain unchanged.</x:v>
      </x:c>
      <x:c r="J1253" t="str">
        <x:v>Next executable canonical task: Phase 13F / 13F-14 — Guidance annoyance review.</x:v>
      </x:c>
    </x:row>
    <x:row r="1254">
      <x:c r="A1254" t="n">
        <x:v>46296</x:v>
      </x:c>
      <x:c r="B1254" t="str">
        <x:v>Phase 13F / 13F-14</x:v>
      </x:c>
      <x:c r="C1254" t="str">
        <x:v>13F-14 Guidance Annoyance Review Blocked by QA Access</x:v>
      </x:c>
      <x:c r="D1254" t="str">
        <x:v>executive-benchmark-engine</x:v>
      </x:c>
      <x:c r="E1254" t="str">
        <x:v>81f73b3b47e242c27ec775e0a85a0f1534734683</x:v>
      </x:c>
      <x:c r="F1254" t="str">
        <x:v>Performed read-only guidance annoyance walkthrough. Quote Comparison verified PASS; remaining authenticated product surfaces could not be live-walked with the current local session.</x:v>
      </x:c>
      <x:c r="G1254" t="str">
        <x:v>No code changed. Quote Comparison evidence: one guidance card max, no award/winner implication, evidence remains primary, empty/low-risk states quiet, desktop/mobile responsive PASS.</x:v>
      </x:c>
      <x:c r="H1254" t="str">
        <x:v>BLOCKED / QA ACCESS EVIDENCE GAP / NO VERIFIED PRODUCT DEFECT</x:v>
      </x:c>
      <x:c r="I1254" t="str">
        <x:v>Private RFI, Quotation Submit/Revalidation, and Activity Center Needs Attention remain unverified because authenticated routes were unreachable. This is not evidence of guidance failure.</x:v>
      </x:c>
      <x:c r="J1254" t="str">
        <x:v>Establish authorized local QA session, then rerun only unverified 13F-14 surfaces and global annoyance checks. Preserve 13F-01 through 13F-13 PASS/CLOSED.</x:v>
      </x:c>
    </x:row>
    <x:row r="1255">
      <x:c r="A1255" t="n">
        <x:v>46296</x:v>
      </x:c>
      <x:c r="B1255" t="str">
        <x:v>Phase 13F / 13F-14</x:v>
      </x:c>
      <x:c r="C1255" t="str">
        <x:v>13F-14 Authenticated QA Partial Pass</x:v>
      </x:c>
      <x:c r="D1255" t="str">
        <x:v>executive-benchmark-engine</x:v>
      </x:c>
      <x:c r="E1255" t="str">
        <x:v>a3a181a447fe431ea4e43cd1657669f20867a244</x:v>
      </x:c>
      <x:c r="F1255" t="str">
        <x:v>Established authorized local owner session and resumed read-only guidance annoyance QA. Private RFI and Activity Center now verified PASS; prior Quote Comparison PASS retained.</x:v>
      </x:c>
      <x:c r="G1255" t="str">
        <x:v>No code/database/auth changes. RFQ and Activity Center auth prerequisites PASS. Global annoyance checks PASS with no verified P0/P1 guidance defect.</x:v>
      </x:c>
      <x:c r="H1255" t="str">
        <x:v>BLOCKED / ONE EVIDENCE GAP REMAINS</x:v>
      </x:c>
      <x:c r="I1255" t="str">
        <x:v>Quotation Submit/Revalidation is still UNVERIFIED. All other integrated 13F guidance surfaces now have PASS evidence.</x:v>
      </x:c>
      <x:c r="J1255" t="str">
        <x:v>Walk only Quotation Submit/Revalidation with existing authorized session/data. If all readiness-annoyance checks PASS, close 13F-14 and Phase 13F.</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520f1dacff544999"/>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7d962f1d6b8d491b"/>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U5 / Phase 13F BLOCKED — 13F-01 through 13F-13 PASS/CLOSED/PUBLISHED. 13F-14 now has PASS evidence for Quote Comparison, Private RFI, Activity Center and global annoyance checks. The sole remaining evidence gap is Quotation Submit/Revalidation, which is still UNVERIFIED. Next action: walk only Quotation Submit/Revalidation using the existing authorized session/data; do not reopen completed guidance implementation.</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str">
        <x:v>Blocked</x:v>
      </x:c>
      <x:c r="J9" s="133" t="str">
        <x:v>U4 / Phase 13E BLOCKED — 13E-01, 13E-04, 13E-05, 13E-06, 13E-09, 13E-10, 13E-11, 13E-12 and 13E-13 PASS/CLOSED. 13E-02, 13E-03, 13E-07 and 13E-08 remain BLOCKED/Open because their current create/publish/quote/award flows auto-navigate and expose no stable completion surface without an explicitly approved navigation/state contract change. No further dependency-independent 13E task remains. Do not reopen completed 13E primitives absent a verified defect or changed requirement.</x:v>
      </x:c>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str">
        <x:v>Blocked</x:v>
      </x:c>
      <x:c r="J10" s="133" t="str">
        <x:v>U5 / Phase 13F BLOCKED — 13F-01 through 13F-13 PASS/CLOSED/PUBLISHED. 13F-14 now has PASS evidence for Quote Comparison, Private RFI, Activity Center and global annoyance checks. The sole remaining evidence gap is Quotation Submit/Revalidation, which is still UNVERIFIED. Next action: walk only Quotation Submit/Revalidation using the existing authorized session/data; do not reopen completed guidance implementation.</x:v>
      </x:c>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60a81d0b8bbd412a"/>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df1074cc52d845f2"/>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549fc85df91945bd"/>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269e7414ab02495e"/>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