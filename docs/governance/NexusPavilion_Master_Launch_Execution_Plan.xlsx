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589e458a3444b2" /></Relationships>
</file>

<file path=xl/workbook.xml><?xml version="1.0" encoding="utf-8"?>
<x:workbook xmlns:x="http://schemas.openxmlformats.org/spreadsheetml/2006/main">
  <x:sheets>
    <x:sheet xmlns:r="http://schemas.openxmlformats.org/officeDocument/2006/relationships" name="01 Master Plan" sheetId="1" r:id="Rba6fd8b39ff3471f"/>
    <x:sheet xmlns:r="http://schemas.openxmlformats.org/officeDocument/2006/relationships" name="03 Launch Gates" sheetId="2" r:id="R9be19bdb68854516"/>
    <x:sheet xmlns:r="http://schemas.openxmlformats.org/officeDocument/2006/relationships" name="00 Dashboard" sheetId="3" r:id="Rf46afb3ab15f4cdc"/>
    <x:sheet xmlns:r="http://schemas.openxmlformats.org/officeDocument/2006/relationships" name="04 Cursor Tasks" sheetId="4" r:id="Rf28c1f9642e7467f"/>
    <x:sheet xmlns:r="http://schemas.openxmlformats.org/officeDocument/2006/relationships" name="05 UAT Matrix" sheetId="5" r:id="Rbd6d4d2792db41a5"/>
    <x:sheet xmlns:r="http://schemas.openxmlformats.org/officeDocument/2006/relationships" name="06 Security Matrix" sheetId="6" r:id="R5c07f9ec81f74984"/>
    <x:sheet xmlns:r="http://schemas.openxmlformats.org/officeDocument/2006/relationships" name="07 Risks" sheetId="7" r:id="R4e5f6baed1a94411"/>
    <x:sheet xmlns:r="http://schemas.openxmlformats.org/officeDocument/2006/relationships" name="08 Architecture" sheetId="8" r:id="Ra38a97e13585475e"/>
    <x:sheet xmlns:r="http://schemas.openxmlformats.org/officeDocument/2006/relationships" name="09 Release Checklist" sheetId="9" r:id="R23e2877ef3054d2d"/>
    <x:sheet xmlns:r="http://schemas.openxmlformats.org/officeDocument/2006/relationships" name="10 Change Log" sheetId="10" r:id="Rf1d828a03483459d"/>
    <x:sheet xmlns:r="http://schemas.openxmlformats.org/officeDocument/2006/relationships" name="11 Scope &amp; Roadmap" sheetId="11" r:id="R6acf5e2d31eb4b10"/>
    <x:sheet xmlns:r="http://schemas.openxmlformats.org/officeDocument/2006/relationships" name="12 How to Use" sheetId="12" r:id="R820cdab966b04497"/>
    <x:sheet xmlns:r="http://schemas.openxmlformats.org/officeDocument/2006/relationships" name="13 UI Program" sheetId="13" r:id="R21ec5a2cda7146a5"/>
    <x:sheet xmlns:r="http://schemas.openxmlformats.org/officeDocument/2006/relationships" name="14 UI Scorecard" sheetId="14" r:id="R58fa1207e1ba4f77"/>
    <x:sheet xmlns:r="http://schemas.openxmlformats.org/officeDocument/2006/relationships" name="15 Motion Guidance" sheetId="15" r:id="Rc38b34c5eb5a4775"/>
    <x:sheet xmlns:r="http://schemas.openxmlformats.org/officeDocument/2006/relationships" name="16 Design Standards" sheetId="16" r:id="Rfe0c6c9001934550"/>
    <x:sheet xmlns:r="http://schemas.openxmlformats.org/officeDocument/2006/relationships" name="17 Corporate Platform" sheetId="17" r:id="Rbe78e01cae8947b7"/>
    <x:sheet xmlns:r="http://schemas.openxmlformats.org/officeDocument/2006/relationships" name="18 Analytics Reuse Map" sheetId="18" r:id="Rf7300ce657c945c7"/>
    <x:sheet xmlns:r="http://schemas.openxmlformats.org/officeDocument/2006/relationships" name="19 Executive Insights Discovery" sheetId="19" r:id="R61e3336a090346bd"/>
    <x:sheet xmlns:r="http://schemas.openxmlformats.org/officeDocument/2006/relationships" name="20 Procurement Insights Discovery" sheetId="20" r:id="Rfd099dd8026b4afd"/>
    <x:sheet xmlns:r="http://schemas.openxmlformats.org/officeDocument/2006/relationships" name="21 Commercial Insights Discovery" sheetId="21" r:id="R57398aff1b7a4259"/>
    <x:sheet xmlns:r="http://schemas.openxmlformats.org/officeDocument/2006/relationships" name="22 Project Insights Discovery" sheetId="22" r:id="R243030106b1c4b95"/>
    <x:sheet xmlns:r="http://schemas.openxmlformats.org/officeDocument/2006/relationships" name="23 Performance Discovery" sheetId="23" r:id="Red3c8c976dda4bd0"/>
    <x:sheet xmlns:r="http://schemas.openxmlformats.org/officeDocument/2006/relationships" name="24 Risk Compliance Discovery" sheetId="24" r:id="R99521b8c373344f9"/>
    <x:sheet xmlns:r="http://schemas.openxmlformats.org/officeDocument/2006/relationships" name="25 Commercial Handoff" sheetId="25" r:id="Rd4e2735b5e204ca1"/>
    <x:sheet xmlns:r="http://schemas.openxmlformats.org/officeDocument/2006/relationships" name="26 RFQ Governance" sheetId="26" r:id="Rf750ee28aaaf49f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56f961899b34e2d" /><Relationship Type="http://schemas.openxmlformats.org/officeDocument/2006/relationships/theme" Target="/xl/theme/theme1.xml" Id="Rcc751bebba534938" /><Relationship Type="http://schemas.openxmlformats.org/officeDocument/2006/relationships/sharedStrings" Target="/xl/sharedStrings.xml" Id="R1753d77820b940f4" /><Relationship Type="http://schemas.openxmlformats.org/officeDocument/2006/relationships/worksheet" Target="/xl/worksheets/sheet1.xml" Id="Rba6fd8b39ff3471f" /><Relationship Type="http://schemas.openxmlformats.org/officeDocument/2006/relationships/worksheet" Target="/xl/worksheets/sheet2.xml" Id="R9be19bdb68854516" /><Relationship Type="http://schemas.openxmlformats.org/officeDocument/2006/relationships/worksheet" Target="/xl/worksheets/sheet3.xml" Id="Rf46afb3ab15f4cdc" /><Relationship Type="http://schemas.openxmlformats.org/officeDocument/2006/relationships/worksheet" Target="/xl/worksheets/sheet4.xml" Id="Rf28c1f9642e7467f" /><Relationship Type="http://schemas.openxmlformats.org/officeDocument/2006/relationships/worksheet" Target="/xl/worksheets/sheet5.xml" Id="Rbd6d4d2792db41a5" /><Relationship Type="http://schemas.openxmlformats.org/officeDocument/2006/relationships/worksheet" Target="/xl/worksheets/sheet6.xml" Id="R5c07f9ec81f74984" /><Relationship Type="http://schemas.openxmlformats.org/officeDocument/2006/relationships/worksheet" Target="/xl/worksheets/sheet7.xml" Id="R4e5f6baed1a94411" /><Relationship Type="http://schemas.openxmlformats.org/officeDocument/2006/relationships/worksheet" Target="/xl/worksheets/sheet8.xml" Id="Ra38a97e13585475e" /><Relationship Type="http://schemas.openxmlformats.org/officeDocument/2006/relationships/worksheet" Target="/xl/worksheets/sheet9.xml" Id="R23e2877ef3054d2d" /><Relationship Type="http://schemas.openxmlformats.org/officeDocument/2006/relationships/worksheet" Target="/xl/worksheets/sheet10.xml" Id="Rf1d828a03483459d" /><Relationship Type="http://schemas.openxmlformats.org/officeDocument/2006/relationships/worksheet" Target="/xl/worksheets/sheet11.xml" Id="R6acf5e2d31eb4b10" /><Relationship Type="http://schemas.openxmlformats.org/officeDocument/2006/relationships/worksheet" Target="/xl/worksheets/sheet12.xml" Id="R820cdab966b04497" /><Relationship Type="http://schemas.openxmlformats.org/officeDocument/2006/relationships/worksheet" Target="/xl/worksheets/sheet13.xml" Id="R21ec5a2cda7146a5" /><Relationship Type="http://schemas.openxmlformats.org/officeDocument/2006/relationships/worksheet" Target="/xl/worksheets/sheet14.xml" Id="R58fa1207e1ba4f77" /><Relationship Type="http://schemas.openxmlformats.org/officeDocument/2006/relationships/worksheet" Target="/xl/worksheets/sheet15.xml" Id="Rc38b34c5eb5a4775" /><Relationship Type="http://schemas.openxmlformats.org/officeDocument/2006/relationships/worksheet" Target="/xl/worksheets/sheet16.xml" Id="Rfe0c6c9001934550" /><Relationship Type="http://schemas.openxmlformats.org/officeDocument/2006/relationships/worksheet" Target="/xl/worksheets/sheet17.xml" Id="Rbe78e01cae8947b7" /><Relationship Type="http://schemas.openxmlformats.org/officeDocument/2006/relationships/worksheet" Target="/xl/worksheets/sheet18.xml" Id="Rf7300ce657c945c7" /><Relationship Type="http://schemas.openxmlformats.org/officeDocument/2006/relationships/worksheet" Target="/xl/worksheets/sheet19.xml" Id="R61e3336a090346bd" /><Relationship Type="http://schemas.openxmlformats.org/officeDocument/2006/relationships/worksheet" Target="/xl/worksheets/sheet20.xml" Id="Rfd099dd8026b4afd" /><Relationship Type="http://schemas.openxmlformats.org/officeDocument/2006/relationships/worksheet" Target="/xl/worksheets/sheet21.xml" Id="R57398aff1b7a4259" /><Relationship Type="http://schemas.openxmlformats.org/officeDocument/2006/relationships/worksheet" Target="/xl/worksheets/sheet22.xml" Id="R243030106b1c4b95" /><Relationship Type="http://schemas.openxmlformats.org/officeDocument/2006/relationships/worksheet" Target="/xl/worksheets/sheet23.xml" Id="Red3c8c976dda4bd0" /><Relationship Type="http://schemas.openxmlformats.org/officeDocument/2006/relationships/worksheet" Target="/xl/worksheets/sheet24.xml" Id="R99521b8c373344f9" /><Relationship Type="http://schemas.openxmlformats.org/officeDocument/2006/relationships/worksheet" Target="/xl/worksheets/sheet25.xml" Id="Rd4e2735b5e204ca1" /><Relationship Type="http://schemas.openxmlformats.org/officeDocument/2006/relationships/worksheet" Target="/xl/worksheets/sheet26.xml" Id="Rf750ee28aaaf49f2" /></Relationships>
</file>

<file path=xl/drawings/_rels/drawing1.xml.rels>&#65279;<?xml version="1.0" encoding="utf-8"?><Relationships xmlns="http://schemas.openxmlformats.org/package/2006/relationships"><Relationship Type="http://schemas.openxmlformats.org/officeDocument/2006/relationships/chart" Target="/xl/drawings/charts/chart1.xml" Id="R02bbf869a8ea48e5"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2bbf869a8ea48e5"/>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2734cf87f984287" /></Relationships>
</file>

<file path=xl/worksheets/_rels/sheet2.xml.rels>&#65279;<?xml version="1.0" encoding="utf-8"?><Relationships xmlns="http://schemas.openxmlformats.org/package/2006/relationships"><Relationship Type="http://schemas.openxmlformats.org/officeDocument/2006/relationships/table" Target="/xl/tables/table2.xml" Id="Rb3201992bf3a43b0" /></Relationships>
</file>

<file path=xl/worksheets/_rels/sheet3.xml.rels>&#65279;<?xml version="1.0" encoding="utf-8"?><Relationships xmlns="http://schemas.openxmlformats.org/package/2006/relationships"><Relationship Type="http://schemas.openxmlformats.org/officeDocument/2006/relationships/drawing" Target="/xl/drawings/drawing1.xml" Id="Raafca4d24de74e04" /></Relationships>
</file>

<file path=xl/worksheets/_rels/sheet4.xml.rels>&#65279;<?xml version="1.0" encoding="utf-8"?><Relationships xmlns="http://schemas.openxmlformats.org/package/2006/relationships"><Relationship Type="http://schemas.openxmlformats.org/officeDocument/2006/relationships/table" Target="/xl/tables/table3.xml" Id="R5c9f34c96c884cee" /></Relationships>
</file>

<file path=xl/worksheets/_rels/sheet5.xml.rels>&#65279;<?xml version="1.0" encoding="utf-8"?><Relationships xmlns="http://schemas.openxmlformats.org/package/2006/relationships"><Relationship Type="http://schemas.openxmlformats.org/officeDocument/2006/relationships/table" Target="/xl/tables/table4.xml" Id="Re69ead70d64a4333" /></Relationships>
</file>

<file path=xl/worksheets/_rels/sheet6.xml.rels>&#65279;<?xml version="1.0" encoding="utf-8"?><Relationships xmlns="http://schemas.openxmlformats.org/package/2006/relationships"><Relationship Type="http://schemas.openxmlformats.org/officeDocument/2006/relationships/table" Target="/xl/tables/table5.xml" Id="Rb1379663b5aa473e" /></Relationships>
</file>

<file path=xl/worksheets/_rels/sheet7.xml.rels>&#65279;<?xml version="1.0" encoding="utf-8"?><Relationships xmlns="http://schemas.openxmlformats.org/package/2006/relationships"><Relationship Type="http://schemas.openxmlformats.org/officeDocument/2006/relationships/table" Target="/xl/tables/table6.xml" Id="R1e6b44a8003c45af" /></Relationships>
</file>

<file path=xl/worksheets/_rels/sheet9.xml.rels>&#65279;<?xml version="1.0" encoding="utf-8"?><Relationships xmlns="http://schemas.openxmlformats.org/package/2006/relationships"><Relationship Type="http://schemas.openxmlformats.org/officeDocument/2006/relationships/table" Target="/xl/tables/table7.xml" Id="R239a8972eb3347b5" /></Relationships>
</file>

<file path=xl/worksheets/_rels/sheet10.xml.rels>&#65279;<?xml version="1.0" encoding="utf-8"?><Relationships xmlns="http://schemas.openxmlformats.org/package/2006/relationships"><Relationship Type="http://schemas.openxmlformats.org/officeDocument/2006/relationships/table" Target="/xl/tables/table8.xml" Id="R4b49cd8b241a47f6" /></Relationships>
</file>

<file path=xl/worksheets/_rels/sheet11.xml.rels>&#65279;<?xml version="1.0" encoding="utf-8"?><Relationships xmlns="http://schemas.openxmlformats.org/package/2006/relationships"><Relationship Type="http://schemas.openxmlformats.org/officeDocument/2006/relationships/table" Target="/xl/tables/table9.xml" Id="R4c35dba004bd4985" /></Relationships>
</file>

<file path=xl/worksheets/_rels/sheet13.xml.rels>&#65279;<?xml version="1.0" encoding="utf-8"?><Relationships xmlns="http://schemas.openxmlformats.org/package/2006/relationships"><Relationship Type="http://schemas.openxmlformats.org/officeDocument/2006/relationships/table" Target="/xl/tables/table10.xml" Id="Rce5d48a08e574455" /></Relationships>
</file>

<file path=xl/worksheets/_rels/sheet14.xml.rels>&#65279;<?xml version="1.0" encoding="utf-8"?><Relationships xmlns="http://schemas.openxmlformats.org/package/2006/relationships"><Relationship Type="http://schemas.openxmlformats.org/officeDocument/2006/relationships/table" Target="/xl/tables/table11.xml" Id="Rfde0c5a778ca4f70" /></Relationships>
</file>

<file path=xl/worksheets/_rels/sheet15.xml.rels>&#65279;<?xml version="1.0" encoding="utf-8"?><Relationships xmlns="http://schemas.openxmlformats.org/package/2006/relationships"><Relationship Type="http://schemas.openxmlformats.org/officeDocument/2006/relationships/table" Target="/xl/tables/table12.xml" Id="R75aa2958f16f4cec" /></Relationships>
</file>

<file path=xl/worksheets/_rels/sheet16.xml.rels>&#65279;<?xml version="1.0" encoding="utf-8"?><Relationships xmlns="http://schemas.openxmlformats.org/package/2006/relationships"><Relationship Type="http://schemas.openxmlformats.org/officeDocument/2006/relationships/table" Target="/xl/tables/table13.xml" Id="R08cd813dd31e40e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f>IF(H205="Completed","✓",IF(H205="Blocked","!",""))</x:f>
      </x:c>
      <x:c r="B205" s="133" t="inlineStr">
        <x:is>
          <x:t xml:space="preserve">19-06</x:t>
        </x:is>
      </x:c>
      <x:c r="C205" s="133" t="inlineStr">
        <x:is>
          <x:t xml:space="preserve">19 Marketing Alignment</x:t>
        </x:is>
      </x:c>
      <x:c r="D205" s="133" t="inlineStr">
        <x:is>
          <x:t xml:space="preserve">Marketing</x:t>
        </x:is>
      </x:c>
      <x:c r="E205" s="133" t="inlineStr">
        <x:is>
          <x:t xml:space="preserve">Create sales workflow story</x:t>
        </x:is>
      </x:c>
      <x:c r="F205" s="133" t="inlineStr">
        <x:is>
          <x:t xml:space="preserve">Issuer/respondent/RFI/evaluation story explained from one architecture.</x:t>
        </x:is>
      </x:c>
      <x:c r="G205" s="133" t="inlineStr">
        <x:is>
          <x:t xml:space="preserve">P1</x:t>
        </x:is>
      </x:c>
      <x:c r="H205" s="133" t="inlineStr">
        <x:is>
          <x:t xml:space="preserve">Not Started</x:t>
        </x:is>
      </x:c>
      <x:c r="I205" s="133" t="str"/>
      <x:c r="J205" s="133" t="str"/>
      <x:c r="K205" s="133" t="str"/>
      <x:c r="L205" s="133" t="str"/>
      <x:c r="M205" s="133" t="str"/>
      <x:c r="N205" s="249" t="n"/>
      <x:c r="O205" s="249" t="n"/>
      <x:c r="P205" s="32" t="str"/>
    </x:row>
    <x:row r="206">
      <x:c r="A206" s="42" t="str">
        <x:f>IF(H206="Completed","✓",IF(H206="Blocked","!",""))</x:f>
      </x:c>
      <x:c r="B206" s="133" t="inlineStr">
        <x:is>
          <x:t xml:space="preserve">19-07</x:t>
        </x:is>
      </x:c>
      <x:c r="C206" s="133" t="inlineStr">
        <x:is>
          <x:t xml:space="preserve">19 Marketing Alignment</x:t>
        </x:is>
      </x:c>
      <x:c r="D206" s="133" t="inlineStr">
        <x:is>
          <x:t xml:space="preserve">Marketing</x:t>
        </x:is>
      </x:c>
      <x:c r="E206" s="133" t="inlineStr">
        <x:is>
          <x:t xml:space="preserve">Create investor platform story</x:t>
        </x:is>
      </x:c>
      <x:c r="F206" s="133" t="inlineStr">
        <x:is>
          <x:t xml:space="preserve">Vision distinguishes current foundation from roadmap expansion.</x:t>
        </x:is>
      </x:c>
      <x:c r="G206" s="133" t="inlineStr">
        <x:is>
          <x:t xml:space="preserve">P2</x:t>
        </x:is>
      </x:c>
      <x:c r="H206" s="133" t="inlineStr">
        <x:is>
          <x:t xml:space="preserve">Not Started</x:t>
        </x:is>
      </x:c>
      <x:c r="I206" s="133" t="str"/>
      <x:c r="J206" s="133" t="str"/>
      <x:c r="K206" s="133" t="str"/>
      <x:c r="L206" s="133" t="str"/>
      <x:c r="M206" s="133" t="str"/>
      <x:c r="N206" s="249" t="n"/>
      <x:c r="O206" s="249" t="n"/>
      <x:c r="P206" s="32" t="str"/>
    </x:row>
    <x:row r="207">
      <x:c r="A207" s="42" t="str">
        <x:f>IF(H207="Completed","✓",IF(H207="Blocked","!",""))</x:f>
      </x:c>
      <x:c r="B207" s="133" t="inlineStr">
        <x:is>
          <x:t xml:space="preserve">20-01</x:t>
        </x:is>
      </x:c>
      <x:c r="C207" s="133" t="inlineStr">
        <x:is>
          <x:t xml:space="preserve">20 Launch Documentation</x:t>
        </x:is>
      </x:c>
      <x:c r="D207" s="133" t="inlineStr">
        <x:is>
          <x:t xml:space="preserve">Documentation</x:t>
        </x:is>
      </x:c>
      <x:c r="E207" s="133" t="inlineStr">
        <x:is>
          <x:t xml:space="preserve">Getting Started</x:t>
        </x:is>
      </x:c>
      <x:c r="F207" s="133" t="inlineStr">
        <x:is>
          <x:t xml:space="preserve">New user can understand workspace and first actions.</x:t>
        </x:is>
      </x:c>
      <x:c r="G207" s="133" t="inlineStr">
        <x:is>
          <x:t xml:space="preserve">P0</x:t>
        </x:is>
      </x:c>
      <x:c r="H207" s="133" t="inlineStr">
        <x:is>
          <x:t xml:space="preserve">Not Started</x:t>
        </x:is>
      </x:c>
      <x:c r="I207" s="133" t="str"/>
      <x:c r="J207" s="133" t="str"/>
      <x:c r="K207" s="133" t="str"/>
      <x:c r="L207" s="133" t="inlineStr">
        <x:is>
          <x:t xml:space="preserve">G11</x:t>
        </x:is>
      </x:c>
      <x:c r="M207" s="133" t="str"/>
      <x:c r="N207" s="249" t="n"/>
      <x:c r="O207" s="249" t="n"/>
      <x:c r="P207" s="32" t="str"/>
    </x:row>
    <x:row r="208">
      <x:c r="A208" s="42" t="str">
        <x:f>IF(H208="Completed","✓",IF(H208="Blocked","!",""))</x:f>
      </x:c>
      <x:c r="B208" s="133" t="inlineStr">
        <x:is>
          <x:t xml:space="preserve">20-02</x:t>
        </x:is>
      </x:c>
      <x:c r="C208" s="133" t="inlineStr">
        <x:is>
          <x:t xml:space="preserve">20 Launch Documentation</x:t>
        </x:is>
      </x:c>
      <x:c r="D208" s="133" t="inlineStr">
        <x:is>
          <x:t xml:space="preserve">Documentation</x:t>
        </x:is>
      </x:c>
      <x:c r="E208" s="133" t="inlineStr">
        <x:is>
          <x:t xml:space="preserve">Create Company</x:t>
        </x:is>
      </x:c>
      <x:c r="F208" s="133" t="inlineStr">
        <x:is>
          <x:t xml:space="preserve">Company creation/onboarding documented.</x:t>
        </x:is>
      </x:c>
      <x:c r="G208" s="133" t="inlineStr">
        <x:is>
          <x:t xml:space="preserve">P0</x:t>
        </x:is>
      </x:c>
      <x:c r="H208" s="133" t="inlineStr">
        <x:is>
          <x:t xml:space="preserve">Not Started</x:t>
        </x:is>
      </x:c>
      <x:c r="I208" s="133" t="str"/>
      <x:c r="J208" s="133" t="str"/>
      <x:c r="K208" s="133" t="str"/>
      <x:c r="L208" s="133" t="inlineStr">
        <x:is>
          <x:t xml:space="preserve">G11</x:t>
        </x:is>
      </x:c>
      <x:c r="M208" s="133" t="str"/>
      <x:c r="N208" s="249" t="n"/>
      <x:c r="O208" s="249" t="n"/>
      <x:c r="P208" s="32" t="str"/>
    </x:row>
    <x:row r="209">
      <x:c r="A209" s="42" t="str">
        <x:f>IF(H209="Completed","✓",IF(H209="Blocked","!",""))</x:f>
      </x:c>
      <x:c r="B209" s="133" t="inlineStr">
        <x:is>
          <x:t xml:space="preserve">20-03</x:t>
        </x:is>
      </x:c>
      <x:c r="C209" s="133" t="inlineStr">
        <x:is>
          <x:t xml:space="preserve">20 Launch Documentation</x:t>
        </x:is>
      </x:c>
      <x:c r="D209" s="133" t="inlineStr">
        <x:is>
          <x:t xml:space="preserve">Documentation</x:t>
        </x:is>
      </x:c>
      <x:c r="E209" s="133" t="inlineStr">
        <x:is>
          <x:t xml:space="preserve">Create RFQ</x:t>
        </x:is>
      </x:c>
      <x:c r="F209" s="133" t="inlineStr">
        <x:is>
          <x:t xml:space="preserve">Issuer RFQ creation/configuration documented.</x:t>
        </x:is>
      </x:c>
      <x:c r="G209" s="133" t="inlineStr">
        <x:is>
          <x:t xml:space="preserve">P0</x:t>
        </x:is>
      </x:c>
      <x:c r="H209" s="133" t="inlineStr">
        <x:is>
          <x:t xml:space="preserve">Not Started</x:t>
        </x:is>
      </x:c>
      <x:c r="I209" s="133" t="str"/>
      <x:c r="J209" s="133" t="str"/>
      <x:c r="K209" s="133" t="str"/>
      <x:c r="L209" s="133" t="inlineStr">
        <x:is>
          <x:t xml:space="preserve">G11</x:t>
        </x:is>
      </x:c>
      <x:c r="M209" s="133" t="str"/>
      <x:c r="N209" s="249" t="n"/>
      <x:c r="O209" s="249" t="n"/>
      <x:c r="P209" s="32" t="str"/>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02734cf87f984287"/>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inlineStr">
        <x:is>
          <x:t xml:space="preserve">Not Started</x:t>
        </x:is>
      </x:c>
      <x:c r="E16" s="133" t="str"/>
      <x:c r="F16" s="133" t="str"/>
      <x:c r="G16" s="249" t="n"/>
      <x:c r="H16" s="32" t="str"/>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3201992bf3a43b0"/>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230</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0.6267029972752044</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0.6290909090909091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Not Started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5</x:v>
      </x:c>
      <x:c r="C52" s="28" t="n">
        <x:f>COUNTIFS('01 Master Plan'!C$5:C$383,A52,'01 Master Plan'!H$5:H$383,"In Progress")</x:f>
        <x:v>0</x:v>
      </x:c>
      <x:c r="D52" s="28" t="n">
        <x:f>COUNTIFS('01 Master Plan'!C$5:C$383,A52,'01 Master Plan'!H$5:H$383,"Not Started")</x:f>
        <x:v>2</x:v>
      </x:c>
      <x:c r="E52" s="28" t="n">
        <x:f>COUNTIFS('01 Master Plan'!C$5:C$383,A52,'01 Master Plan'!H$5:H$383,"Blocked")</x:f>
        <x:v>0</x:v>
      </x:c>
      <x:c r="F52" s="28" t="n">
        <x:f>COUNTIFS('01 Master Plan'!C$5:C$383,A52,'01 Master Plan'!H$5:H$383,"Deferred")</x:f>
        <x:v>0</x:v>
      </x:c>
      <x:c r="G52" s="258" t="n">
        <x:f>IFERROR(B52/(B52+C52+D52+E52),0)</x:f>
        <x:v>0.7142857142857143</x:v>
      </x:c>
    </x:row>
    <x:row r="53">
      <x:c r="A53" s="28" t="inlineStr">
        <x:is>
          <x:t xml:space="preserve">20 Launch Documentation</x:t>
        </x:is>
      </x:c>
      <x:c r="B53" s="28" t="n">
        <x:f>COUNTIFS('01 Master Plan'!C$5:C$383,A53,'01 Master Plan'!H$5:H$383,"Completed")+COUNTIFS('01 Master Plan'!C$5:C$383,A53,'01 Master Plan'!H$5:H$383,"Complete")</x:f>
        <x:v>0</x:v>
      </x:c>
      <x:c r="C53" s="28" t="n">
        <x:f>COUNTIFS('01 Master Plan'!C$5:C$383,A53,'01 Master Plan'!H$5:H$383,"In Progress")</x:f>
        <x:v>0</x:v>
      </x:c>
      <x:c r="D53" s="28" t="n">
        <x:f>COUNTIFS('01 Master Plan'!C$5:C$383,A53,'01 Master Plan'!H$5:H$383,"Not Started")</x:f>
        <x:v>12</x:v>
      </x:c>
      <x:c r="E53" s="28" t="n">
        <x:f>COUNTIFS('01 Master Plan'!C$5:C$383,A53,'01 Master Plan'!H$5:H$383,"Blocked")</x:f>
        <x:v>0</x:v>
      </x:c>
      <x:c r="F53" s="28" t="n">
        <x:f>COUNTIFS('01 Master Plan'!C$5:C$383,A53,'01 Master Plan'!H$5:H$383,"Deferred")</x:f>
        <x:v>0</x:v>
      </x:c>
      <x:c r="G53" s="258" t="n">
        <x:f>IFERROR(B53/(B53+C53+D53+E53),0)</x:f>
        <x:v>0</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afca4d24de74e0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c9f34c96c884cee"/>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e69ead70d64a4333"/>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b1379663b5aa473e"/>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1e6b44a8003c45a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239a8972eb3347b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b49cd8b241a47f6"/>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c35dba004bd498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ce5d48a08e57445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de0c5a778ca4f7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75aa2958f16f4ce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8cd813dd31e40e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