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3fe6960b6864271" /></Relationships>
</file>

<file path=xl/workbook.xml><?xml version="1.0" encoding="utf-8"?>
<x:workbook xmlns:x="http://schemas.openxmlformats.org/spreadsheetml/2006/main">
  <x:sheets>
    <x:sheet xmlns:r="http://schemas.openxmlformats.org/officeDocument/2006/relationships" name="01 Master Plan" sheetId="1" r:id="R8a8fdafd3d8940e6"/>
    <x:sheet xmlns:r="http://schemas.openxmlformats.org/officeDocument/2006/relationships" name="03 Launch Gates" sheetId="2" r:id="Rf87d0b83a7e3414a"/>
    <x:sheet xmlns:r="http://schemas.openxmlformats.org/officeDocument/2006/relationships" name="00 Dashboard" sheetId="3" r:id="R880d02ddabbf4f71"/>
    <x:sheet xmlns:r="http://schemas.openxmlformats.org/officeDocument/2006/relationships" name="04 Cursor Tasks" sheetId="4" r:id="R709436bb50314aa2"/>
    <x:sheet xmlns:r="http://schemas.openxmlformats.org/officeDocument/2006/relationships" name="05 UAT Matrix" sheetId="5" r:id="Rfcd4925345944fae"/>
    <x:sheet xmlns:r="http://schemas.openxmlformats.org/officeDocument/2006/relationships" name="06 Security Matrix" sheetId="6" r:id="Rec6b47f1bc104397"/>
    <x:sheet xmlns:r="http://schemas.openxmlformats.org/officeDocument/2006/relationships" name="07 Risks" sheetId="7" r:id="Rde86bc24e77d4644"/>
    <x:sheet xmlns:r="http://schemas.openxmlformats.org/officeDocument/2006/relationships" name="08 Architecture" sheetId="8" r:id="R79be813266884e6e"/>
    <x:sheet xmlns:r="http://schemas.openxmlformats.org/officeDocument/2006/relationships" name="09 Release Checklist" sheetId="9" r:id="R96af8b9d878843c1"/>
    <x:sheet xmlns:r="http://schemas.openxmlformats.org/officeDocument/2006/relationships" name="10 Change Log" sheetId="10" r:id="Rc0e6147b89864960"/>
    <x:sheet xmlns:r="http://schemas.openxmlformats.org/officeDocument/2006/relationships" name="11 Scope &amp; Roadmap" sheetId="11" r:id="Rcaff762fe481455c"/>
    <x:sheet xmlns:r="http://schemas.openxmlformats.org/officeDocument/2006/relationships" name="12 How to Use" sheetId="12" r:id="Rdc3592f56a8a415c"/>
    <x:sheet xmlns:r="http://schemas.openxmlformats.org/officeDocument/2006/relationships" name="13 UI Program" sheetId="13" r:id="Rb280c7f7403046a2"/>
    <x:sheet xmlns:r="http://schemas.openxmlformats.org/officeDocument/2006/relationships" name="14 UI Scorecard" sheetId="14" r:id="Rd59d8f7636234ab9"/>
    <x:sheet xmlns:r="http://schemas.openxmlformats.org/officeDocument/2006/relationships" name="15 Motion Guidance" sheetId="15" r:id="Rcc153b25829949b3"/>
    <x:sheet xmlns:r="http://schemas.openxmlformats.org/officeDocument/2006/relationships" name="16 Design Standards" sheetId="16" r:id="R4903a89e1ff44575"/>
    <x:sheet xmlns:r="http://schemas.openxmlformats.org/officeDocument/2006/relationships" name="17 Corporate Platform" sheetId="17" r:id="R79fa02055c5641e8"/>
    <x:sheet xmlns:r="http://schemas.openxmlformats.org/officeDocument/2006/relationships" name="18 Analytics Reuse Map" sheetId="18" r:id="Rb4d4953109e24626"/>
    <x:sheet xmlns:r="http://schemas.openxmlformats.org/officeDocument/2006/relationships" name="19 Executive Insights Discovery" sheetId="19" r:id="R14707c8f11cb4bcd"/>
    <x:sheet xmlns:r="http://schemas.openxmlformats.org/officeDocument/2006/relationships" name="20 Procurement Insights Discovery" sheetId="20" r:id="R28cf7445da4244eb"/>
    <x:sheet xmlns:r="http://schemas.openxmlformats.org/officeDocument/2006/relationships" name="21 Commercial Insights Discovery" sheetId="21" r:id="Rad973ebd89dd4ddb"/>
    <x:sheet xmlns:r="http://schemas.openxmlformats.org/officeDocument/2006/relationships" name="22 Project Insights Discovery" sheetId="22" r:id="R5cc75cef78974ba2"/>
    <x:sheet xmlns:r="http://schemas.openxmlformats.org/officeDocument/2006/relationships" name="23 Performance Discovery" sheetId="23" r:id="Ra36a2849d56c4956"/>
    <x:sheet xmlns:r="http://schemas.openxmlformats.org/officeDocument/2006/relationships" name="24 Risk Compliance Discovery" sheetId="24" r:id="R8594b9f61f5d4a99"/>
    <x:sheet xmlns:r="http://schemas.openxmlformats.org/officeDocument/2006/relationships" name="25 Commercial Handoff" sheetId="25" r:id="Rdb8ca9ef2d894403"/>
    <x:sheet xmlns:r="http://schemas.openxmlformats.org/officeDocument/2006/relationships" name="26 RFQ Governance" sheetId="26" r:id="R88902bd4aca14b6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b74e324ce2e4908" /><Relationship Type="http://schemas.openxmlformats.org/officeDocument/2006/relationships/theme" Target="/xl/theme/theme1.xml" Id="Rd033d847a3be4a17" /><Relationship Type="http://schemas.openxmlformats.org/officeDocument/2006/relationships/sharedStrings" Target="/xl/sharedStrings.xml" Id="Rc17bea8eea004051" /><Relationship Type="http://schemas.openxmlformats.org/officeDocument/2006/relationships/worksheet" Target="/xl/worksheets/sheet1.xml" Id="R8a8fdafd3d8940e6" /><Relationship Type="http://schemas.openxmlformats.org/officeDocument/2006/relationships/worksheet" Target="/xl/worksheets/sheet2.xml" Id="Rf87d0b83a7e3414a" /><Relationship Type="http://schemas.openxmlformats.org/officeDocument/2006/relationships/worksheet" Target="/xl/worksheets/sheet3.xml" Id="R880d02ddabbf4f71" /><Relationship Type="http://schemas.openxmlformats.org/officeDocument/2006/relationships/worksheet" Target="/xl/worksheets/sheet4.xml" Id="R709436bb50314aa2" /><Relationship Type="http://schemas.openxmlformats.org/officeDocument/2006/relationships/worksheet" Target="/xl/worksheets/sheet5.xml" Id="Rfcd4925345944fae" /><Relationship Type="http://schemas.openxmlformats.org/officeDocument/2006/relationships/worksheet" Target="/xl/worksheets/sheet6.xml" Id="Rec6b47f1bc104397" /><Relationship Type="http://schemas.openxmlformats.org/officeDocument/2006/relationships/worksheet" Target="/xl/worksheets/sheet7.xml" Id="Rde86bc24e77d4644" /><Relationship Type="http://schemas.openxmlformats.org/officeDocument/2006/relationships/worksheet" Target="/xl/worksheets/sheet8.xml" Id="R79be813266884e6e" /><Relationship Type="http://schemas.openxmlformats.org/officeDocument/2006/relationships/worksheet" Target="/xl/worksheets/sheet9.xml" Id="R96af8b9d878843c1" /><Relationship Type="http://schemas.openxmlformats.org/officeDocument/2006/relationships/worksheet" Target="/xl/worksheets/sheet10.xml" Id="Rc0e6147b89864960" /><Relationship Type="http://schemas.openxmlformats.org/officeDocument/2006/relationships/worksheet" Target="/xl/worksheets/sheet11.xml" Id="Rcaff762fe481455c" /><Relationship Type="http://schemas.openxmlformats.org/officeDocument/2006/relationships/worksheet" Target="/xl/worksheets/sheet12.xml" Id="Rdc3592f56a8a415c" /><Relationship Type="http://schemas.openxmlformats.org/officeDocument/2006/relationships/worksheet" Target="/xl/worksheets/sheet13.xml" Id="Rb280c7f7403046a2" /><Relationship Type="http://schemas.openxmlformats.org/officeDocument/2006/relationships/worksheet" Target="/xl/worksheets/sheet14.xml" Id="Rd59d8f7636234ab9" /><Relationship Type="http://schemas.openxmlformats.org/officeDocument/2006/relationships/worksheet" Target="/xl/worksheets/sheet15.xml" Id="Rcc153b25829949b3" /><Relationship Type="http://schemas.openxmlformats.org/officeDocument/2006/relationships/worksheet" Target="/xl/worksheets/sheet16.xml" Id="R4903a89e1ff44575" /><Relationship Type="http://schemas.openxmlformats.org/officeDocument/2006/relationships/worksheet" Target="/xl/worksheets/sheet17.xml" Id="R79fa02055c5641e8" /><Relationship Type="http://schemas.openxmlformats.org/officeDocument/2006/relationships/worksheet" Target="/xl/worksheets/sheet18.xml" Id="Rb4d4953109e24626" /><Relationship Type="http://schemas.openxmlformats.org/officeDocument/2006/relationships/worksheet" Target="/xl/worksheets/sheet19.xml" Id="R14707c8f11cb4bcd" /><Relationship Type="http://schemas.openxmlformats.org/officeDocument/2006/relationships/worksheet" Target="/xl/worksheets/sheet20.xml" Id="R28cf7445da4244eb" /><Relationship Type="http://schemas.openxmlformats.org/officeDocument/2006/relationships/worksheet" Target="/xl/worksheets/sheet21.xml" Id="Rad973ebd89dd4ddb" /><Relationship Type="http://schemas.openxmlformats.org/officeDocument/2006/relationships/worksheet" Target="/xl/worksheets/sheet22.xml" Id="R5cc75cef78974ba2" /><Relationship Type="http://schemas.openxmlformats.org/officeDocument/2006/relationships/worksheet" Target="/xl/worksheets/sheet23.xml" Id="Ra36a2849d56c4956" /><Relationship Type="http://schemas.openxmlformats.org/officeDocument/2006/relationships/worksheet" Target="/xl/worksheets/sheet24.xml" Id="R8594b9f61f5d4a99" /><Relationship Type="http://schemas.openxmlformats.org/officeDocument/2006/relationships/worksheet" Target="/xl/worksheets/sheet25.xml" Id="Rdb8ca9ef2d894403" /><Relationship Type="http://schemas.openxmlformats.org/officeDocument/2006/relationships/worksheet" Target="/xl/worksheets/sheet26.xml" Id="R88902bd4aca14b65" /></Relationships>
</file>

<file path=xl/drawings/_rels/drawing1.xml.rels>&#65279;<?xml version="1.0" encoding="utf-8"?><Relationships xmlns="http://schemas.openxmlformats.org/package/2006/relationships"><Relationship Type="http://schemas.openxmlformats.org/officeDocument/2006/relationships/chart" Target="/xl/drawings/charts/chart1.xml" Id="Rc08dd12c41cd420b"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08dd12c41cd420b"/>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c687c8dd8af4760" /></Relationships>
</file>

<file path=xl/worksheets/_rels/sheet2.xml.rels>&#65279;<?xml version="1.0" encoding="utf-8"?><Relationships xmlns="http://schemas.openxmlformats.org/package/2006/relationships"><Relationship Type="http://schemas.openxmlformats.org/officeDocument/2006/relationships/table" Target="/xl/tables/table2.xml" Id="Rdb5e3c52853f455a" /></Relationships>
</file>

<file path=xl/worksheets/_rels/sheet3.xml.rels>&#65279;<?xml version="1.0" encoding="utf-8"?><Relationships xmlns="http://schemas.openxmlformats.org/package/2006/relationships"><Relationship Type="http://schemas.openxmlformats.org/officeDocument/2006/relationships/drawing" Target="/xl/drawings/drawing1.xml" Id="R4682892406a8448a" /></Relationships>
</file>

<file path=xl/worksheets/_rels/sheet4.xml.rels>&#65279;<?xml version="1.0" encoding="utf-8"?><Relationships xmlns="http://schemas.openxmlformats.org/package/2006/relationships"><Relationship Type="http://schemas.openxmlformats.org/officeDocument/2006/relationships/table" Target="/xl/tables/table3.xml" Id="R30cc2afbc6d54802" /></Relationships>
</file>

<file path=xl/worksheets/_rels/sheet5.xml.rels>&#65279;<?xml version="1.0" encoding="utf-8"?><Relationships xmlns="http://schemas.openxmlformats.org/package/2006/relationships"><Relationship Type="http://schemas.openxmlformats.org/officeDocument/2006/relationships/table" Target="/xl/tables/table4.xml" Id="Rbc1def1d7b5d4ce7" /></Relationships>
</file>

<file path=xl/worksheets/_rels/sheet6.xml.rels>&#65279;<?xml version="1.0" encoding="utf-8"?><Relationships xmlns="http://schemas.openxmlformats.org/package/2006/relationships"><Relationship Type="http://schemas.openxmlformats.org/officeDocument/2006/relationships/table" Target="/xl/tables/table5.xml" Id="Rdd7a04ad15384244" /></Relationships>
</file>

<file path=xl/worksheets/_rels/sheet7.xml.rels>&#65279;<?xml version="1.0" encoding="utf-8"?><Relationships xmlns="http://schemas.openxmlformats.org/package/2006/relationships"><Relationship Type="http://schemas.openxmlformats.org/officeDocument/2006/relationships/table" Target="/xl/tables/table6.xml" Id="R2862eaa224a6404b" /></Relationships>
</file>

<file path=xl/worksheets/_rels/sheet9.xml.rels>&#65279;<?xml version="1.0" encoding="utf-8"?><Relationships xmlns="http://schemas.openxmlformats.org/package/2006/relationships"><Relationship Type="http://schemas.openxmlformats.org/officeDocument/2006/relationships/table" Target="/xl/tables/table7.xml" Id="Rc4fc3c77971e4899" /></Relationships>
</file>

<file path=xl/worksheets/_rels/sheet10.xml.rels>&#65279;<?xml version="1.0" encoding="utf-8"?><Relationships xmlns="http://schemas.openxmlformats.org/package/2006/relationships"><Relationship Type="http://schemas.openxmlformats.org/officeDocument/2006/relationships/table" Target="/xl/tables/table8.xml" Id="R6432ca762a3f4f4d" /></Relationships>
</file>

<file path=xl/worksheets/_rels/sheet11.xml.rels>&#65279;<?xml version="1.0" encoding="utf-8"?><Relationships xmlns="http://schemas.openxmlformats.org/package/2006/relationships"><Relationship Type="http://schemas.openxmlformats.org/officeDocument/2006/relationships/table" Target="/xl/tables/table9.xml" Id="R0af0160d1b4849a4" /></Relationships>
</file>

<file path=xl/worksheets/_rels/sheet13.xml.rels>&#65279;<?xml version="1.0" encoding="utf-8"?><Relationships xmlns="http://schemas.openxmlformats.org/package/2006/relationships"><Relationship Type="http://schemas.openxmlformats.org/officeDocument/2006/relationships/table" Target="/xl/tables/table10.xml" Id="R04d20a3628ac49f4" /></Relationships>
</file>

<file path=xl/worksheets/_rels/sheet14.xml.rels>&#65279;<?xml version="1.0" encoding="utf-8"?><Relationships xmlns="http://schemas.openxmlformats.org/package/2006/relationships"><Relationship Type="http://schemas.openxmlformats.org/officeDocument/2006/relationships/table" Target="/xl/tables/table11.xml" Id="R207f402ff2944268" /></Relationships>
</file>

<file path=xl/worksheets/_rels/sheet15.xml.rels>&#65279;<?xml version="1.0" encoding="utf-8"?><Relationships xmlns="http://schemas.openxmlformats.org/package/2006/relationships"><Relationship Type="http://schemas.openxmlformats.org/officeDocument/2006/relationships/table" Target="/xl/tables/table12.xml" Id="Rafed2ef569674698" /></Relationships>
</file>

<file path=xl/worksheets/_rels/sheet16.xml.rels>&#65279;<?xml version="1.0" encoding="utf-8"?><Relationships xmlns="http://schemas.openxmlformats.org/package/2006/relationships"><Relationship Type="http://schemas.openxmlformats.org/officeDocument/2006/relationships/table" Target="/xl/tables/table13.xml" Id="Rd7cca6c2c53f4b57"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f>IF(H212="Completed","✓",IF(H212="Blocked","!",""))</x:f>
      </x:c>
      <x:c r="B212" s="133" t="inlineStr">
        <x:is>
          <x:t xml:space="preserve">20-06</x:t>
        </x:is>
      </x:c>
      <x:c r="C212" s="133" t="inlineStr">
        <x:is>
          <x:t xml:space="preserve">20 Launch Documentation</x:t>
        </x:is>
      </x:c>
      <x:c r="D212" s="133" t="inlineStr">
        <x:is>
          <x:t xml:space="preserve">Documentation</x:t>
        </x:is>
      </x:c>
      <x:c r="E212" s="133" t="inlineStr">
        <x:is>
          <x:t xml:space="preserve">Submit RFI</x:t>
        </x:is>
      </x:c>
      <x:c r="F212" s="133" t="inlineStr">
        <x:is>
          <x:t xml:space="preserve">RFI/clarification rules and deadline documented.</x:t>
        </x:is>
      </x:c>
      <x:c r="G212" s="133" t="inlineStr">
        <x:is>
          <x:t xml:space="preserve">P0</x:t>
        </x:is>
      </x:c>
      <x:c r="H212" s="133" t="inlineStr">
        <x:is>
          <x:t xml:space="preserve">Not Started</x:t>
        </x:is>
      </x:c>
      <x:c r="I212" s="133" t="str"/>
      <x:c r="J212" s="133" t="str"/>
      <x:c r="K212" s="133" t="str"/>
      <x:c r="L212" s="133" t="inlineStr">
        <x:is>
          <x:t xml:space="preserve">G11</x:t>
        </x:is>
      </x:c>
      <x:c r="M212" s="133" t="str"/>
      <x:c r="N212" s="249" t="n"/>
      <x:c r="O212" s="249" t="n"/>
      <x:c r="P212" s="32" t="str"/>
    </x:row>
    <x:row r="213">
      <x:c r="A213" s="42" t="str">
        <x:f>IF(H213="Completed","✓",IF(H213="Blocked","!",""))</x:f>
      </x:c>
      <x:c r="B213" s="133" t="inlineStr">
        <x:is>
          <x:t xml:space="preserve">20-07</x:t>
        </x:is>
      </x:c>
      <x:c r="C213" s="133" t="inlineStr">
        <x:is>
          <x:t xml:space="preserve">20 Launch Documentation</x:t>
        </x:is>
      </x:c>
      <x:c r="D213" s="133" t="inlineStr">
        <x:is>
          <x:t xml:space="preserve">Documentation</x:t>
        </x:is>
      </x:c>
      <x:c r="E213" s="133" t="inlineStr">
        <x:is>
          <x:t xml:space="preserve">Submit Quote</x:t>
        </x:is>
      </x:c>
      <x:c r="F213" s="133" t="inlineStr">
        <x:is>
          <x:t xml:space="preserve">Quote/proposal preparation and submission documented.</x:t>
        </x:is>
      </x:c>
      <x:c r="G213" s="133" t="inlineStr">
        <x:is>
          <x:t xml:space="preserve">P0</x:t>
        </x:is>
      </x:c>
      <x:c r="H213" s="133" t="inlineStr">
        <x:is>
          <x:t xml:space="preserve">Not Started</x:t>
        </x:is>
      </x:c>
      <x:c r="I213" s="133" t="str"/>
      <x:c r="J213" s="133" t="str"/>
      <x:c r="K213" s="133" t="str"/>
      <x:c r="L213" s="133" t="inlineStr">
        <x:is>
          <x:t xml:space="preserve">G11</x:t>
        </x:is>
      </x:c>
      <x:c r="M213" s="133" t="str"/>
      <x:c r="N213" s="249" t="n"/>
      <x:c r="O213" s="249" t="n"/>
      <x:c r="P213" s="32" t="str"/>
    </x:row>
    <x:row r="214">
      <x:c r="A214" s="42" t="str">
        <x:f>IF(H214="Completed","✓",IF(H214="Blocked","!",""))</x:f>
      </x:c>
      <x:c r="B214" s="133" t="inlineStr">
        <x:is>
          <x:t xml:space="preserve">20-08</x:t>
        </x:is>
      </x:c>
      <x:c r="C214" s="133" t="inlineStr">
        <x:is>
          <x:t xml:space="preserve">20 Launch Documentation</x:t>
        </x:is>
      </x:c>
      <x:c r="D214" s="133" t="inlineStr">
        <x:is>
          <x:t xml:space="preserve">Documentation</x:t>
        </x:is>
      </x:c>
      <x:c r="E214" s="133" t="inlineStr">
        <x:is>
          <x:t xml:space="preserve">Evaluate Responses</x:t>
        </x:is>
      </x:c>
      <x:c r="F214" s="133" t="inlineStr">
        <x:is>
          <x:t xml:space="preserve">Issuer evaluation visibility/rules documented.</x:t>
        </x:is>
      </x:c>
      <x:c r="G214" s="133" t="inlineStr">
        <x:is>
          <x:t xml:space="preserve">P0</x:t>
        </x:is>
      </x:c>
      <x:c r="H214" s="133" t="inlineStr">
        <x:is>
          <x:t xml:space="preserve">Not Started</x:t>
        </x:is>
      </x:c>
      <x:c r="I214" s="133" t="str"/>
      <x:c r="J214" s="133" t="str"/>
      <x:c r="K214" s="133" t="str"/>
      <x:c r="L214" s="133" t="inlineStr">
        <x:is>
          <x:t xml:space="preserve">G11</x:t>
        </x:is>
      </x:c>
      <x:c r="M214" s="133" t="str"/>
      <x:c r="N214" s="249" t="n"/>
      <x:c r="O214" s="249" t="n"/>
      <x:c r="P214" s="32" t="str"/>
    </x:row>
    <x:row r="215">
      <x:c r="A215" s="42" t="str">
        <x:f>IF(H215="Completed","✓",IF(H215="Blocked","!",""))</x:f>
      </x:c>
      <x:c r="B215" s="133" t="inlineStr">
        <x:is>
          <x:t xml:space="preserve">20-09</x:t>
        </x:is>
      </x:c>
      <x:c r="C215" s="133" t="inlineStr">
        <x:is>
          <x:t xml:space="preserve">20 Launch Documentation</x:t>
        </x:is>
      </x:c>
      <x:c r="D215" s="133" t="inlineStr">
        <x:is>
          <x:t xml:space="preserve">Documentation</x:t>
        </x:is>
      </x:c>
      <x:c r="E215" s="133" t="inlineStr">
        <x:is>
          <x:t xml:space="preserve">Award</x:t>
        </x:is>
      </x:c>
      <x:c r="F215" s="133" t="inlineStr">
        <x:is>
          <x:t xml:space="preserve">Award outcome and next step documented.</x:t>
        </x:is>
      </x:c>
      <x:c r="G215" s="133" t="inlineStr">
        <x:is>
          <x:t xml:space="preserve">P0</x:t>
        </x:is>
      </x:c>
      <x:c r="H215" s="133" t="inlineStr">
        <x:is>
          <x:t xml:space="preserve">Not Started</x:t>
        </x:is>
      </x:c>
      <x:c r="I215" s="133" t="str"/>
      <x:c r="J215" s="133" t="str"/>
      <x:c r="K215" s="133" t="str"/>
      <x:c r="L215" s="133" t="inlineStr">
        <x:is>
          <x:t xml:space="preserve">G11</x:t>
        </x:is>
      </x:c>
      <x:c r="M215" s="133" t="str"/>
      <x:c r="N215" s="249" t="n"/>
      <x:c r="O215" s="249" t="n"/>
      <x:c r="P215" s="32" t="str"/>
    </x:row>
    <x:row r="216">
      <x:c r="A216" s="42" t="str">
        <x:f>IF(H216="Completed","✓",IF(H216="Blocked","!",""))</x:f>
      </x:c>
      <x:c r="B216" s="133" t="inlineStr">
        <x:is>
          <x:t xml:space="preserve">20-10</x:t>
        </x:is>
      </x:c>
      <x:c r="C216" s="133" t="inlineStr">
        <x:is>
          <x:t xml:space="preserve">20 Launch Documentation</x:t>
        </x:is>
      </x:c>
      <x:c r="D216" s="133" t="inlineStr">
        <x:is>
          <x:t xml:space="preserve">Documentation</x:t>
        </x:is>
      </x:c>
      <x:c r="E216" s="133" t="inlineStr">
        <x:is>
          <x:t xml:space="preserve">Roles &amp; Permissions</x:t>
        </x:is>
      </x:c>
      <x:c r="F216" s="133" t="inlineStr">
        <x:is>
          <x:t xml:space="preserve">Company membership and RFQ relationship model explained.</x:t>
        </x:is>
      </x:c>
      <x:c r="G216" s="133" t="inlineStr">
        <x:is>
          <x:t xml:space="preserve">P0</x:t>
        </x:is>
      </x:c>
      <x:c r="H216" s="133" t="inlineStr">
        <x:is>
          <x:t xml:space="preserve">Not Started</x:t>
        </x:is>
      </x:c>
      <x:c r="I216" s="133" t="str"/>
      <x:c r="J216" s="133" t="str"/>
      <x:c r="K216" s="133" t="str"/>
      <x:c r="L216" s="133" t="inlineStr">
        <x:is>
          <x:t xml:space="preserve">G11</x:t>
        </x:is>
      </x:c>
      <x:c r="M216" s="133" t="str"/>
      <x:c r="N216" s="249" t="n"/>
      <x:c r="O216" s="249" t="n"/>
      <x:c r="P216" s="32" t="str"/>
    </x:row>
    <x:row r="217">
      <x:c r="A217" s="42" t="str">
        <x:f>IF(H217="Completed","✓",IF(H217="Blocked","!",""))</x:f>
      </x:c>
      <x:c r="B217" s="133" t="inlineStr">
        <x:is>
          <x:t xml:space="preserve">20-11</x:t>
        </x:is>
      </x:c>
      <x:c r="C217" s="133" t="inlineStr">
        <x:is>
          <x:t xml:space="preserve">20 Launch Documentation</x:t>
        </x:is>
      </x:c>
      <x:c r="D217" s="133" t="inlineStr">
        <x:is>
          <x:t xml:space="preserve">Documentation</x:t>
        </x:is>
      </x:c>
      <x:c r="E217" s="133" t="inlineStr">
        <x:is>
          <x:t xml:space="preserve">FAQ &amp; Support</x:t>
        </x:is>
      </x:c>
      <x:c r="F217" s="133" t="inlineStr">
        <x:is>
          <x:t xml:space="preserve">Common issues and support path documented.</x:t>
        </x:is>
      </x:c>
      <x:c r="G217" s="133" t="inlineStr">
        <x:is>
          <x:t xml:space="preserve">P0</x:t>
        </x:is>
      </x:c>
      <x:c r="H217" s="133" t="inlineStr">
        <x:is>
          <x:t xml:space="preserve">Not Started</x:t>
        </x:is>
      </x:c>
      <x:c r="I217" s="133" t="str"/>
      <x:c r="J217" s="133" t="str"/>
      <x:c r="K217" s="133" t="str"/>
      <x:c r="L217" s="133" t="inlineStr">
        <x:is>
          <x:t xml:space="preserve">G11</x:t>
        </x:is>
      </x:c>
      <x:c r="M217" s="133" t="str"/>
      <x:c r="N217" s="249" t="n"/>
      <x:c r="O217" s="249" t="n"/>
      <x:c r="P217" s="32" t="str"/>
    </x:row>
    <x:row r="218">
      <x:c r="A218" s="42" t="str">
        <x:f>IF(H218="Completed","✓",IF(H218="Blocked","!",""))</x:f>
      </x:c>
      <x:c r="B218" s="133" t="inlineStr">
        <x:is>
          <x:t xml:space="preserve">20-12</x:t>
        </x:is>
      </x:c>
      <x:c r="C218" s="133" t="inlineStr">
        <x:is>
          <x:t xml:space="preserve">20 Launch Documentation</x:t>
        </x:is>
      </x:c>
      <x:c r="D218" s="133" t="inlineStr">
        <x:is>
          <x:t xml:space="preserve">Documentation</x:t>
        </x:is>
      </x:c>
      <x:c r="E218" s="133" t="inlineStr">
        <x:is>
          <x:t xml:space="preserve">Privacy/Security Overview</x:t>
        </x:is>
      </x:c>
      <x:c r="F218" s="133" t="inlineStr">
        <x:is>
          <x:t xml:space="preserve">High-level confidentiality and access model documented.</x:t>
        </x:is>
      </x:c>
      <x:c r="G218" s="133" t="inlineStr">
        <x:is>
          <x:t xml:space="preserve">P0</x:t>
        </x:is>
      </x:c>
      <x:c r="H218" s="133" t="inlineStr">
        <x:is>
          <x:t xml:space="preserve">Not Started</x:t>
        </x:is>
      </x:c>
      <x:c r="I218" s="133" t="str"/>
      <x:c r="J218" s="133" t="str"/>
      <x:c r="K218" s="133" t="str"/>
      <x:c r="L218" s="133" t="inlineStr">
        <x:is>
          <x:t xml:space="preserve">G11</x:t>
        </x:is>
      </x:c>
      <x:c r="M218" s="133" t="str"/>
      <x:c r="N218" s="249" t="n"/>
      <x:c r="O218" s="249" t="n"/>
      <x:c r="P218" s="32" t="str"/>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6c687c8dd8af4760"/>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In Progress</x:v>
      </x:c>
      <x:c r="E16" s="133" t="str">
        <x:v>Project Owner / Engineering</x:v>
      </x:c>
      <x:c r="F16" s="133" t="str">
        <x:v>G11 IN PROGRESS — Phase 20 Launch Documentation is underway. 20-01 through 20-05 are published and closed: Getting Started, Create Company, Create RFQ, Invite Companies, and Respond to RFQ. Documentation now covers product/workspace orientation, company onboarding, issuer RFQ creation, RFQ Invitation lifecycle, and respondent access/review through the authenticated quotation handoff. G11 remains open pending 20-06 through 20-12.</x:v>
      </x:c>
      <x:c r="G16" s="249" t="n">
        <x:v>46295</x:v>
      </x:c>
      <x:c r="H16" s="32" t="str">
        <x:v>Do not mark G11 complete until all launch documentation and support-path tasks 20-01 through 20-12 are complete, internally consistent, and reviewed.</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db5e3c52853f455a"/>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237</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0.6457765667574932</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0.6472727272727272</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10</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In Progress</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5</x:v>
      </x:c>
      <x:c r="C53" s="28" t="n">
        <x:f>COUNTIFS('01 Master Plan'!C$5:C$383,A53,'01 Master Plan'!H$5:H$383,"In Progress")</x:f>
        <x:v>0</x:v>
      </x:c>
      <x:c r="D53" s="28" t="n">
        <x:f>COUNTIFS('01 Master Plan'!C$5:C$383,A53,'01 Master Plan'!H$5:H$383,"Not Started")</x:f>
        <x:v>7</x:v>
      </x:c>
      <x:c r="E53" s="28" t="n">
        <x:f>COUNTIFS('01 Master Plan'!C$5:C$383,A53,'01 Master Plan'!H$5:H$383,"Blocked")</x:f>
        <x:v>0</x:v>
      </x:c>
      <x:c r="F53" s="28" t="n">
        <x:f>COUNTIFS('01 Master Plan'!C$5:C$383,A53,'01 Master Plan'!H$5:H$383,"Deferred")</x:f>
        <x:v>0</x:v>
      </x:c>
      <x:c r="G53" s="258" t="n">
        <x:f>IFERROR(B53/(B53+C53+D53+E53),0)</x:f>
        <x:v>0.4166666666666667</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4682892406a8448a"/>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30cc2afbc6d54802"/>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bc1def1d7b5d4ce7"/>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dd7a04ad15384244"/>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2862eaa224a6404b"/>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c4fc3c77971e4899"/>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6432ca762a3f4f4d"/>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0af0160d1b4849a4"/>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04d20a3628ac49f4"/>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207f402ff2944268"/>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afed2ef569674698"/>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d7cca6c2c53f4b57"/>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