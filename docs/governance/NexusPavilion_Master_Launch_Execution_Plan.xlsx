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18e5f25f954756" /></Relationships>
</file>

<file path=xl/workbook.xml><?xml version="1.0" encoding="utf-8"?>
<x:workbook xmlns:x="http://schemas.openxmlformats.org/spreadsheetml/2006/main">
  <x:sheets>
    <x:sheet xmlns:r="http://schemas.openxmlformats.org/officeDocument/2006/relationships" name="01 Master Plan" sheetId="1" r:id="Ra208856462df4e95"/>
    <x:sheet xmlns:r="http://schemas.openxmlformats.org/officeDocument/2006/relationships" name="03 Launch Gates" sheetId="2" r:id="R6d933f100a3a48b9"/>
    <x:sheet xmlns:r="http://schemas.openxmlformats.org/officeDocument/2006/relationships" name="00 Dashboard" sheetId="3" r:id="R8d133fceab184573"/>
    <x:sheet xmlns:r="http://schemas.openxmlformats.org/officeDocument/2006/relationships" name="04 Cursor Tasks" sheetId="4" r:id="Re924b2695f274144"/>
    <x:sheet xmlns:r="http://schemas.openxmlformats.org/officeDocument/2006/relationships" name="05 UAT Matrix" sheetId="5" r:id="R3be6126c4d7048f8"/>
    <x:sheet xmlns:r="http://schemas.openxmlformats.org/officeDocument/2006/relationships" name="06 Security Matrix" sheetId="6" r:id="R360b43d154fa4927"/>
    <x:sheet xmlns:r="http://schemas.openxmlformats.org/officeDocument/2006/relationships" name="07 Risks" sheetId="7" r:id="R4610b1efc06f4371"/>
    <x:sheet xmlns:r="http://schemas.openxmlformats.org/officeDocument/2006/relationships" name="08 Architecture" sheetId="8" r:id="Rc738254a1da74901"/>
    <x:sheet xmlns:r="http://schemas.openxmlformats.org/officeDocument/2006/relationships" name="09 Release Checklist" sheetId="9" r:id="Rb192fd1ca2b341d3"/>
    <x:sheet xmlns:r="http://schemas.openxmlformats.org/officeDocument/2006/relationships" name="10 Change Log" sheetId="10" r:id="R19452a9ec6364d63"/>
    <x:sheet xmlns:r="http://schemas.openxmlformats.org/officeDocument/2006/relationships" name="11 Scope &amp; Roadmap" sheetId="11" r:id="R05e3166e524b451c"/>
    <x:sheet xmlns:r="http://schemas.openxmlformats.org/officeDocument/2006/relationships" name="12 How to Use" sheetId="12" r:id="R6867a8564c3e45e3"/>
    <x:sheet xmlns:r="http://schemas.openxmlformats.org/officeDocument/2006/relationships" name="13 UI Program" sheetId="13" r:id="Rd4be18b3d5a44025"/>
    <x:sheet xmlns:r="http://schemas.openxmlformats.org/officeDocument/2006/relationships" name="14 UI Scorecard" sheetId="14" r:id="Rd8832c430180461e"/>
    <x:sheet xmlns:r="http://schemas.openxmlformats.org/officeDocument/2006/relationships" name="15 Motion Guidance" sheetId="15" r:id="Re9d9d3c3be0b4724"/>
    <x:sheet xmlns:r="http://schemas.openxmlformats.org/officeDocument/2006/relationships" name="16 Design Standards" sheetId="16" r:id="Re30d69a42c7d411b"/>
    <x:sheet xmlns:r="http://schemas.openxmlformats.org/officeDocument/2006/relationships" name="17 Corporate Platform" sheetId="17" r:id="Rc24f7ab35a4a4341"/>
    <x:sheet xmlns:r="http://schemas.openxmlformats.org/officeDocument/2006/relationships" name="18 Analytics Reuse Map" sheetId="18" r:id="R6cf16da79c524af0"/>
    <x:sheet xmlns:r="http://schemas.openxmlformats.org/officeDocument/2006/relationships" name="19 Executive Insights Discovery" sheetId="19" r:id="Re7591cb6666b4801"/>
    <x:sheet xmlns:r="http://schemas.openxmlformats.org/officeDocument/2006/relationships" name="20 Procurement Insights Discovery" sheetId="20" r:id="R87c4c07d62444ff0"/>
    <x:sheet xmlns:r="http://schemas.openxmlformats.org/officeDocument/2006/relationships" name="21 Commercial Insights Discovery" sheetId="21" r:id="R8a1c77330bf246fd"/>
    <x:sheet xmlns:r="http://schemas.openxmlformats.org/officeDocument/2006/relationships" name="22 Project Insights Discovery" sheetId="22" r:id="R946365759bd14bfb"/>
    <x:sheet xmlns:r="http://schemas.openxmlformats.org/officeDocument/2006/relationships" name="23 Performance Discovery" sheetId="23" r:id="Re7b06959997f403e"/>
    <x:sheet xmlns:r="http://schemas.openxmlformats.org/officeDocument/2006/relationships" name="24 Risk Compliance Discovery" sheetId="24" r:id="Rb9e32a76b96348bf"/>
    <x:sheet xmlns:r="http://schemas.openxmlformats.org/officeDocument/2006/relationships" name="25 Commercial Handoff" sheetId="25" r:id="R0e8996a3744849a7"/>
    <x:sheet xmlns:r="http://schemas.openxmlformats.org/officeDocument/2006/relationships" name="26 RFQ Governance" sheetId="26" r:id="R1663fbb632a2489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2d0f7c808fa43e4" /><Relationship Type="http://schemas.openxmlformats.org/officeDocument/2006/relationships/theme" Target="/xl/theme/theme1.xml" Id="R0040b1661e964bca" /><Relationship Type="http://schemas.openxmlformats.org/officeDocument/2006/relationships/sharedStrings" Target="/xl/sharedStrings.xml" Id="Rebc284179aba4537" /><Relationship Type="http://schemas.openxmlformats.org/officeDocument/2006/relationships/worksheet" Target="/xl/worksheets/sheet1.xml" Id="Ra208856462df4e95" /><Relationship Type="http://schemas.openxmlformats.org/officeDocument/2006/relationships/worksheet" Target="/xl/worksheets/sheet2.xml" Id="R6d933f100a3a48b9" /><Relationship Type="http://schemas.openxmlformats.org/officeDocument/2006/relationships/worksheet" Target="/xl/worksheets/sheet3.xml" Id="R8d133fceab184573" /><Relationship Type="http://schemas.openxmlformats.org/officeDocument/2006/relationships/worksheet" Target="/xl/worksheets/sheet4.xml" Id="Re924b2695f274144" /><Relationship Type="http://schemas.openxmlformats.org/officeDocument/2006/relationships/worksheet" Target="/xl/worksheets/sheet5.xml" Id="R3be6126c4d7048f8" /><Relationship Type="http://schemas.openxmlformats.org/officeDocument/2006/relationships/worksheet" Target="/xl/worksheets/sheet6.xml" Id="R360b43d154fa4927" /><Relationship Type="http://schemas.openxmlformats.org/officeDocument/2006/relationships/worksheet" Target="/xl/worksheets/sheet7.xml" Id="R4610b1efc06f4371" /><Relationship Type="http://schemas.openxmlformats.org/officeDocument/2006/relationships/worksheet" Target="/xl/worksheets/sheet8.xml" Id="Rc738254a1da74901" /><Relationship Type="http://schemas.openxmlformats.org/officeDocument/2006/relationships/worksheet" Target="/xl/worksheets/sheet9.xml" Id="Rb192fd1ca2b341d3" /><Relationship Type="http://schemas.openxmlformats.org/officeDocument/2006/relationships/worksheet" Target="/xl/worksheets/sheet10.xml" Id="R19452a9ec6364d63" /><Relationship Type="http://schemas.openxmlformats.org/officeDocument/2006/relationships/worksheet" Target="/xl/worksheets/sheet11.xml" Id="R05e3166e524b451c" /><Relationship Type="http://schemas.openxmlformats.org/officeDocument/2006/relationships/worksheet" Target="/xl/worksheets/sheet12.xml" Id="R6867a8564c3e45e3" /><Relationship Type="http://schemas.openxmlformats.org/officeDocument/2006/relationships/worksheet" Target="/xl/worksheets/sheet13.xml" Id="Rd4be18b3d5a44025" /><Relationship Type="http://schemas.openxmlformats.org/officeDocument/2006/relationships/worksheet" Target="/xl/worksheets/sheet14.xml" Id="Rd8832c430180461e" /><Relationship Type="http://schemas.openxmlformats.org/officeDocument/2006/relationships/worksheet" Target="/xl/worksheets/sheet15.xml" Id="Re9d9d3c3be0b4724" /><Relationship Type="http://schemas.openxmlformats.org/officeDocument/2006/relationships/worksheet" Target="/xl/worksheets/sheet16.xml" Id="Re30d69a42c7d411b" /><Relationship Type="http://schemas.openxmlformats.org/officeDocument/2006/relationships/worksheet" Target="/xl/worksheets/sheet17.xml" Id="Rc24f7ab35a4a4341" /><Relationship Type="http://schemas.openxmlformats.org/officeDocument/2006/relationships/worksheet" Target="/xl/worksheets/sheet18.xml" Id="R6cf16da79c524af0" /><Relationship Type="http://schemas.openxmlformats.org/officeDocument/2006/relationships/worksheet" Target="/xl/worksheets/sheet19.xml" Id="Re7591cb6666b4801" /><Relationship Type="http://schemas.openxmlformats.org/officeDocument/2006/relationships/worksheet" Target="/xl/worksheets/sheet20.xml" Id="R87c4c07d62444ff0" /><Relationship Type="http://schemas.openxmlformats.org/officeDocument/2006/relationships/worksheet" Target="/xl/worksheets/sheet21.xml" Id="R8a1c77330bf246fd" /><Relationship Type="http://schemas.openxmlformats.org/officeDocument/2006/relationships/worksheet" Target="/xl/worksheets/sheet22.xml" Id="R946365759bd14bfb" /><Relationship Type="http://schemas.openxmlformats.org/officeDocument/2006/relationships/worksheet" Target="/xl/worksheets/sheet23.xml" Id="Re7b06959997f403e" /><Relationship Type="http://schemas.openxmlformats.org/officeDocument/2006/relationships/worksheet" Target="/xl/worksheets/sheet24.xml" Id="Rb9e32a76b96348bf" /><Relationship Type="http://schemas.openxmlformats.org/officeDocument/2006/relationships/worksheet" Target="/xl/worksheets/sheet25.xml" Id="R0e8996a3744849a7" /><Relationship Type="http://schemas.openxmlformats.org/officeDocument/2006/relationships/worksheet" Target="/xl/worksheets/sheet26.xml" Id="R1663fbb632a2489c" /></Relationships>
</file>

<file path=xl/drawings/_rels/drawing1.xml.rels>&#65279;<?xml version="1.0" encoding="utf-8"?><Relationships xmlns="http://schemas.openxmlformats.org/package/2006/relationships"><Relationship Type="http://schemas.openxmlformats.org/officeDocument/2006/relationships/chart" Target="/xl/drawings/charts/chart1.xml" Id="Rcaaf6153be85406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aaf6153be85406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f508ed79d964a00" /></Relationships>
</file>

<file path=xl/worksheets/_rels/sheet2.xml.rels>&#65279;<?xml version="1.0" encoding="utf-8"?><Relationships xmlns="http://schemas.openxmlformats.org/package/2006/relationships"><Relationship Type="http://schemas.openxmlformats.org/officeDocument/2006/relationships/table" Target="/xl/tables/table2.xml" Id="R115ef641b0d04791" /></Relationships>
</file>

<file path=xl/worksheets/_rels/sheet3.xml.rels>&#65279;<?xml version="1.0" encoding="utf-8"?><Relationships xmlns="http://schemas.openxmlformats.org/package/2006/relationships"><Relationship Type="http://schemas.openxmlformats.org/officeDocument/2006/relationships/drawing" Target="/xl/drawings/drawing1.xml" Id="R34594a970d1f47f4" /></Relationships>
</file>

<file path=xl/worksheets/_rels/sheet4.xml.rels>&#65279;<?xml version="1.0" encoding="utf-8"?><Relationships xmlns="http://schemas.openxmlformats.org/package/2006/relationships"><Relationship Type="http://schemas.openxmlformats.org/officeDocument/2006/relationships/table" Target="/xl/tables/table3.xml" Id="R3d9791b8e1bc4265" /></Relationships>
</file>

<file path=xl/worksheets/_rels/sheet5.xml.rels>&#65279;<?xml version="1.0" encoding="utf-8"?><Relationships xmlns="http://schemas.openxmlformats.org/package/2006/relationships"><Relationship Type="http://schemas.openxmlformats.org/officeDocument/2006/relationships/table" Target="/xl/tables/table4.xml" Id="Raba164f323a04887" /></Relationships>
</file>

<file path=xl/worksheets/_rels/sheet6.xml.rels>&#65279;<?xml version="1.0" encoding="utf-8"?><Relationships xmlns="http://schemas.openxmlformats.org/package/2006/relationships"><Relationship Type="http://schemas.openxmlformats.org/officeDocument/2006/relationships/table" Target="/xl/tables/table5.xml" Id="R8cd7eeca59954bcd" /></Relationships>
</file>

<file path=xl/worksheets/_rels/sheet7.xml.rels>&#65279;<?xml version="1.0" encoding="utf-8"?><Relationships xmlns="http://schemas.openxmlformats.org/package/2006/relationships"><Relationship Type="http://schemas.openxmlformats.org/officeDocument/2006/relationships/table" Target="/xl/tables/table6.xml" Id="Rc32f6adba68748b3" /></Relationships>
</file>

<file path=xl/worksheets/_rels/sheet9.xml.rels>&#65279;<?xml version="1.0" encoding="utf-8"?><Relationships xmlns="http://schemas.openxmlformats.org/package/2006/relationships"><Relationship Type="http://schemas.openxmlformats.org/officeDocument/2006/relationships/table" Target="/xl/tables/table7.xml" Id="Rc15774f28bdf4e69" /></Relationships>
</file>

<file path=xl/worksheets/_rels/sheet10.xml.rels>&#65279;<?xml version="1.0" encoding="utf-8"?><Relationships xmlns="http://schemas.openxmlformats.org/package/2006/relationships"><Relationship Type="http://schemas.openxmlformats.org/officeDocument/2006/relationships/table" Target="/xl/tables/table8.xml" Id="Rb5ad4ca494db49da" /></Relationships>
</file>

<file path=xl/worksheets/_rels/sheet11.xml.rels>&#65279;<?xml version="1.0" encoding="utf-8"?><Relationships xmlns="http://schemas.openxmlformats.org/package/2006/relationships"><Relationship Type="http://schemas.openxmlformats.org/officeDocument/2006/relationships/table" Target="/xl/tables/table9.xml" Id="R9ca2ee77108c4a0b" /></Relationships>
</file>

<file path=xl/worksheets/_rels/sheet13.xml.rels>&#65279;<?xml version="1.0" encoding="utf-8"?><Relationships xmlns="http://schemas.openxmlformats.org/package/2006/relationships"><Relationship Type="http://schemas.openxmlformats.org/officeDocument/2006/relationships/table" Target="/xl/tables/table10.xml" Id="R30814c1645224c71" /></Relationships>
</file>

<file path=xl/worksheets/_rels/sheet14.xml.rels>&#65279;<?xml version="1.0" encoding="utf-8"?><Relationships xmlns="http://schemas.openxmlformats.org/package/2006/relationships"><Relationship Type="http://schemas.openxmlformats.org/officeDocument/2006/relationships/table" Target="/xl/tables/table11.xml" Id="R261cf36827fc409e" /></Relationships>
</file>

<file path=xl/worksheets/_rels/sheet15.xml.rels>&#65279;<?xml version="1.0" encoding="utf-8"?><Relationships xmlns="http://schemas.openxmlformats.org/package/2006/relationships"><Relationship Type="http://schemas.openxmlformats.org/officeDocument/2006/relationships/table" Target="/xl/tables/table12.xml" Id="Rb093f4ed381342c7" /></Relationships>
</file>

<file path=xl/worksheets/_rels/sheet16.xml.rels>&#65279;<?xml version="1.0" encoding="utf-8"?><Relationships xmlns="http://schemas.openxmlformats.org/package/2006/relationships"><Relationship Type="http://schemas.openxmlformats.org/officeDocument/2006/relationships/table" Target="/xl/tables/table13.xml" Id="Re6063555f9a34b5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f508ed79d964a0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115ef641b0d0479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271</x:v>
      </x:c>
      <x:c r="D6" s="133" t="inlineStr">
        <x:is>
          <x:t xml:space="preserve">G0A — Corporate platform architecture ready</x:t>
        </x:is>
      </x:c>
      <x:c r="E6" s="32" t="str">
        <x:f>'03 Launch Gates'!D20</x:f>
        <x:v>Completed</x:v>
      </x:c>
      <x:c r="G6" t="inlineStr">
        <x:is>
          <x:t xml:space="preserve">UI Tasks Complete</x:t>
        </x:is>
      </x:c>
      <x:c r="H6" t="n">
        <x:f>SUM(B36:B46)</x:f>
        <x:v>49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0.7384196185286104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0.7636363636363637</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2</x:v>
      </x:c>
      <x:c r="C38" s="133" t="n">
        <x:f>COUNTIFS('01 Master Plan'!C$5:C$383,A38,'01 Master Plan'!H$5:H$383,"In Progress")</x:f>
        <x:v>0</x:v>
      </x:c>
      <x:c r="D38" s="133" t="n">
        <x:f>COUNTIFS('01 Master Plan'!C$5:C$383,A38,'01 Master Plan'!H$5:H$383,"Not Started")</x:f>
        <x:v>15</x:v>
      </x:c>
      <x:c r="E38" s="133" t="n">
        <x:f>COUNTIFS('01 Master Plan'!C$5:C$383,A38,'01 Master Plan'!H$5:H$383,"Blocked")</x:f>
        <x:v>0</x:v>
      </x:c>
      <x:c r="F38" s="133" t="n">
        <x:f>COUNTIFS('01 Master Plan'!C$5:C$383,A38,'01 Master Plan'!H$5:H$383,"Deferred")</x:f>
        <x:v>0</x:v>
      </x:c>
      <x:c r="G38" s="255" t="n">
        <x:f>IFERROR(B38/(B38+C38+D38+E38),0)</x:f>
        <x:v>0.11764705882352941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4594a970d1f47f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d9791b8e1bc426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ba164f323a0488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cd7eeca59954bc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32f6adba68748b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15774f28bdf4e6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5ad4ca494db49d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ca2ee77108c4a0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button system and 13C-02 form-control system complete. Next: 13C-03 Standardize date/deadline controls.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0814c1645224c7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61cf36827fc409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093f4ed381342c7"/>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e6063555f9a34b5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