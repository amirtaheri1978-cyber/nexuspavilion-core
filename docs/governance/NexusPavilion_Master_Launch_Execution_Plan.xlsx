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5fd0a734e245ba" /></Relationships>
</file>

<file path=xl/workbook.xml><?xml version="1.0" encoding="utf-8"?>
<x:workbook xmlns:x="http://schemas.openxmlformats.org/spreadsheetml/2006/main">
  <x:sheets>
    <x:sheet xmlns:r="http://schemas.openxmlformats.org/officeDocument/2006/relationships" name="01 Master Plan" sheetId="1" r:id="Re4372a2998c84110"/>
    <x:sheet xmlns:r="http://schemas.openxmlformats.org/officeDocument/2006/relationships" name="03 Launch Gates" sheetId="2" r:id="R83203b282b394633"/>
    <x:sheet xmlns:r="http://schemas.openxmlformats.org/officeDocument/2006/relationships" name="00 Dashboard" sheetId="3" r:id="Raf0f89433830404f"/>
    <x:sheet xmlns:r="http://schemas.openxmlformats.org/officeDocument/2006/relationships" name="04 Cursor Tasks" sheetId="4" r:id="R24e036b3393a443f"/>
    <x:sheet xmlns:r="http://schemas.openxmlformats.org/officeDocument/2006/relationships" name="05 UAT Matrix" sheetId="5" r:id="R9585c5867e3a4682"/>
    <x:sheet xmlns:r="http://schemas.openxmlformats.org/officeDocument/2006/relationships" name="06 Security Matrix" sheetId="6" r:id="R3c813719dc5a4386"/>
    <x:sheet xmlns:r="http://schemas.openxmlformats.org/officeDocument/2006/relationships" name="07 Risks" sheetId="7" r:id="R2f54fdc069f840ea"/>
    <x:sheet xmlns:r="http://schemas.openxmlformats.org/officeDocument/2006/relationships" name="08 Architecture" sheetId="8" r:id="Rb9a39bfb4fd84ead"/>
    <x:sheet xmlns:r="http://schemas.openxmlformats.org/officeDocument/2006/relationships" name="09 Release Checklist" sheetId="9" r:id="R6c4ce67bcabb40be"/>
    <x:sheet xmlns:r="http://schemas.openxmlformats.org/officeDocument/2006/relationships" name="10 Change Log" sheetId="10" r:id="R53c88674a0fe47ac"/>
    <x:sheet xmlns:r="http://schemas.openxmlformats.org/officeDocument/2006/relationships" name="11 Scope &amp; Roadmap" sheetId="11" r:id="R9a264eaeb52c4e71"/>
    <x:sheet xmlns:r="http://schemas.openxmlformats.org/officeDocument/2006/relationships" name="12 How to Use" sheetId="12" r:id="R5c5da5919a0543bc"/>
    <x:sheet xmlns:r="http://schemas.openxmlformats.org/officeDocument/2006/relationships" name="13 UI Program" sheetId="13" r:id="Rccd6d3708d3e4af6"/>
    <x:sheet xmlns:r="http://schemas.openxmlformats.org/officeDocument/2006/relationships" name="14 UI Scorecard" sheetId="14" r:id="Rd95bfc822de84590"/>
    <x:sheet xmlns:r="http://schemas.openxmlformats.org/officeDocument/2006/relationships" name="15 Motion Guidance" sheetId="15" r:id="Ref5a466c579a4743"/>
    <x:sheet xmlns:r="http://schemas.openxmlformats.org/officeDocument/2006/relationships" name="16 Design Standards" sheetId="16" r:id="R3418cd42510947cb"/>
    <x:sheet xmlns:r="http://schemas.openxmlformats.org/officeDocument/2006/relationships" name="17 Corporate Platform" sheetId="17" r:id="R2777272ca2e64ca5"/>
    <x:sheet xmlns:r="http://schemas.openxmlformats.org/officeDocument/2006/relationships" name="18 Analytics Reuse Map" sheetId="18" r:id="R735e425f2c604725"/>
    <x:sheet xmlns:r="http://schemas.openxmlformats.org/officeDocument/2006/relationships" name="19 Executive Insights Discovery" sheetId="19" r:id="Re3673b37b51c4ce0"/>
    <x:sheet xmlns:r="http://schemas.openxmlformats.org/officeDocument/2006/relationships" name="20 Procurement Insights Discovery" sheetId="20" r:id="Re75845cc11d34477"/>
    <x:sheet xmlns:r="http://schemas.openxmlformats.org/officeDocument/2006/relationships" name="21 Commercial Insights Discovery" sheetId="21" r:id="R8eab071ea22a4878"/>
    <x:sheet xmlns:r="http://schemas.openxmlformats.org/officeDocument/2006/relationships" name="22 Project Insights Discovery" sheetId="22" r:id="R889bd60d03414015"/>
    <x:sheet xmlns:r="http://schemas.openxmlformats.org/officeDocument/2006/relationships" name="23 Performance Discovery" sheetId="23" r:id="R5ecc4ae9c3f044c2"/>
    <x:sheet xmlns:r="http://schemas.openxmlformats.org/officeDocument/2006/relationships" name="24 Risk Compliance Discovery" sheetId="24" r:id="R5bd4d7f6462b4fdf"/>
    <x:sheet xmlns:r="http://schemas.openxmlformats.org/officeDocument/2006/relationships" name="25 Commercial Handoff" sheetId="25" r:id="R3de6885a4f91411c"/>
    <x:sheet xmlns:r="http://schemas.openxmlformats.org/officeDocument/2006/relationships" name="26 RFQ Governance" sheetId="26" r:id="R72c05d6603f04d0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27034088add4fd9" /><Relationship Type="http://schemas.openxmlformats.org/officeDocument/2006/relationships/theme" Target="/xl/theme/theme1.xml" Id="R2567a3c5afd44cf4" /><Relationship Type="http://schemas.openxmlformats.org/officeDocument/2006/relationships/sharedStrings" Target="/xl/sharedStrings.xml" Id="R64235e43cc974493" /><Relationship Type="http://schemas.openxmlformats.org/officeDocument/2006/relationships/worksheet" Target="/xl/worksheets/sheet1.xml" Id="Re4372a2998c84110" /><Relationship Type="http://schemas.openxmlformats.org/officeDocument/2006/relationships/worksheet" Target="/xl/worksheets/sheet2.xml" Id="R83203b282b394633" /><Relationship Type="http://schemas.openxmlformats.org/officeDocument/2006/relationships/worksheet" Target="/xl/worksheets/sheet3.xml" Id="Raf0f89433830404f" /><Relationship Type="http://schemas.openxmlformats.org/officeDocument/2006/relationships/worksheet" Target="/xl/worksheets/sheet4.xml" Id="R24e036b3393a443f" /><Relationship Type="http://schemas.openxmlformats.org/officeDocument/2006/relationships/worksheet" Target="/xl/worksheets/sheet5.xml" Id="R9585c5867e3a4682" /><Relationship Type="http://schemas.openxmlformats.org/officeDocument/2006/relationships/worksheet" Target="/xl/worksheets/sheet6.xml" Id="R3c813719dc5a4386" /><Relationship Type="http://schemas.openxmlformats.org/officeDocument/2006/relationships/worksheet" Target="/xl/worksheets/sheet7.xml" Id="R2f54fdc069f840ea" /><Relationship Type="http://schemas.openxmlformats.org/officeDocument/2006/relationships/worksheet" Target="/xl/worksheets/sheet8.xml" Id="Rb9a39bfb4fd84ead" /><Relationship Type="http://schemas.openxmlformats.org/officeDocument/2006/relationships/worksheet" Target="/xl/worksheets/sheet9.xml" Id="R6c4ce67bcabb40be" /><Relationship Type="http://schemas.openxmlformats.org/officeDocument/2006/relationships/worksheet" Target="/xl/worksheets/sheet10.xml" Id="R53c88674a0fe47ac" /><Relationship Type="http://schemas.openxmlformats.org/officeDocument/2006/relationships/worksheet" Target="/xl/worksheets/sheet11.xml" Id="R9a264eaeb52c4e71" /><Relationship Type="http://schemas.openxmlformats.org/officeDocument/2006/relationships/worksheet" Target="/xl/worksheets/sheet12.xml" Id="R5c5da5919a0543bc" /><Relationship Type="http://schemas.openxmlformats.org/officeDocument/2006/relationships/worksheet" Target="/xl/worksheets/sheet13.xml" Id="Rccd6d3708d3e4af6" /><Relationship Type="http://schemas.openxmlformats.org/officeDocument/2006/relationships/worksheet" Target="/xl/worksheets/sheet14.xml" Id="Rd95bfc822de84590" /><Relationship Type="http://schemas.openxmlformats.org/officeDocument/2006/relationships/worksheet" Target="/xl/worksheets/sheet15.xml" Id="Ref5a466c579a4743" /><Relationship Type="http://schemas.openxmlformats.org/officeDocument/2006/relationships/worksheet" Target="/xl/worksheets/sheet16.xml" Id="R3418cd42510947cb" /><Relationship Type="http://schemas.openxmlformats.org/officeDocument/2006/relationships/worksheet" Target="/xl/worksheets/sheet17.xml" Id="R2777272ca2e64ca5" /><Relationship Type="http://schemas.openxmlformats.org/officeDocument/2006/relationships/worksheet" Target="/xl/worksheets/sheet18.xml" Id="R735e425f2c604725" /><Relationship Type="http://schemas.openxmlformats.org/officeDocument/2006/relationships/worksheet" Target="/xl/worksheets/sheet19.xml" Id="Re3673b37b51c4ce0" /><Relationship Type="http://schemas.openxmlformats.org/officeDocument/2006/relationships/worksheet" Target="/xl/worksheets/sheet20.xml" Id="Re75845cc11d34477" /><Relationship Type="http://schemas.openxmlformats.org/officeDocument/2006/relationships/worksheet" Target="/xl/worksheets/sheet21.xml" Id="R8eab071ea22a4878" /><Relationship Type="http://schemas.openxmlformats.org/officeDocument/2006/relationships/worksheet" Target="/xl/worksheets/sheet22.xml" Id="R889bd60d03414015" /><Relationship Type="http://schemas.openxmlformats.org/officeDocument/2006/relationships/worksheet" Target="/xl/worksheets/sheet23.xml" Id="R5ecc4ae9c3f044c2" /><Relationship Type="http://schemas.openxmlformats.org/officeDocument/2006/relationships/worksheet" Target="/xl/worksheets/sheet24.xml" Id="R5bd4d7f6462b4fdf" /><Relationship Type="http://schemas.openxmlformats.org/officeDocument/2006/relationships/worksheet" Target="/xl/worksheets/sheet25.xml" Id="R3de6885a4f91411c" /><Relationship Type="http://schemas.openxmlformats.org/officeDocument/2006/relationships/worksheet" Target="/xl/worksheets/sheet26.xml" Id="R72c05d6603f04d08" /></Relationships>
</file>

<file path=xl/drawings/_rels/drawing1.xml.rels>&#65279;<?xml version="1.0" encoding="utf-8"?><Relationships xmlns="http://schemas.openxmlformats.org/package/2006/relationships"><Relationship Type="http://schemas.openxmlformats.org/officeDocument/2006/relationships/chart" Target="/xl/drawings/charts/chart1.xml" Id="R2b48295fc5684d1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b48295fc5684d1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a160b3de0214925" /></Relationships>
</file>

<file path=xl/worksheets/_rels/sheet2.xml.rels>&#65279;<?xml version="1.0" encoding="utf-8"?><Relationships xmlns="http://schemas.openxmlformats.org/package/2006/relationships"><Relationship Type="http://schemas.openxmlformats.org/officeDocument/2006/relationships/table" Target="/xl/tables/table2.xml" Id="R9789cd850c1b4ddc" /></Relationships>
</file>

<file path=xl/worksheets/_rels/sheet3.xml.rels>&#65279;<?xml version="1.0" encoding="utf-8"?><Relationships xmlns="http://schemas.openxmlformats.org/package/2006/relationships"><Relationship Type="http://schemas.openxmlformats.org/officeDocument/2006/relationships/drawing" Target="/xl/drawings/drawing1.xml" Id="R51a9f1d7e82e477b" /></Relationships>
</file>

<file path=xl/worksheets/_rels/sheet4.xml.rels>&#65279;<?xml version="1.0" encoding="utf-8"?><Relationships xmlns="http://schemas.openxmlformats.org/package/2006/relationships"><Relationship Type="http://schemas.openxmlformats.org/officeDocument/2006/relationships/table" Target="/xl/tables/table3.xml" Id="R0d457131af4c45ae" /></Relationships>
</file>

<file path=xl/worksheets/_rels/sheet5.xml.rels>&#65279;<?xml version="1.0" encoding="utf-8"?><Relationships xmlns="http://schemas.openxmlformats.org/package/2006/relationships"><Relationship Type="http://schemas.openxmlformats.org/officeDocument/2006/relationships/table" Target="/xl/tables/table4.xml" Id="Rb05ecb5bb7b44bf5" /></Relationships>
</file>

<file path=xl/worksheets/_rels/sheet6.xml.rels>&#65279;<?xml version="1.0" encoding="utf-8"?><Relationships xmlns="http://schemas.openxmlformats.org/package/2006/relationships"><Relationship Type="http://schemas.openxmlformats.org/officeDocument/2006/relationships/table" Target="/xl/tables/table5.xml" Id="R01f7cc23e4614321" /></Relationships>
</file>

<file path=xl/worksheets/_rels/sheet7.xml.rels>&#65279;<?xml version="1.0" encoding="utf-8"?><Relationships xmlns="http://schemas.openxmlformats.org/package/2006/relationships"><Relationship Type="http://schemas.openxmlformats.org/officeDocument/2006/relationships/table" Target="/xl/tables/table6.xml" Id="R2f48fbd2f32a4407" /></Relationships>
</file>

<file path=xl/worksheets/_rels/sheet9.xml.rels>&#65279;<?xml version="1.0" encoding="utf-8"?><Relationships xmlns="http://schemas.openxmlformats.org/package/2006/relationships"><Relationship Type="http://schemas.openxmlformats.org/officeDocument/2006/relationships/table" Target="/xl/tables/table7.xml" Id="R1eceb3ec55f54ff9" /></Relationships>
</file>

<file path=xl/worksheets/_rels/sheet10.xml.rels>&#65279;<?xml version="1.0" encoding="utf-8"?><Relationships xmlns="http://schemas.openxmlformats.org/package/2006/relationships"><Relationship Type="http://schemas.openxmlformats.org/officeDocument/2006/relationships/table" Target="/xl/tables/table8.xml" Id="R8a3472d6c3174922" /></Relationships>
</file>

<file path=xl/worksheets/_rels/sheet11.xml.rels>&#65279;<?xml version="1.0" encoding="utf-8"?><Relationships xmlns="http://schemas.openxmlformats.org/package/2006/relationships"><Relationship Type="http://schemas.openxmlformats.org/officeDocument/2006/relationships/table" Target="/xl/tables/table9.xml" Id="Rf747ab26ac324e5e" /></Relationships>
</file>

<file path=xl/worksheets/_rels/sheet13.xml.rels>&#65279;<?xml version="1.0" encoding="utf-8"?><Relationships xmlns="http://schemas.openxmlformats.org/package/2006/relationships"><Relationship Type="http://schemas.openxmlformats.org/officeDocument/2006/relationships/table" Target="/xl/tables/table10.xml" Id="Rbbb9427bb2e7487d" /></Relationships>
</file>

<file path=xl/worksheets/_rels/sheet14.xml.rels>&#65279;<?xml version="1.0" encoding="utf-8"?><Relationships xmlns="http://schemas.openxmlformats.org/package/2006/relationships"><Relationship Type="http://schemas.openxmlformats.org/officeDocument/2006/relationships/table" Target="/xl/tables/table11.xml" Id="Red239ee4a1464949" /></Relationships>
</file>

<file path=xl/worksheets/_rels/sheet15.xml.rels>&#65279;<?xml version="1.0" encoding="utf-8"?><Relationships xmlns="http://schemas.openxmlformats.org/package/2006/relationships"><Relationship Type="http://schemas.openxmlformats.org/officeDocument/2006/relationships/table" Target="/xl/tables/table12.xml" Id="Rea3260c2ee7b4f8f" /></Relationships>
</file>

<file path=xl/worksheets/_rels/sheet16.xml.rels>&#65279;<?xml version="1.0" encoding="utf-8"?><Relationships xmlns="http://schemas.openxmlformats.org/package/2006/relationships"><Relationship Type="http://schemas.openxmlformats.org/officeDocument/2006/relationships/table" Target="/xl/tables/table13.xml" Id="Rae47feb4158345f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v>✓</x:v>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str">
        <x:v>Completed</x:v>
      </x:c>
      <x:c r="I335" s="133" t="str">
        <x:v>Project Owner / Product / Engineering</x:v>
      </x:c>
      <x:c r="J335" s="133" t="str"/>
      <x:c r="K335" s="133" t="inlineStr">
        <x:is>
          <x:t xml:space="preserve">13I-01</x:t>
        </x:is>
      </x:c>
      <x:c r="L335" s="133" t="str"/>
      <x:c r="M335" s="133" t="str">
        <x:v>PASS / MOTION CONSISTENCY AND ANNOYANCE AUDIT — Evidence-only closeout. Representative authenticated surfaces were verified at desktop/tablet/mobile with no excessive continuous animation, repeated popup/toast annoyance, motion-related layout shifts, performance issues, or mobile motion defects.</x:v>
      </x:c>
      <x:c r="N335" s="249" t="n"/>
      <x:c r="O335" s="249" t="n">
        <x:v>46297</x:v>
      </x:c>
      <x:c r="P335" s="135" t="str">
        <x:v>Read-only audit on canonical HEAD 86534b5c1442a654b39f5802578442d3f088901d using isolated clean worktree C:\Users\amirt\Documents\nexuspavilion-13i-05. Across Executive Overview, Procurement Center, RFQ Drafting, Respondent RFQ Workspace, Quote/Proposal Preparation, Activity Center, Strategic Insights, and Workspace Settings, steady-state pages showed zero infinite CSS animations. No P0 or P1 findings were identified. One P2 finding remains: Strategic Insights export action cards use hover:-translate-y-1 without a reduced-motion guard; a latent animate-ping in CEO action center also lacks a reduced-motion guard but was not active in the current insufficient-data state. These are non-blocking for 13I-05 and should be explicitly checked under 13I-06 motion/accessibility regression rather than reopening completed surfaces now. No files changed. Main dirty repository untouched. Next canonical task: 13I-06 — Run motion/accessibility regression.</x:v>
      </x:c>
    </x:row>
    <x:row r="336">
      <x:c r="A336" s="133" t="str">
        <x:v>✓</x:v>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str">
        <x:v>Completed</x:v>
      </x:c>
      <x:c r="I336" s="133" t="str">
        <x:v>Project Owner / Product / Engineering</x:v>
      </x:c>
      <x:c r="J336" s="133" t="str"/>
      <x:c r="K336" s="133" t="inlineStr">
        <x:is>
          <x:t xml:space="preserve">13I-01</x:t>
        </x:is>
      </x:c>
      <x:c r="L336" s="133" t="inlineStr">
        <x:is>
          <x:t xml:space="preserve">G10</x:t>
        </x:is>
      </x:c>
      <x:c r="M336" s="133" t="str">
        <x:v>PASS / MOTION &amp; ACCESSIBILITY REGRESSION — Evidence-only closeout. Representative authenticated surfaces passed reduced-motion, keyboard navigation, focus visibility, labels/semantics, observable contrast, and responsive accessibility checks with no P0/P1 accessibility defects.</x:v>
      </x:c>
      <x:c r="N336" s="249" t="n"/>
      <x:c r="O336" s="249" t="n">
        <x:v>46297</x:v>
      </x:c>
      <x:c r="P336" s="135" t="str">
        <x:v>Read-only audit on canonical HEAD 0c9663ba0f0826a5564e27dbe643941ba460f5cc using isolated clean worktree C:\Users\amirt\Documents\nexuspavilion-13i-06. prefers-reduced-motion: reduce was confirmed active; global globals.css guards suppress animation-name and transition-property under reduced motion. Executive Overview, Procurement Center, RFQ Drafting, Respondent RFQ Workspace, Quote/Proposal Preparation, Activity Center, Strategic Insights, and Workspace Settings all PASS across reduced motion, keyboard, focus, labels/semantics, contrast observation, and responsive accessibility. Closed Addendum accessibility regression PASS: Acknowledgement Status: Closed, explicit closed-window copy, historical Unacknowledged state retained, no Acknowledge control, and status is not color-only. No keyboard traps, unreachable critical controls, focus visibility defects, label/semantic defects, obvious contrast blockers, material reduced-motion defects, or mobile accessibility defects were found. One P2 remains: Analytics export cards retain hover:-translate-y-1 without a local motion-reduce utility, but global reduced-motion CSS suppresses transitions and no information is lost. CEO Action Center animate-ping is globally suppressed under reduced-motion and is not a current P0/P1. No files changed. Main dirty repository untouched. Next canonical task: 13I-07 — Run UI performance regression.</x:v>
      </x:c>
    </x:row>
    <x:row r="337">
      <x:c r="A337" s="133" t="str">
        <x:v>✓</x:v>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str">
        <x:v>Completed</x:v>
      </x:c>
      <x:c r="I337" s="133" t="str">
        <x:v>Project Owner / Product / Engineering</x:v>
      </x:c>
      <x:c r="J337" s="133" t="str"/>
      <x:c r="K337" s="133" t="inlineStr">
        <x:is>
          <x:t xml:space="preserve">13I-01</x:t>
        </x:is>
      </x:c>
      <x:c r="L337" s="133" t="inlineStr">
        <x:is>
          <x:t xml:space="preserve">G10</x:t>
        </x:is>
      </x:c>
      <x:c r="M337" s="133" t="str">
        <x:v>PASS / UI PERFORMANCE REGRESSION — Evidence-only closeout. Representative authenticated surfaces passed production-build load, interaction responsiveness, layout stability, motion/help impact, and responsive performance checks with no P0/P1 performance regressions.</x:v>
      </x:c>
      <x:c r="N337" s="249" t="n"/>
      <x:c r="O337" s="249" t="n">
        <x:v>46297</x:v>
      </x:c>
      <x:c r="P337" s="135" t="str">
        <x:v>Read-only audit on canonical HEAD f2f8f0e29d78bbcc0446bf17f23b774cfdec7781 using isolated clean worktree C:\Users\amirt\Documents\nexuspavilion-13i-07 and production next start on :3045. Executive Overview, Procurement Center, RFQ Drafting, Respondent RFQ Workspace, Quote/Proposal Preparation, Activity Center, Strategic Insights, and Workspace Settings all PASS at 1440/1024/390 for initial usability, interaction responsiveness, layout stability, and motion/help impact. No persistent UI freezes, material input lag, material scroll jank, repeated request loops, major content layout shifts, motion-related performance degradation, help-panel performance degradation, or console/runtime performance regressions were observed. Measured examples included DCL approximately 0.4–0.9s on Dashboard, short longtasks only (~83ms max observed), RFQ Drafting typing approximately 0–0.3ms/key, and Workspace Settings typing approximately 0.2ms average. Two P2 observations remain non-blocking: Strategic Insights is DOM-heavy (~2.2–2.4k nodes / ~22k scroll height) but showed zero longtasks during scroll; Next.js hover/link RSC prefetches produced short repeated fetches without responsiveness degradation. Sidebar/menu expansion can inflate CLS when intentionally toggled, but no major content instability was observed during normal route load. No files changed. Main dirty repository untouched. Next canonical task: 13I-08 — Verify logo/footer/brand consistency.</x:v>
      </x:c>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a160b3de021492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789cd850c1b4dd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354</x:v>
      </x:c>
      <x:c r="D6" s="133" t="inlineStr">
        <x:is>
          <x:t xml:space="preserve">G0A — Corporate platform architecture ready</x:t>
        </x:is>
      </x:c>
      <x:c r="E6" s="32" t="str">
        <x:f>'03 Launch Gates'!D20</x:f>
        <x:v>Completed</x:v>
      </x:c>
      <x:c r="G6" t="inlineStr">
        <x:is>
          <x:t xml:space="preserve">UI Tasks Complete</x:t>
        </x:is>
      </x:c>
      <x:c r="H6" t="n">
        <x:f>SUM(B36:B46)</x:f>
        <x:v>132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0.9645776566757494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0.9745454545454545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7</x:v>
      </x:c>
      <x:c r="C45" s="28" t="n">
        <x:f>COUNTIFS('01 Master Plan'!C$5:C$383,A45,'01 Master Plan'!H$5:H$383,"In Progress")</x:f>
        <x:v>0</x:v>
      </x:c>
      <x:c r="D45" s="28" t="n">
        <x:f>COUNTIFS('01 Master Plan'!C$5:C$383,A45,'01 Master Plan'!H$5:H$383,"Not Started")</x:f>
        <x:v>3</x:v>
      </x:c>
      <x:c r="E45" s="28" t="n">
        <x:f>COUNTIFS('01 Master Plan'!C$5:C$383,A45,'01 Master Plan'!H$5:H$383,"Blocked")</x:f>
        <x:v>0</x:v>
      </x:c>
      <x:c r="F45" s="28" t="n">
        <x:f>COUNTIFS('01 Master Plan'!C$5:C$383,A45,'01 Master Plan'!H$5:H$383,"Deferred")</x:f>
        <x:v>0</x:v>
      </x:c>
      <x:c r="G45" s="258" t="n">
        <x:f>IFERROR(B45/(B45+C45+D45+E45),0)</x:f>
        <x:v>0.7</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1a9f1d7e82e477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0d457131af4c45a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05ecb5bb7b44bf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1f7cc23e461432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f48fbd2f32a440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1eceb3ec55f54ff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row r="1294">
      <x:c r="A1294" t="n">
        <x:v>46297</x:v>
      </x:c>
      <x:c r="B1294" t="str">
        <x:v>Phase 13I / 13I-05</x:v>
      </x:c>
      <x:c r="C1294" t="str">
        <x:v>13I-05 Motion Consistency and Annoyance Audit Closed</x:v>
      </x:c>
      <x:c r="D1294" t="str">
        <x:v>executive-benchmark-engine</x:v>
      </x:c>
      <x:c r="E1294" t="str">
        <x:v>86534b5c1442a654b39f5802578442d3f088901d</x:v>
      </x:c>
      <x:c r="F1294" t="str">
        <x:v>Completed a read-only motion consistency and annoyance audit across eight representative authenticated product surfaces.</x:v>
      </x:c>
      <x:c r="G1294" t="str">
        <x:v>Desktop/tablet/mobile checks PASS; zero infinite CSS animations observed in steady state; no repeated popup/toast annoyance, motion-related layout shifts, performance issues, or P0/P1 motion defects.</x:v>
      </x:c>
      <x:c r="H1294" t="str">
        <x:v>PASS / 13I-05 CLOSED / EVIDENCE-ONLY</x:v>
      </x:c>
      <x:c r="I1294" t="str">
        <x:v>One P2 hover-translate inconsistency and one latent reduced-motion risk remain for explicit validation in 13I-06; no closed surface reopened and no code changes were made.</x:v>
      </x:c>
      <x:c r="J1294" t="str">
        <x:v>Next canonical task: Phase 13I / 13I-06 — Run motion/accessibility regression.</x:v>
      </x:c>
    </x:row>
    <x:row r="1295">
      <x:c r="A1295" t="n">
        <x:v>46297</x:v>
      </x:c>
      <x:c r="B1295" t="str">
        <x:v>Phase 13I / 13I-06</x:v>
      </x:c>
      <x:c r="C1295" t="str">
        <x:v>13I-06 Motion and Accessibility Regression Closed</x:v>
      </x:c>
      <x:c r="D1295" t="str">
        <x:v>executive-benchmark-engine</x:v>
      </x:c>
      <x:c r="E1295" t="str">
        <x:v>0c9663ba0f0826a5564e27dbe643941ba460f5cc</x:v>
      </x:c>
      <x:c r="F1295" t="str">
        <x:v>Completed a read-only reduced-motion and accessibility regression audit across eight representative authenticated product surfaces.</x:v>
      </x:c>
      <x:c r="G1295" t="str">
        <x:v>All audited surfaces PASS reduced motion, keyboard, focus, labels/semantics, observable contrast, and responsive accessibility; closed Addendum accessibility regression also PASS.</x:v>
      </x:c>
      <x:c r="H1295" t="str">
        <x:v>PASS / 13I-06 CLOSED / EVIDENCE-ONLY</x:v>
      </x:c>
      <x:c r="I1295" t="str">
        <x:v>No P0/P1 findings. One P2 export-card hover translate remains non-blocking because the global reduced-motion guard suppresses transitions; no code changes were made.</x:v>
      </x:c>
      <x:c r="J1295" t="str">
        <x:v>Next canonical task: Phase 13I / 13I-07 — Run UI performance regression.</x:v>
      </x:c>
    </x:row>
    <x:row r="1296">
      <x:c r="A1296" t="n">
        <x:v>46297</x:v>
      </x:c>
      <x:c r="B1296" t="str">
        <x:v>Phase 13I / 13I-07</x:v>
      </x:c>
      <x:c r="C1296" t="str">
        <x:v>13I-07 UI Performance Regression Closed</x:v>
      </x:c>
      <x:c r="D1296" t="str">
        <x:v>executive-benchmark-engine</x:v>
      </x:c>
      <x:c r="E1296" t="str">
        <x:v>f2f8f0e29d78bbcc0446bf17f23b774cfdec7781</x:v>
      </x:c>
      <x:c r="F1296" t="str">
        <x:v>Completed a read-only production-build UI performance regression across eight representative authenticated product surfaces.</x:v>
      </x:c>
      <x:c r="G1296" t="str">
        <x:v>All audited routes PASS initial usability, interaction responsiveness, layout stability, and motion/help impact at desktop/tablet/mobile; no P0/P1 performance regressions, request loops, freezes, material input lag, or major content instability were found.</x:v>
      </x:c>
      <x:c r="H1296" t="str">
        <x:v>PASS / 13I-07 CLOSED / EVIDENCE-ONLY</x:v>
      </x:c>
      <x:c r="I1296" t="str">
        <x:v>Non-blocking P2 observations only: Analytics remains DOM-heavy without measured longtask/scroll degradation; normal Next.js hover/link prefetch requests do not materially affect responsiveness.</x:v>
      </x:c>
      <x:c r="J1296" t="str">
        <x:v>Next canonical task: Phase 13I / 13I-08 — Verify logo/footer/brand consistency.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a3472d6c317492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747ab26ac324e5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through 13I-07 are PASS/CLOSED under approved evidence boundaries. 13I-07 UI performance regression passed evidence-only across eight representative authenticated surfaces with no P0/P1 performance regressions. Only non-blocking P2 observations remain documented for Analytics DOM size and normal Next.js prefetch behavior. Next canonical task: 13I-08 — verify logo/footer/brand consistency.</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bb9427bb2e7487d"/>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ed239ee4a1464949"/>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a3260c2ee7b4f8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e47feb4158345f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