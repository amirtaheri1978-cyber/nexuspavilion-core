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4a30ac0fe03463b" /></Relationships>
</file>

<file path=xl/workbook.xml><?xml version="1.0" encoding="utf-8"?>
<x:workbook xmlns:x="http://schemas.openxmlformats.org/spreadsheetml/2006/main">
  <x:sheets>
    <x:sheet xmlns:r="http://schemas.openxmlformats.org/officeDocument/2006/relationships" name="01 Master Plan" sheetId="1" r:id="R3dcea2a4ff844660"/>
    <x:sheet xmlns:r="http://schemas.openxmlformats.org/officeDocument/2006/relationships" name="03 Launch Gates" sheetId="2" r:id="R2e0aafd24ffd4758"/>
    <x:sheet xmlns:r="http://schemas.openxmlformats.org/officeDocument/2006/relationships" name="00 Dashboard" sheetId="3" r:id="Ref4540673ee34b2d"/>
    <x:sheet xmlns:r="http://schemas.openxmlformats.org/officeDocument/2006/relationships" name="04 Cursor Tasks" sheetId="4" r:id="Rb561b3fc32af40b6"/>
    <x:sheet xmlns:r="http://schemas.openxmlformats.org/officeDocument/2006/relationships" name="05 UAT Matrix" sheetId="5" r:id="R11716811e53844a9"/>
    <x:sheet xmlns:r="http://schemas.openxmlformats.org/officeDocument/2006/relationships" name="06 Security Matrix" sheetId="6" r:id="Rcf1c742e80194129"/>
    <x:sheet xmlns:r="http://schemas.openxmlformats.org/officeDocument/2006/relationships" name="07 Risks" sheetId="7" r:id="Raa7364d7fab54792"/>
    <x:sheet xmlns:r="http://schemas.openxmlformats.org/officeDocument/2006/relationships" name="08 Architecture" sheetId="8" r:id="Rd86abf32845d4ee1"/>
    <x:sheet xmlns:r="http://schemas.openxmlformats.org/officeDocument/2006/relationships" name="09 Release Checklist" sheetId="9" r:id="R15fed58ab42842c8"/>
    <x:sheet xmlns:r="http://schemas.openxmlformats.org/officeDocument/2006/relationships" name="10 Change Log" sheetId="10" r:id="Recef1418f66045ee"/>
    <x:sheet xmlns:r="http://schemas.openxmlformats.org/officeDocument/2006/relationships" name="11 Scope &amp; Roadmap" sheetId="11" r:id="R0394929c89ae4e39"/>
    <x:sheet xmlns:r="http://schemas.openxmlformats.org/officeDocument/2006/relationships" name="12 How to Use" sheetId="12" r:id="Rb9fcffbe844c4688"/>
    <x:sheet xmlns:r="http://schemas.openxmlformats.org/officeDocument/2006/relationships" name="13 UI Program" sheetId="13" r:id="Rae24fbd18b744939"/>
    <x:sheet xmlns:r="http://schemas.openxmlformats.org/officeDocument/2006/relationships" name="14 UI Scorecard" sheetId="14" r:id="R8f68e018fc1741f2"/>
    <x:sheet xmlns:r="http://schemas.openxmlformats.org/officeDocument/2006/relationships" name="15 Motion Guidance" sheetId="15" r:id="R7be45d4d41ef42f2"/>
    <x:sheet xmlns:r="http://schemas.openxmlformats.org/officeDocument/2006/relationships" name="16 Design Standards" sheetId="16" r:id="Rd3f44829f88f40a6"/>
    <x:sheet xmlns:r="http://schemas.openxmlformats.org/officeDocument/2006/relationships" name="17 Corporate Platform" sheetId="17" r:id="Rcbd19980f38f49e1"/>
    <x:sheet xmlns:r="http://schemas.openxmlformats.org/officeDocument/2006/relationships" name="18 Analytics Reuse Map" sheetId="18" r:id="R530435d055914123"/>
    <x:sheet xmlns:r="http://schemas.openxmlformats.org/officeDocument/2006/relationships" name="19 Executive Insights Discovery" sheetId="19" r:id="R98c426afa36649fa"/>
    <x:sheet xmlns:r="http://schemas.openxmlformats.org/officeDocument/2006/relationships" name="20 Procurement Insights Discovery" sheetId="20" r:id="R9f90957664cb4065"/>
    <x:sheet xmlns:r="http://schemas.openxmlformats.org/officeDocument/2006/relationships" name="21 Commercial Insights Discovery" sheetId="21" r:id="Rd1c7a16b3a694914"/>
    <x:sheet xmlns:r="http://schemas.openxmlformats.org/officeDocument/2006/relationships" name="22 Project Insights Discovery" sheetId="22" r:id="R03d8617d520a4fc7"/>
    <x:sheet xmlns:r="http://schemas.openxmlformats.org/officeDocument/2006/relationships" name="23 Performance Discovery" sheetId="23" r:id="Rb5894cf03e114e73"/>
    <x:sheet xmlns:r="http://schemas.openxmlformats.org/officeDocument/2006/relationships" name="24 Risk Compliance Discovery" sheetId="24" r:id="R8a7e77497a474edc"/>
    <x:sheet xmlns:r="http://schemas.openxmlformats.org/officeDocument/2006/relationships" name="25 Commercial Handoff" sheetId="25" r:id="R5a24d8fba9ca469d"/>
    <x:sheet xmlns:r="http://schemas.openxmlformats.org/officeDocument/2006/relationships" name="26 RFQ Governance" sheetId="26" r:id="R3889a796ab894f0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0f1b7fb22074eae" /><Relationship Type="http://schemas.openxmlformats.org/officeDocument/2006/relationships/theme" Target="/xl/theme/theme1.xml" Id="R52f48733b3864827" /><Relationship Type="http://schemas.openxmlformats.org/officeDocument/2006/relationships/sharedStrings" Target="/xl/sharedStrings.xml" Id="R943866667fb8463b" /><Relationship Type="http://schemas.openxmlformats.org/officeDocument/2006/relationships/worksheet" Target="/xl/worksheets/sheet1.xml" Id="R3dcea2a4ff844660" /><Relationship Type="http://schemas.openxmlformats.org/officeDocument/2006/relationships/worksheet" Target="/xl/worksheets/sheet2.xml" Id="R2e0aafd24ffd4758" /><Relationship Type="http://schemas.openxmlformats.org/officeDocument/2006/relationships/worksheet" Target="/xl/worksheets/sheet3.xml" Id="Ref4540673ee34b2d" /><Relationship Type="http://schemas.openxmlformats.org/officeDocument/2006/relationships/worksheet" Target="/xl/worksheets/sheet4.xml" Id="Rb561b3fc32af40b6" /><Relationship Type="http://schemas.openxmlformats.org/officeDocument/2006/relationships/worksheet" Target="/xl/worksheets/sheet5.xml" Id="R11716811e53844a9" /><Relationship Type="http://schemas.openxmlformats.org/officeDocument/2006/relationships/worksheet" Target="/xl/worksheets/sheet6.xml" Id="Rcf1c742e80194129" /><Relationship Type="http://schemas.openxmlformats.org/officeDocument/2006/relationships/worksheet" Target="/xl/worksheets/sheet7.xml" Id="Raa7364d7fab54792" /><Relationship Type="http://schemas.openxmlformats.org/officeDocument/2006/relationships/worksheet" Target="/xl/worksheets/sheet8.xml" Id="Rd86abf32845d4ee1" /><Relationship Type="http://schemas.openxmlformats.org/officeDocument/2006/relationships/worksheet" Target="/xl/worksheets/sheet9.xml" Id="R15fed58ab42842c8" /><Relationship Type="http://schemas.openxmlformats.org/officeDocument/2006/relationships/worksheet" Target="/xl/worksheets/sheet10.xml" Id="Recef1418f66045ee" /><Relationship Type="http://schemas.openxmlformats.org/officeDocument/2006/relationships/worksheet" Target="/xl/worksheets/sheet11.xml" Id="R0394929c89ae4e39" /><Relationship Type="http://schemas.openxmlformats.org/officeDocument/2006/relationships/worksheet" Target="/xl/worksheets/sheet12.xml" Id="Rb9fcffbe844c4688" /><Relationship Type="http://schemas.openxmlformats.org/officeDocument/2006/relationships/worksheet" Target="/xl/worksheets/sheet13.xml" Id="Rae24fbd18b744939" /><Relationship Type="http://schemas.openxmlformats.org/officeDocument/2006/relationships/worksheet" Target="/xl/worksheets/sheet14.xml" Id="R8f68e018fc1741f2" /><Relationship Type="http://schemas.openxmlformats.org/officeDocument/2006/relationships/worksheet" Target="/xl/worksheets/sheet15.xml" Id="R7be45d4d41ef42f2" /><Relationship Type="http://schemas.openxmlformats.org/officeDocument/2006/relationships/worksheet" Target="/xl/worksheets/sheet16.xml" Id="Rd3f44829f88f40a6" /><Relationship Type="http://schemas.openxmlformats.org/officeDocument/2006/relationships/worksheet" Target="/xl/worksheets/sheet17.xml" Id="Rcbd19980f38f49e1" /><Relationship Type="http://schemas.openxmlformats.org/officeDocument/2006/relationships/worksheet" Target="/xl/worksheets/sheet18.xml" Id="R530435d055914123" /><Relationship Type="http://schemas.openxmlformats.org/officeDocument/2006/relationships/worksheet" Target="/xl/worksheets/sheet19.xml" Id="R98c426afa36649fa" /><Relationship Type="http://schemas.openxmlformats.org/officeDocument/2006/relationships/worksheet" Target="/xl/worksheets/sheet20.xml" Id="R9f90957664cb4065" /><Relationship Type="http://schemas.openxmlformats.org/officeDocument/2006/relationships/worksheet" Target="/xl/worksheets/sheet21.xml" Id="Rd1c7a16b3a694914" /><Relationship Type="http://schemas.openxmlformats.org/officeDocument/2006/relationships/worksheet" Target="/xl/worksheets/sheet22.xml" Id="R03d8617d520a4fc7" /><Relationship Type="http://schemas.openxmlformats.org/officeDocument/2006/relationships/worksheet" Target="/xl/worksheets/sheet23.xml" Id="Rb5894cf03e114e73" /><Relationship Type="http://schemas.openxmlformats.org/officeDocument/2006/relationships/worksheet" Target="/xl/worksheets/sheet24.xml" Id="R8a7e77497a474edc" /><Relationship Type="http://schemas.openxmlformats.org/officeDocument/2006/relationships/worksheet" Target="/xl/worksheets/sheet25.xml" Id="R5a24d8fba9ca469d" /><Relationship Type="http://schemas.openxmlformats.org/officeDocument/2006/relationships/worksheet" Target="/xl/worksheets/sheet26.xml" Id="R3889a796ab894f0f" /></Relationships>
</file>

<file path=xl/drawings/_rels/drawing1.xml.rels>&#65279;<?xml version="1.0" encoding="utf-8"?><Relationships xmlns="http://schemas.openxmlformats.org/package/2006/relationships"><Relationship Type="http://schemas.openxmlformats.org/officeDocument/2006/relationships/chart" Target="/xl/drawings/charts/chart1.xml" Id="R993cfaed35e84d7e"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93cfaed35e84d7e"/>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768d33c6cd14cab" /></Relationships>
</file>

<file path=xl/worksheets/_rels/sheet2.xml.rels>&#65279;<?xml version="1.0" encoding="utf-8"?><Relationships xmlns="http://schemas.openxmlformats.org/package/2006/relationships"><Relationship Type="http://schemas.openxmlformats.org/officeDocument/2006/relationships/table" Target="/xl/tables/table2.xml" Id="R72be2861cede4635" /></Relationships>
</file>

<file path=xl/worksheets/_rels/sheet3.xml.rels>&#65279;<?xml version="1.0" encoding="utf-8"?><Relationships xmlns="http://schemas.openxmlformats.org/package/2006/relationships"><Relationship Type="http://schemas.openxmlformats.org/officeDocument/2006/relationships/drawing" Target="/xl/drawings/drawing1.xml" Id="R539eeb3d075c4d93" /></Relationships>
</file>

<file path=xl/worksheets/_rels/sheet4.xml.rels>&#65279;<?xml version="1.0" encoding="utf-8"?><Relationships xmlns="http://schemas.openxmlformats.org/package/2006/relationships"><Relationship Type="http://schemas.openxmlformats.org/officeDocument/2006/relationships/table" Target="/xl/tables/table3.xml" Id="R518ac9cf3ee74949" /></Relationships>
</file>

<file path=xl/worksheets/_rels/sheet5.xml.rels>&#65279;<?xml version="1.0" encoding="utf-8"?><Relationships xmlns="http://schemas.openxmlformats.org/package/2006/relationships"><Relationship Type="http://schemas.openxmlformats.org/officeDocument/2006/relationships/table" Target="/xl/tables/table4.xml" Id="Re717d407918f41e4" /></Relationships>
</file>

<file path=xl/worksheets/_rels/sheet6.xml.rels>&#65279;<?xml version="1.0" encoding="utf-8"?><Relationships xmlns="http://schemas.openxmlformats.org/package/2006/relationships"><Relationship Type="http://schemas.openxmlformats.org/officeDocument/2006/relationships/table" Target="/xl/tables/table5.xml" Id="R70e56c22f6fa4d8b" /></Relationships>
</file>

<file path=xl/worksheets/_rels/sheet7.xml.rels>&#65279;<?xml version="1.0" encoding="utf-8"?><Relationships xmlns="http://schemas.openxmlformats.org/package/2006/relationships"><Relationship Type="http://schemas.openxmlformats.org/officeDocument/2006/relationships/table" Target="/xl/tables/table6.xml" Id="R620f223abf86455f" /></Relationships>
</file>

<file path=xl/worksheets/_rels/sheet9.xml.rels>&#65279;<?xml version="1.0" encoding="utf-8"?><Relationships xmlns="http://schemas.openxmlformats.org/package/2006/relationships"><Relationship Type="http://schemas.openxmlformats.org/officeDocument/2006/relationships/table" Target="/xl/tables/table7.xml" Id="Rab6990aadd5f4b45" /></Relationships>
</file>

<file path=xl/worksheets/_rels/sheet10.xml.rels>&#65279;<?xml version="1.0" encoding="utf-8"?><Relationships xmlns="http://schemas.openxmlformats.org/package/2006/relationships"><Relationship Type="http://schemas.openxmlformats.org/officeDocument/2006/relationships/table" Target="/xl/tables/table8.xml" Id="R317fb27587cb4bee" /></Relationships>
</file>

<file path=xl/worksheets/_rels/sheet11.xml.rels>&#65279;<?xml version="1.0" encoding="utf-8"?><Relationships xmlns="http://schemas.openxmlformats.org/package/2006/relationships"><Relationship Type="http://schemas.openxmlformats.org/officeDocument/2006/relationships/table" Target="/xl/tables/table9.xml" Id="Rda505ed94689404c" /></Relationships>
</file>

<file path=xl/worksheets/_rels/sheet13.xml.rels>&#65279;<?xml version="1.0" encoding="utf-8"?><Relationships xmlns="http://schemas.openxmlformats.org/package/2006/relationships"><Relationship Type="http://schemas.openxmlformats.org/officeDocument/2006/relationships/table" Target="/xl/tables/table10.xml" Id="R976d47ff8c86405b" /></Relationships>
</file>

<file path=xl/worksheets/_rels/sheet14.xml.rels>&#65279;<?xml version="1.0" encoding="utf-8"?><Relationships xmlns="http://schemas.openxmlformats.org/package/2006/relationships"><Relationship Type="http://schemas.openxmlformats.org/officeDocument/2006/relationships/table" Target="/xl/tables/table11.xml" Id="Rcdd044d1e3b94e95" /></Relationships>
</file>

<file path=xl/worksheets/_rels/sheet15.xml.rels>&#65279;<?xml version="1.0" encoding="utf-8"?><Relationships xmlns="http://schemas.openxmlformats.org/package/2006/relationships"><Relationship Type="http://schemas.openxmlformats.org/officeDocument/2006/relationships/table" Target="/xl/tables/table12.xml" Id="R267ae051b0fc4a87" /></Relationships>
</file>

<file path=xl/worksheets/_rels/sheet16.xml.rels>&#65279;<?xml version="1.0" encoding="utf-8"?><Relationships xmlns="http://schemas.openxmlformats.org/package/2006/relationships"><Relationship Type="http://schemas.openxmlformats.org/officeDocument/2006/relationships/table" Target="/xl/tables/table13.xml" Id="R5e2a30732a524b27"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8768d33c6cd14cab"/>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72be2861cede4635"/>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309</x:v>
      </x:c>
      <x:c r="D6" s="133" t="inlineStr">
        <x:is>
          <x:t xml:space="preserve">G0A — Corporate platform architecture ready</x:t>
        </x:is>
      </x:c>
      <x:c r="E6" s="32" t="str">
        <x:f>'03 Launch Gates'!D20</x:f>
        <x:v>Completed</x:v>
      </x:c>
      <x:c r="G6" t="inlineStr">
        <x:is>
          <x:t xml:space="preserve">UI Tasks Complete</x:t>
        </x:is>
      </x:c>
      <x:c r="H6" t="n">
        <x:f>SUM(B36:B46)</x:f>
        <x:v>87</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0.8419618528610354</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0.88</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6</x:v>
      </x:c>
      <x:c r="C42" s="133" t="n">
        <x:f>COUNTIFS('01 Master Plan'!C$5:C$383,A42,'01 Master Plan'!H$5:H$383,"In Progress")</x:f>
        <x:v>0</x:v>
      </x:c>
      <x:c r="D42" s="133" t="n">
        <x:f>COUNTIFS('01 Master Plan'!C$5:C$383,A42,'01 Master Plan'!H$5:H$383,"Not Started")</x:f>
        <x:v>8</x:v>
      </x:c>
      <x:c r="E42" s="133" t="n">
        <x:f>COUNTIFS('01 Master Plan'!C$5:C$383,A42,'01 Master Plan'!H$5:H$383,"Blocked")</x:f>
        <x:v>0</x:v>
      </x:c>
      <x:c r="F42" s="133" t="n">
        <x:f>COUNTIFS('01 Master Plan'!C$5:C$383,A42,'01 Master Plan'!H$5:H$383,"Deferred")</x:f>
        <x:v>0</x:v>
      </x:c>
      <x:c r="G42" s="255" t="n">
        <x:f>IFERROR(B42/(B42+C42+D42+E42),0)</x:f>
        <x:v>0.42857142857142855</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539eeb3d075c4d93"/>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518ac9cf3ee74949"/>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e717d407918f41e4"/>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70e56c22f6fa4d8b"/>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620f223abf86455f"/>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ab6990aadd5f4b45"/>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317fb27587cb4bee"/>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da505ed94689404c"/>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IN PROGRESS — 13F-01 through 13F-06 PASS/CLOSED/PUBLISHED. The five-level guidance taxonomy, eligibility/frequency/memory contracts, L1 ExecutiveInlineHint and L2 ExecutiveGuidanceCard are now available. Both UI primitives are presentation-focused and keep state, routing, persistence and business semantics caller-owned. Next executable canonical task: 13F-07 Create anchored first-use coachmark.</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In Progress</x:v>
      </x:c>
      <x:c r="J10" s="133" t="str">
        <x:v>U5 / Phase 13F IN PROGRESS — 13F-01 through 13F-06 PASS/CLOSED/PUBLISHED. The five-level guidance taxonomy, eligibility/frequency/memory contracts, L1 ExecutiveInlineHint and L2 ExecutiveGuidanceCard are now available. Both UI primitives are presentation-focused and keep state, routing, persistence and business semantics caller-owned. Next executable canonical task: 13F-07 Create anchored first-use coachmark.</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976d47ff8c86405b"/>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cdd044d1e3b94e95"/>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267ae051b0fc4a87"/>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5e2a30732a524b27"/>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