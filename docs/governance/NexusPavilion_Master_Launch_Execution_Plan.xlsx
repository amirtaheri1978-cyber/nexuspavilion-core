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a97368ea63462d" /></Relationships>
</file>

<file path=xl/workbook.xml><?xml version="1.0" encoding="utf-8"?>
<x:workbook xmlns:x="http://schemas.openxmlformats.org/spreadsheetml/2006/main">
  <x:sheets>
    <x:sheet xmlns:r="http://schemas.openxmlformats.org/officeDocument/2006/relationships" name="01 Master Plan" sheetId="1" r:id="Rfa54d1ff50344f1c"/>
    <x:sheet xmlns:r="http://schemas.openxmlformats.org/officeDocument/2006/relationships" name="03 Launch Gates" sheetId="2" r:id="Rda451d109f1c4f39"/>
    <x:sheet xmlns:r="http://schemas.openxmlformats.org/officeDocument/2006/relationships" name="00 Dashboard" sheetId="3" r:id="R980af42119ee422c"/>
    <x:sheet xmlns:r="http://schemas.openxmlformats.org/officeDocument/2006/relationships" name="04 Cursor Tasks" sheetId="4" r:id="Rae4f9dbb39ba46c0"/>
    <x:sheet xmlns:r="http://schemas.openxmlformats.org/officeDocument/2006/relationships" name="05 UAT Matrix" sheetId="5" r:id="Ra5652712f5d0409f"/>
    <x:sheet xmlns:r="http://schemas.openxmlformats.org/officeDocument/2006/relationships" name="06 Security Matrix" sheetId="6" r:id="R30341df0b2f94848"/>
    <x:sheet xmlns:r="http://schemas.openxmlformats.org/officeDocument/2006/relationships" name="07 Risks" sheetId="7" r:id="Rf07c7b0ed1c14ba0"/>
    <x:sheet xmlns:r="http://schemas.openxmlformats.org/officeDocument/2006/relationships" name="08 Architecture" sheetId="8" r:id="Rb714901d563b4f8b"/>
    <x:sheet xmlns:r="http://schemas.openxmlformats.org/officeDocument/2006/relationships" name="09 Release Checklist" sheetId="9" r:id="Ra8ea9cbddb96494a"/>
    <x:sheet xmlns:r="http://schemas.openxmlformats.org/officeDocument/2006/relationships" name="10 Change Log" sheetId="10" r:id="R1228a2260fbc4e45"/>
    <x:sheet xmlns:r="http://schemas.openxmlformats.org/officeDocument/2006/relationships" name="11 Scope &amp; Roadmap" sheetId="11" r:id="R0d903fabfd214d95"/>
    <x:sheet xmlns:r="http://schemas.openxmlformats.org/officeDocument/2006/relationships" name="12 How to Use" sheetId="12" r:id="Rb29f359b33ae44a0"/>
    <x:sheet xmlns:r="http://schemas.openxmlformats.org/officeDocument/2006/relationships" name="13 UI Program" sheetId="13" r:id="Rf61dfbfb18b5439f"/>
    <x:sheet xmlns:r="http://schemas.openxmlformats.org/officeDocument/2006/relationships" name="14 UI Scorecard" sheetId="14" r:id="Rd094bdd5d3e64f43"/>
    <x:sheet xmlns:r="http://schemas.openxmlformats.org/officeDocument/2006/relationships" name="15 Motion Guidance" sheetId="15" r:id="R6472524e83954390"/>
    <x:sheet xmlns:r="http://schemas.openxmlformats.org/officeDocument/2006/relationships" name="16 Design Standards" sheetId="16" r:id="Rccd88cd879eb4198"/>
    <x:sheet xmlns:r="http://schemas.openxmlformats.org/officeDocument/2006/relationships" name="17 Corporate Platform" sheetId="17" r:id="R578b11e5fc9143c1"/>
    <x:sheet xmlns:r="http://schemas.openxmlformats.org/officeDocument/2006/relationships" name="18 Analytics Reuse Map" sheetId="18" r:id="R38e7e6d4e5794769"/>
    <x:sheet xmlns:r="http://schemas.openxmlformats.org/officeDocument/2006/relationships" name="19 Executive Insights Discovery" sheetId="19" r:id="R7642d6f8f2f64cf6"/>
    <x:sheet xmlns:r="http://schemas.openxmlformats.org/officeDocument/2006/relationships" name="20 Procurement Insights Discovery" sheetId="20" r:id="R8aeb1fca8dcb4a6f"/>
    <x:sheet xmlns:r="http://schemas.openxmlformats.org/officeDocument/2006/relationships" name="21 Commercial Insights Discovery" sheetId="21" r:id="Ra672c417d085434f"/>
    <x:sheet xmlns:r="http://schemas.openxmlformats.org/officeDocument/2006/relationships" name="22 Project Insights Discovery" sheetId="22" r:id="R4e0730c685d149f2"/>
    <x:sheet xmlns:r="http://schemas.openxmlformats.org/officeDocument/2006/relationships" name="23 Performance Discovery" sheetId="23" r:id="R66a8118fdc9e4e0b"/>
    <x:sheet xmlns:r="http://schemas.openxmlformats.org/officeDocument/2006/relationships" name="24 Risk Compliance Discovery" sheetId="24" r:id="R0ed3c49c4e474c7b"/>
    <x:sheet xmlns:r="http://schemas.openxmlformats.org/officeDocument/2006/relationships" name="25 Commercial Handoff" sheetId="25" r:id="R5c8b81e3bf0441d9"/>
    <x:sheet xmlns:r="http://schemas.openxmlformats.org/officeDocument/2006/relationships" name="26 RFQ Governance" sheetId="26" r:id="R8ad93324636d47a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35329378f74959" /><Relationship Type="http://schemas.openxmlformats.org/officeDocument/2006/relationships/theme" Target="/xl/theme/theme1.xml" Id="R950a2c730f2c4bc6" /><Relationship Type="http://schemas.openxmlformats.org/officeDocument/2006/relationships/sharedStrings" Target="/xl/sharedStrings.xml" Id="R8c56093d538741a4" /><Relationship Type="http://schemas.openxmlformats.org/officeDocument/2006/relationships/worksheet" Target="/xl/worksheets/sheet1.xml" Id="Rfa54d1ff50344f1c" /><Relationship Type="http://schemas.openxmlformats.org/officeDocument/2006/relationships/worksheet" Target="/xl/worksheets/sheet2.xml" Id="Rda451d109f1c4f39" /><Relationship Type="http://schemas.openxmlformats.org/officeDocument/2006/relationships/worksheet" Target="/xl/worksheets/sheet3.xml" Id="R980af42119ee422c" /><Relationship Type="http://schemas.openxmlformats.org/officeDocument/2006/relationships/worksheet" Target="/xl/worksheets/sheet4.xml" Id="Rae4f9dbb39ba46c0" /><Relationship Type="http://schemas.openxmlformats.org/officeDocument/2006/relationships/worksheet" Target="/xl/worksheets/sheet5.xml" Id="Ra5652712f5d0409f" /><Relationship Type="http://schemas.openxmlformats.org/officeDocument/2006/relationships/worksheet" Target="/xl/worksheets/sheet6.xml" Id="R30341df0b2f94848" /><Relationship Type="http://schemas.openxmlformats.org/officeDocument/2006/relationships/worksheet" Target="/xl/worksheets/sheet7.xml" Id="Rf07c7b0ed1c14ba0" /><Relationship Type="http://schemas.openxmlformats.org/officeDocument/2006/relationships/worksheet" Target="/xl/worksheets/sheet8.xml" Id="Rb714901d563b4f8b" /><Relationship Type="http://schemas.openxmlformats.org/officeDocument/2006/relationships/worksheet" Target="/xl/worksheets/sheet9.xml" Id="Ra8ea9cbddb96494a" /><Relationship Type="http://schemas.openxmlformats.org/officeDocument/2006/relationships/worksheet" Target="/xl/worksheets/sheet10.xml" Id="R1228a2260fbc4e45" /><Relationship Type="http://schemas.openxmlformats.org/officeDocument/2006/relationships/worksheet" Target="/xl/worksheets/sheet11.xml" Id="R0d903fabfd214d95" /><Relationship Type="http://schemas.openxmlformats.org/officeDocument/2006/relationships/worksheet" Target="/xl/worksheets/sheet12.xml" Id="Rb29f359b33ae44a0" /><Relationship Type="http://schemas.openxmlformats.org/officeDocument/2006/relationships/worksheet" Target="/xl/worksheets/sheet13.xml" Id="Rf61dfbfb18b5439f" /><Relationship Type="http://schemas.openxmlformats.org/officeDocument/2006/relationships/worksheet" Target="/xl/worksheets/sheet14.xml" Id="Rd094bdd5d3e64f43" /><Relationship Type="http://schemas.openxmlformats.org/officeDocument/2006/relationships/worksheet" Target="/xl/worksheets/sheet15.xml" Id="R6472524e83954390" /><Relationship Type="http://schemas.openxmlformats.org/officeDocument/2006/relationships/worksheet" Target="/xl/worksheets/sheet16.xml" Id="Rccd88cd879eb4198" /><Relationship Type="http://schemas.openxmlformats.org/officeDocument/2006/relationships/worksheet" Target="/xl/worksheets/sheet17.xml" Id="R578b11e5fc9143c1" /><Relationship Type="http://schemas.openxmlformats.org/officeDocument/2006/relationships/worksheet" Target="/xl/worksheets/sheet18.xml" Id="R38e7e6d4e5794769" /><Relationship Type="http://schemas.openxmlformats.org/officeDocument/2006/relationships/worksheet" Target="/xl/worksheets/sheet19.xml" Id="R7642d6f8f2f64cf6" /><Relationship Type="http://schemas.openxmlformats.org/officeDocument/2006/relationships/worksheet" Target="/xl/worksheets/sheet20.xml" Id="R8aeb1fca8dcb4a6f" /><Relationship Type="http://schemas.openxmlformats.org/officeDocument/2006/relationships/worksheet" Target="/xl/worksheets/sheet21.xml" Id="Ra672c417d085434f" /><Relationship Type="http://schemas.openxmlformats.org/officeDocument/2006/relationships/worksheet" Target="/xl/worksheets/sheet22.xml" Id="R4e0730c685d149f2" /><Relationship Type="http://schemas.openxmlformats.org/officeDocument/2006/relationships/worksheet" Target="/xl/worksheets/sheet23.xml" Id="R66a8118fdc9e4e0b" /><Relationship Type="http://schemas.openxmlformats.org/officeDocument/2006/relationships/worksheet" Target="/xl/worksheets/sheet24.xml" Id="R0ed3c49c4e474c7b" /><Relationship Type="http://schemas.openxmlformats.org/officeDocument/2006/relationships/worksheet" Target="/xl/worksheets/sheet25.xml" Id="R5c8b81e3bf0441d9" /><Relationship Type="http://schemas.openxmlformats.org/officeDocument/2006/relationships/worksheet" Target="/xl/worksheets/sheet26.xml" Id="R8ad93324636d47a5" /></Relationships>
</file>

<file path=xl/drawings/_rels/drawing1.xml.rels>&#65279;<?xml version="1.0" encoding="utf-8"?><Relationships xmlns="http://schemas.openxmlformats.org/package/2006/relationships"><Relationship Type="http://schemas.openxmlformats.org/officeDocument/2006/relationships/chart" Target="/xl/drawings/charts/chart1.xml" Id="R6dcee1c5038843b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dcee1c5038843b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7b6920ecbef4ec6" /></Relationships>
</file>

<file path=xl/worksheets/_rels/sheet2.xml.rels>&#65279;<?xml version="1.0" encoding="utf-8"?><Relationships xmlns="http://schemas.openxmlformats.org/package/2006/relationships"><Relationship Type="http://schemas.openxmlformats.org/officeDocument/2006/relationships/table" Target="/xl/tables/table2.xml" Id="Re3e2807b5b0c4d81" /></Relationships>
</file>

<file path=xl/worksheets/_rels/sheet3.xml.rels>&#65279;<?xml version="1.0" encoding="utf-8"?><Relationships xmlns="http://schemas.openxmlformats.org/package/2006/relationships"><Relationship Type="http://schemas.openxmlformats.org/officeDocument/2006/relationships/drawing" Target="/xl/drawings/drawing1.xml" Id="R0152b6eaa5184ac9" /></Relationships>
</file>

<file path=xl/worksheets/_rels/sheet4.xml.rels>&#65279;<?xml version="1.0" encoding="utf-8"?><Relationships xmlns="http://schemas.openxmlformats.org/package/2006/relationships"><Relationship Type="http://schemas.openxmlformats.org/officeDocument/2006/relationships/table" Target="/xl/tables/table3.xml" Id="R29f011be31b74af6" /></Relationships>
</file>

<file path=xl/worksheets/_rels/sheet5.xml.rels>&#65279;<?xml version="1.0" encoding="utf-8"?><Relationships xmlns="http://schemas.openxmlformats.org/package/2006/relationships"><Relationship Type="http://schemas.openxmlformats.org/officeDocument/2006/relationships/table" Target="/xl/tables/table4.xml" Id="R064db28f09ab4b89" /></Relationships>
</file>

<file path=xl/worksheets/_rels/sheet6.xml.rels>&#65279;<?xml version="1.0" encoding="utf-8"?><Relationships xmlns="http://schemas.openxmlformats.org/package/2006/relationships"><Relationship Type="http://schemas.openxmlformats.org/officeDocument/2006/relationships/table" Target="/xl/tables/table5.xml" Id="Rf7ab59c3048d4d32" /></Relationships>
</file>

<file path=xl/worksheets/_rels/sheet7.xml.rels>&#65279;<?xml version="1.0" encoding="utf-8"?><Relationships xmlns="http://schemas.openxmlformats.org/package/2006/relationships"><Relationship Type="http://schemas.openxmlformats.org/officeDocument/2006/relationships/table" Target="/xl/tables/table6.xml" Id="R8939b1171f494fef" /></Relationships>
</file>

<file path=xl/worksheets/_rels/sheet9.xml.rels>&#65279;<?xml version="1.0" encoding="utf-8"?><Relationships xmlns="http://schemas.openxmlformats.org/package/2006/relationships"><Relationship Type="http://schemas.openxmlformats.org/officeDocument/2006/relationships/table" Target="/xl/tables/table7.xml" Id="Rbd2cd4da0f124e67" /></Relationships>
</file>

<file path=xl/worksheets/_rels/sheet10.xml.rels>&#65279;<?xml version="1.0" encoding="utf-8"?><Relationships xmlns="http://schemas.openxmlformats.org/package/2006/relationships"><Relationship Type="http://schemas.openxmlformats.org/officeDocument/2006/relationships/table" Target="/xl/tables/table8.xml" Id="R02af0b0cbb7f4c9c" /></Relationships>
</file>

<file path=xl/worksheets/_rels/sheet11.xml.rels>&#65279;<?xml version="1.0" encoding="utf-8"?><Relationships xmlns="http://schemas.openxmlformats.org/package/2006/relationships"><Relationship Type="http://schemas.openxmlformats.org/officeDocument/2006/relationships/table" Target="/xl/tables/table9.xml" Id="R9c3ab3a775af4423" /></Relationships>
</file>

<file path=xl/worksheets/_rels/sheet13.xml.rels>&#65279;<?xml version="1.0" encoding="utf-8"?><Relationships xmlns="http://schemas.openxmlformats.org/package/2006/relationships"><Relationship Type="http://schemas.openxmlformats.org/officeDocument/2006/relationships/table" Target="/xl/tables/table10.xml" Id="R586ef6d4f0ae4aeb" /></Relationships>
</file>

<file path=xl/worksheets/_rels/sheet14.xml.rels>&#65279;<?xml version="1.0" encoding="utf-8"?><Relationships xmlns="http://schemas.openxmlformats.org/package/2006/relationships"><Relationship Type="http://schemas.openxmlformats.org/officeDocument/2006/relationships/table" Target="/xl/tables/table11.xml" Id="R45fb202fbf8b458b" /></Relationships>
</file>

<file path=xl/worksheets/_rels/sheet15.xml.rels>&#65279;<?xml version="1.0" encoding="utf-8"?><Relationships xmlns="http://schemas.openxmlformats.org/package/2006/relationships"><Relationship Type="http://schemas.openxmlformats.org/officeDocument/2006/relationships/table" Target="/xl/tables/table12.xml" Id="Rbb48cf634bfb408e" /></Relationships>
</file>

<file path=xl/worksheets/_rels/sheet16.xml.rels>&#65279;<?xml version="1.0" encoding="utf-8"?><Relationships xmlns="http://schemas.openxmlformats.org/package/2006/relationships"><Relationship Type="http://schemas.openxmlformats.org/officeDocument/2006/relationships/table" Target="/xl/tables/table13.xml" Id="Raa21d9600c544ef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7b6920ecbef4ec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e3e2807b5b0c4d8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262</x:v>
      </x:c>
      <x:c r="D6" s="133" t="inlineStr">
        <x:is>
          <x:t xml:space="preserve">G0A — Corporate platform architecture ready</x:t>
        </x:is>
      </x:c>
      <x:c r="E6" s="32" t="str">
        <x:f>'03 Launch Gates'!D20</x:f>
        <x:v>Completed</x:v>
      </x:c>
      <x:c r="G6" t="inlineStr">
        <x:is>
          <x:t xml:space="preserve">UI Tasks Complete</x:t>
        </x:is>
      </x:c>
      <x:c r="H6" t="n">
        <x:f>SUM(B36:B46)</x:f>
        <x:v>40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0.7138964577656676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0.7345454545454545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5</x:v>
      </x:c>
      <x:c r="C37" s="133" t="n">
        <x:f>COUNTIFS('01 Master Plan'!C$5:C$383,A37,'01 Master Plan'!H$5:H$383,"In Progress")</x:f>
        <x:v>0</x:v>
      </x:c>
      <x:c r="D37" s="133" t="n">
        <x:f>COUNTIFS('01 Master Plan'!C$5:C$383,A37,'01 Master Plan'!H$5:H$383,"Not Started")</x:f>
        <x:v>7</x:v>
      </x:c>
      <x:c r="E37" s="133" t="n">
        <x:f>COUNTIFS('01 Master Plan'!C$5:C$383,A37,'01 Master Plan'!H$5:H$383,"Blocked")</x:f>
        <x:v>0</x:v>
      </x:c>
      <x:c r="F37" s="133" t="n">
        <x:f>COUNTIFS('01 Master Plan'!C$5:C$383,A37,'01 Master Plan'!H$5:H$383,"Deferred")</x:f>
        <x:v>0</x:v>
      </x:c>
      <x:c r="G37" s="255" t="n">
        <x:f>IFERROR(B37/(B37+C37+D37+E37),0)</x:f>
        <x:v>0.4166666666666667</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0152b6eaa5184ac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9f011be31b74af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64db28f09ab4b8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7ab59c3048d4d3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8939b1171f494fe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d2cd4da0f124e6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2af0b0cbb7f4c9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c3ab3a775af442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colors, 13B-02 theme compatibility, 13B-03 typography, 13B-04 spacing/grid, and 13B-05 surface/border/radius/elevation complete. Next: 13B-06 semantic status palette.</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86ef6d4f0ae4ae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45fb202fbf8b458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b48cf634bfb408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a21d9600c544ef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