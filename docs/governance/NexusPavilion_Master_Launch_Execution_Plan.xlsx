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6a4ad648f66461a" /></Relationships>
</file>

<file path=xl/workbook.xml><?xml version="1.0" encoding="utf-8"?>
<x:workbook xmlns:x="http://schemas.openxmlformats.org/spreadsheetml/2006/main">
  <x:sheets>
    <x:sheet xmlns:r="http://schemas.openxmlformats.org/officeDocument/2006/relationships" name="01 Master Plan" sheetId="1" r:id="R8b91081cbe5c4842"/>
    <x:sheet xmlns:r="http://schemas.openxmlformats.org/officeDocument/2006/relationships" name="03 Launch Gates" sheetId="2" r:id="R6b4b650fde484601"/>
    <x:sheet xmlns:r="http://schemas.openxmlformats.org/officeDocument/2006/relationships" name="00 Dashboard" sheetId="3" r:id="R64ce507da3484547"/>
    <x:sheet xmlns:r="http://schemas.openxmlformats.org/officeDocument/2006/relationships" name="04 Cursor Tasks" sheetId="4" r:id="Rd55de40cc3d542ff"/>
    <x:sheet xmlns:r="http://schemas.openxmlformats.org/officeDocument/2006/relationships" name="05 UAT Matrix" sheetId="5" r:id="R6919147cd97b4b64"/>
    <x:sheet xmlns:r="http://schemas.openxmlformats.org/officeDocument/2006/relationships" name="06 Security Matrix" sheetId="6" r:id="Rc3f671c9cf6047bb"/>
    <x:sheet xmlns:r="http://schemas.openxmlformats.org/officeDocument/2006/relationships" name="07 Risks" sheetId="7" r:id="Ra1aaece983de4aaa"/>
    <x:sheet xmlns:r="http://schemas.openxmlformats.org/officeDocument/2006/relationships" name="08 Architecture" sheetId="8" r:id="R8f4c5d2dec8540ef"/>
    <x:sheet xmlns:r="http://schemas.openxmlformats.org/officeDocument/2006/relationships" name="09 Release Checklist" sheetId="9" r:id="R75d5b8c6a0ad49c8"/>
    <x:sheet xmlns:r="http://schemas.openxmlformats.org/officeDocument/2006/relationships" name="10 Change Log" sheetId="10" r:id="Rb526a92fbb974151"/>
    <x:sheet xmlns:r="http://schemas.openxmlformats.org/officeDocument/2006/relationships" name="11 Scope &amp; Roadmap" sheetId="11" r:id="Rce95eb3eef2e4f2d"/>
    <x:sheet xmlns:r="http://schemas.openxmlformats.org/officeDocument/2006/relationships" name="12 How to Use" sheetId="12" r:id="R655cbea0a7764934"/>
    <x:sheet xmlns:r="http://schemas.openxmlformats.org/officeDocument/2006/relationships" name="13 UI Program" sheetId="13" r:id="R7fccae8c09a74eaf"/>
    <x:sheet xmlns:r="http://schemas.openxmlformats.org/officeDocument/2006/relationships" name="14 UI Scorecard" sheetId="14" r:id="Rfd3b2e29d3e04fae"/>
    <x:sheet xmlns:r="http://schemas.openxmlformats.org/officeDocument/2006/relationships" name="15 Motion Guidance" sheetId="15" r:id="R199cbedd90f34ee4"/>
    <x:sheet xmlns:r="http://schemas.openxmlformats.org/officeDocument/2006/relationships" name="16 Design Standards" sheetId="16" r:id="R8d4755930b694176"/>
    <x:sheet xmlns:r="http://schemas.openxmlformats.org/officeDocument/2006/relationships" name="17 Corporate Platform" sheetId="17" r:id="R225ab9e831244a58"/>
    <x:sheet xmlns:r="http://schemas.openxmlformats.org/officeDocument/2006/relationships" name="18 Analytics Reuse Map" sheetId="18" r:id="Rf67f43656c454b46"/>
    <x:sheet xmlns:r="http://schemas.openxmlformats.org/officeDocument/2006/relationships" name="19 Executive Insights Discovery" sheetId="19" r:id="R2a633d26960a41bf"/>
    <x:sheet xmlns:r="http://schemas.openxmlformats.org/officeDocument/2006/relationships" name="20 Procurement Insights Discovery" sheetId="20" r:id="Rf5a8cb7ee5c44486"/>
    <x:sheet xmlns:r="http://schemas.openxmlformats.org/officeDocument/2006/relationships" name="21 Commercial Insights Discovery" sheetId="21" r:id="R74bec7b961174662"/>
    <x:sheet xmlns:r="http://schemas.openxmlformats.org/officeDocument/2006/relationships" name="22 Project Insights Discovery" sheetId="22" r:id="R969d9bc904cb45a6"/>
    <x:sheet xmlns:r="http://schemas.openxmlformats.org/officeDocument/2006/relationships" name="23 Performance Discovery" sheetId="23" r:id="Rd50c2643f83e49bf"/>
    <x:sheet xmlns:r="http://schemas.openxmlformats.org/officeDocument/2006/relationships" name="24 Risk Compliance Discovery" sheetId="24" r:id="Rd94f34ab80e8412d"/>
    <x:sheet xmlns:r="http://schemas.openxmlformats.org/officeDocument/2006/relationships" name="25 Commercial Handoff" sheetId="25" r:id="R88aca075e90a41f0"/>
    <x:sheet xmlns:r="http://schemas.openxmlformats.org/officeDocument/2006/relationships" name="26 RFQ Governance" sheetId="26" r:id="R93c2f8a6c7e04a2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628c574204345b6" /><Relationship Type="http://schemas.openxmlformats.org/officeDocument/2006/relationships/theme" Target="/xl/theme/theme1.xml" Id="Re11d19768d9c4fa6" /><Relationship Type="http://schemas.openxmlformats.org/officeDocument/2006/relationships/sharedStrings" Target="/xl/sharedStrings.xml" Id="Rb7832ccbd46441ed" /><Relationship Type="http://schemas.openxmlformats.org/officeDocument/2006/relationships/worksheet" Target="/xl/worksheets/sheet1.xml" Id="R8b91081cbe5c4842" /><Relationship Type="http://schemas.openxmlformats.org/officeDocument/2006/relationships/worksheet" Target="/xl/worksheets/sheet2.xml" Id="R6b4b650fde484601" /><Relationship Type="http://schemas.openxmlformats.org/officeDocument/2006/relationships/worksheet" Target="/xl/worksheets/sheet3.xml" Id="R64ce507da3484547" /><Relationship Type="http://schemas.openxmlformats.org/officeDocument/2006/relationships/worksheet" Target="/xl/worksheets/sheet4.xml" Id="Rd55de40cc3d542ff" /><Relationship Type="http://schemas.openxmlformats.org/officeDocument/2006/relationships/worksheet" Target="/xl/worksheets/sheet5.xml" Id="R6919147cd97b4b64" /><Relationship Type="http://schemas.openxmlformats.org/officeDocument/2006/relationships/worksheet" Target="/xl/worksheets/sheet6.xml" Id="Rc3f671c9cf6047bb" /><Relationship Type="http://schemas.openxmlformats.org/officeDocument/2006/relationships/worksheet" Target="/xl/worksheets/sheet7.xml" Id="Ra1aaece983de4aaa" /><Relationship Type="http://schemas.openxmlformats.org/officeDocument/2006/relationships/worksheet" Target="/xl/worksheets/sheet8.xml" Id="R8f4c5d2dec8540ef" /><Relationship Type="http://schemas.openxmlformats.org/officeDocument/2006/relationships/worksheet" Target="/xl/worksheets/sheet9.xml" Id="R75d5b8c6a0ad49c8" /><Relationship Type="http://schemas.openxmlformats.org/officeDocument/2006/relationships/worksheet" Target="/xl/worksheets/sheet10.xml" Id="Rb526a92fbb974151" /><Relationship Type="http://schemas.openxmlformats.org/officeDocument/2006/relationships/worksheet" Target="/xl/worksheets/sheet11.xml" Id="Rce95eb3eef2e4f2d" /><Relationship Type="http://schemas.openxmlformats.org/officeDocument/2006/relationships/worksheet" Target="/xl/worksheets/sheet12.xml" Id="R655cbea0a7764934" /><Relationship Type="http://schemas.openxmlformats.org/officeDocument/2006/relationships/worksheet" Target="/xl/worksheets/sheet13.xml" Id="R7fccae8c09a74eaf" /><Relationship Type="http://schemas.openxmlformats.org/officeDocument/2006/relationships/worksheet" Target="/xl/worksheets/sheet14.xml" Id="Rfd3b2e29d3e04fae" /><Relationship Type="http://schemas.openxmlformats.org/officeDocument/2006/relationships/worksheet" Target="/xl/worksheets/sheet15.xml" Id="R199cbedd90f34ee4" /><Relationship Type="http://schemas.openxmlformats.org/officeDocument/2006/relationships/worksheet" Target="/xl/worksheets/sheet16.xml" Id="R8d4755930b694176" /><Relationship Type="http://schemas.openxmlformats.org/officeDocument/2006/relationships/worksheet" Target="/xl/worksheets/sheet17.xml" Id="R225ab9e831244a58" /><Relationship Type="http://schemas.openxmlformats.org/officeDocument/2006/relationships/worksheet" Target="/xl/worksheets/sheet18.xml" Id="Rf67f43656c454b46" /><Relationship Type="http://schemas.openxmlformats.org/officeDocument/2006/relationships/worksheet" Target="/xl/worksheets/sheet19.xml" Id="R2a633d26960a41bf" /><Relationship Type="http://schemas.openxmlformats.org/officeDocument/2006/relationships/worksheet" Target="/xl/worksheets/sheet20.xml" Id="Rf5a8cb7ee5c44486" /><Relationship Type="http://schemas.openxmlformats.org/officeDocument/2006/relationships/worksheet" Target="/xl/worksheets/sheet21.xml" Id="R74bec7b961174662" /><Relationship Type="http://schemas.openxmlformats.org/officeDocument/2006/relationships/worksheet" Target="/xl/worksheets/sheet22.xml" Id="R969d9bc904cb45a6" /><Relationship Type="http://schemas.openxmlformats.org/officeDocument/2006/relationships/worksheet" Target="/xl/worksheets/sheet23.xml" Id="Rd50c2643f83e49bf" /><Relationship Type="http://schemas.openxmlformats.org/officeDocument/2006/relationships/worksheet" Target="/xl/worksheets/sheet24.xml" Id="Rd94f34ab80e8412d" /><Relationship Type="http://schemas.openxmlformats.org/officeDocument/2006/relationships/worksheet" Target="/xl/worksheets/sheet25.xml" Id="R88aca075e90a41f0" /><Relationship Type="http://schemas.openxmlformats.org/officeDocument/2006/relationships/worksheet" Target="/xl/worksheets/sheet26.xml" Id="R93c2f8a6c7e04a28" /></Relationships>
</file>

<file path=xl/drawings/_rels/drawing1.xml.rels>&#65279;<?xml version="1.0" encoding="utf-8"?><Relationships xmlns="http://schemas.openxmlformats.org/package/2006/relationships"><Relationship Type="http://schemas.openxmlformats.org/officeDocument/2006/relationships/chart" Target="/xl/drawings/charts/chart1.xml" Id="Rc8accddf1e71414d"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8accddf1e71414d"/>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a5ef1ef233b400f" /></Relationships>
</file>

<file path=xl/worksheets/_rels/sheet2.xml.rels>&#65279;<?xml version="1.0" encoding="utf-8"?><Relationships xmlns="http://schemas.openxmlformats.org/package/2006/relationships"><Relationship Type="http://schemas.openxmlformats.org/officeDocument/2006/relationships/table" Target="/xl/tables/table2.xml" Id="R2a746e959d6545dc" /></Relationships>
</file>

<file path=xl/worksheets/_rels/sheet3.xml.rels>&#65279;<?xml version="1.0" encoding="utf-8"?><Relationships xmlns="http://schemas.openxmlformats.org/package/2006/relationships"><Relationship Type="http://schemas.openxmlformats.org/officeDocument/2006/relationships/drawing" Target="/xl/drawings/drawing1.xml" Id="R376a09d7e7c24315" /></Relationships>
</file>

<file path=xl/worksheets/_rels/sheet4.xml.rels>&#65279;<?xml version="1.0" encoding="utf-8"?><Relationships xmlns="http://schemas.openxmlformats.org/package/2006/relationships"><Relationship Type="http://schemas.openxmlformats.org/officeDocument/2006/relationships/table" Target="/xl/tables/table3.xml" Id="Rd32656fff2104add" /></Relationships>
</file>

<file path=xl/worksheets/_rels/sheet5.xml.rels>&#65279;<?xml version="1.0" encoding="utf-8"?><Relationships xmlns="http://schemas.openxmlformats.org/package/2006/relationships"><Relationship Type="http://schemas.openxmlformats.org/officeDocument/2006/relationships/table" Target="/xl/tables/table4.xml" Id="R50a8c433ede0419a" /></Relationships>
</file>

<file path=xl/worksheets/_rels/sheet6.xml.rels>&#65279;<?xml version="1.0" encoding="utf-8"?><Relationships xmlns="http://schemas.openxmlformats.org/package/2006/relationships"><Relationship Type="http://schemas.openxmlformats.org/officeDocument/2006/relationships/table" Target="/xl/tables/table5.xml" Id="Rf27f49e0534e4ef9" /></Relationships>
</file>

<file path=xl/worksheets/_rels/sheet7.xml.rels>&#65279;<?xml version="1.0" encoding="utf-8"?><Relationships xmlns="http://schemas.openxmlformats.org/package/2006/relationships"><Relationship Type="http://schemas.openxmlformats.org/officeDocument/2006/relationships/table" Target="/xl/tables/table6.xml" Id="R45b7c929156343fc" /></Relationships>
</file>

<file path=xl/worksheets/_rels/sheet9.xml.rels>&#65279;<?xml version="1.0" encoding="utf-8"?><Relationships xmlns="http://schemas.openxmlformats.org/package/2006/relationships"><Relationship Type="http://schemas.openxmlformats.org/officeDocument/2006/relationships/table" Target="/xl/tables/table7.xml" Id="Rdbf8bc6a1fce44e4" /></Relationships>
</file>

<file path=xl/worksheets/_rels/sheet10.xml.rels>&#65279;<?xml version="1.0" encoding="utf-8"?><Relationships xmlns="http://schemas.openxmlformats.org/package/2006/relationships"><Relationship Type="http://schemas.openxmlformats.org/officeDocument/2006/relationships/table" Target="/xl/tables/table8.xml" Id="Reee2d5bb28aa4af4" /></Relationships>
</file>

<file path=xl/worksheets/_rels/sheet11.xml.rels>&#65279;<?xml version="1.0" encoding="utf-8"?><Relationships xmlns="http://schemas.openxmlformats.org/package/2006/relationships"><Relationship Type="http://schemas.openxmlformats.org/officeDocument/2006/relationships/table" Target="/xl/tables/table9.xml" Id="Rde6a53d4b4cc40fb" /></Relationships>
</file>

<file path=xl/worksheets/_rels/sheet13.xml.rels>&#65279;<?xml version="1.0" encoding="utf-8"?><Relationships xmlns="http://schemas.openxmlformats.org/package/2006/relationships"><Relationship Type="http://schemas.openxmlformats.org/officeDocument/2006/relationships/table" Target="/xl/tables/table10.xml" Id="R12956d5e25d048e7" /></Relationships>
</file>

<file path=xl/worksheets/_rels/sheet14.xml.rels>&#65279;<?xml version="1.0" encoding="utf-8"?><Relationships xmlns="http://schemas.openxmlformats.org/package/2006/relationships"><Relationship Type="http://schemas.openxmlformats.org/officeDocument/2006/relationships/table" Target="/xl/tables/table11.xml" Id="R26eeccfebb714f8a" /></Relationships>
</file>

<file path=xl/worksheets/_rels/sheet15.xml.rels>&#65279;<?xml version="1.0" encoding="utf-8"?><Relationships xmlns="http://schemas.openxmlformats.org/package/2006/relationships"><Relationship Type="http://schemas.openxmlformats.org/officeDocument/2006/relationships/table" Target="/xl/tables/table12.xml" Id="R4660f9d6c9cc4d15" /></Relationships>
</file>

<file path=xl/worksheets/_rels/sheet16.xml.rels>&#65279;<?xml version="1.0" encoding="utf-8"?><Relationships xmlns="http://schemas.openxmlformats.org/package/2006/relationships"><Relationship Type="http://schemas.openxmlformats.org/officeDocument/2006/relationships/table" Target="/xl/tables/table13.xml" Id="R4c2e255f359e4c19"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a5ef1ef233b400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a746e959d6545d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289</x:v>
      </x:c>
      <x:c r="D6" s="133" t="inlineStr">
        <x:is>
          <x:t xml:space="preserve">G0A — Corporate platform architecture ready</x:t>
        </x:is>
      </x:c>
      <x:c r="E6" s="32" t="str">
        <x:f>'03 Launch Gates'!D20</x:f>
        <x:v>Completed</x:v>
      </x:c>
      <x:c r="G6" t="inlineStr">
        <x:is>
          <x:t xml:space="preserve">UI Tasks Complete</x:t>
        </x:is>
      </x:c>
      <x:c r="H6" t="n">
        <x:f>SUM(B36:B46)</x:f>
        <x:v>67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1</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0.7874659400544959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0.8218181818181818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3</x:v>
      </x:c>
      <x:c r="C40" s="162" t="n">
        <x:f>COUNTIFS('01 Master Plan'!C$5:C$383,A40,'01 Master Plan'!H$5:H$383,"In Progress")</x:f>
        <x:v>0</x:v>
      </x:c>
      <x:c r="D40" s="162" t="n">
        <x:f>COUNTIFS('01 Master Plan'!C$5:C$383,A40,'01 Master Plan'!H$5:H$383,"Not Started")</x:f>
        <x:v>6</x:v>
      </x:c>
      <x:c r="E40" s="162" t="n">
        <x:f>COUNTIFS('01 Master Plan'!C$5:C$383,A40,'01 Master Plan'!H$5:H$383,"Blocked")</x:f>
        <x:v>1</x:v>
      </x:c>
      <x:c r="F40" s="162" t="n">
        <x:f>COUNTIFS('01 Master Plan'!C$5:C$383,A40,'01 Master Plan'!H$5:H$383,"Deferred")</x:f>
        <x:v>0</x:v>
      </x:c>
      <x:c r="G40" s="257" t="n">
        <x:f>IFERROR(B40/(B40+C40+D40+E40),0)</x:f>
        <x:v>0.3</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76a09d7e7c2431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d32656fff2104ad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50a8c433ede0419a"/>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27f49e0534e4ef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45b7c929156343f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dbf8bc6a1fce44e4"/>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eee2d5bb28aa4af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de6a53d4b4cc40f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IN PROGRESS — 13D-01 through 13D-03 PASS/CLOSED. 13D-04 BLOCKED because no stable Ask Nexus/Search destination exists; no new route or AI flow was invented. Next executable canonical task: 13D-05 Connect workflow stepper to issuer/respondent context. Return to 13D-04 when an approved stable destination exists.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12956d5e25d048e7"/>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6eeccfebb714f8a"/>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660f9d6c9cc4d15"/>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4c2e255f359e4c19"/>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