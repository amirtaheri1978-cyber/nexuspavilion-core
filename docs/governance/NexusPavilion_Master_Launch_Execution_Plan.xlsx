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cb13fa597a438d" /></Relationships>
</file>

<file path=xl/workbook.xml><?xml version="1.0" encoding="utf-8"?>
<x:workbook xmlns:x="http://schemas.openxmlformats.org/spreadsheetml/2006/main">
  <x:sheets>
    <x:sheet xmlns:r="http://schemas.openxmlformats.org/officeDocument/2006/relationships" name="01 Master Plan" sheetId="1" r:id="Raa38f034f1a14743"/>
    <x:sheet xmlns:r="http://schemas.openxmlformats.org/officeDocument/2006/relationships" name="03 Launch Gates" sheetId="2" r:id="R9d8e0731ab474c09"/>
    <x:sheet xmlns:r="http://schemas.openxmlformats.org/officeDocument/2006/relationships" name="00 Dashboard" sheetId="3" r:id="R035a016758c543fd"/>
    <x:sheet xmlns:r="http://schemas.openxmlformats.org/officeDocument/2006/relationships" name="04 Cursor Tasks" sheetId="4" r:id="R6195bc0cb2c2463d"/>
    <x:sheet xmlns:r="http://schemas.openxmlformats.org/officeDocument/2006/relationships" name="05 UAT Matrix" sheetId="5" r:id="R618553310c92461d"/>
    <x:sheet xmlns:r="http://schemas.openxmlformats.org/officeDocument/2006/relationships" name="06 Security Matrix" sheetId="6" r:id="Ra4dcd81601f54386"/>
    <x:sheet xmlns:r="http://schemas.openxmlformats.org/officeDocument/2006/relationships" name="07 Risks" sheetId="7" r:id="R242ef8e81ede4da8"/>
    <x:sheet xmlns:r="http://schemas.openxmlformats.org/officeDocument/2006/relationships" name="08 Architecture" sheetId="8" r:id="R6b067e2dd42743b7"/>
    <x:sheet xmlns:r="http://schemas.openxmlformats.org/officeDocument/2006/relationships" name="09 Release Checklist" sheetId="9" r:id="R097aa8be271e4f95"/>
    <x:sheet xmlns:r="http://schemas.openxmlformats.org/officeDocument/2006/relationships" name="10 Change Log" sheetId="10" r:id="R0e9b9e4e099b4273"/>
    <x:sheet xmlns:r="http://schemas.openxmlformats.org/officeDocument/2006/relationships" name="11 Scope &amp; Roadmap" sheetId="11" r:id="R6ef043665b5c42ee"/>
    <x:sheet xmlns:r="http://schemas.openxmlformats.org/officeDocument/2006/relationships" name="12 How to Use" sheetId="12" r:id="R6f61c5593fba4bc0"/>
    <x:sheet xmlns:r="http://schemas.openxmlformats.org/officeDocument/2006/relationships" name="13 UI Program" sheetId="13" r:id="R1bf4653c06ee4895"/>
    <x:sheet xmlns:r="http://schemas.openxmlformats.org/officeDocument/2006/relationships" name="14 UI Scorecard" sheetId="14" r:id="R8cfdc44e9da64dc6"/>
    <x:sheet xmlns:r="http://schemas.openxmlformats.org/officeDocument/2006/relationships" name="15 Motion Guidance" sheetId="15" r:id="R0c702e308bcc4595"/>
    <x:sheet xmlns:r="http://schemas.openxmlformats.org/officeDocument/2006/relationships" name="16 Design Standards" sheetId="16" r:id="Ra0e0c7ec5a574ee9"/>
    <x:sheet xmlns:r="http://schemas.openxmlformats.org/officeDocument/2006/relationships" name="17 Corporate Platform" sheetId="17" r:id="Rcae812a908254c14"/>
    <x:sheet xmlns:r="http://schemas.openxmlformats.org/officeDocument/2006/relationships" name="18 Analytics Reuse Map" sheetId="18" r:id="R651e0a536a7c455a"/>
    <x:sheet xmlns:r="http://schemas.openxmlformats.org/officeDocument/2006/relationships" name="19 Executive Insights Discovery" sheetId="19" r:id="R8819e86a09fb4b4e"/>
    <x:sheet xmlns:r="http://schemas.openxmlformats.org/officeDocument/2006/relationships" name="20 Procurement Insights Discovery" sheetId="20" r:id="R5acfe4c42fff4f2b"/>
    <x:sheet xmlns:r="http://schemas.openxmlformats.org/officeDocument/2006/relationships" name="21 Commercial Insights Discovery" sheetId="21" r:id="R6907058cf32c46bc"/>
    <x:sheet xmlns:r="http://schemas.openxmlformats.org/officeDocument/2006/relationships" name="22 Project Insights Discovery" sheetId="22" r:id="R193bd5f71e9d465a"/>
    <x:sheet xmlns:r="http://schemas.openxmlformats.org/officeDocument/2006/relationships" name="23 Performance Discovery" sheetId="23" r:id="Rd162746e32694ddc"/>
    <x:sheet xmlns:r="http://schemas.openxmlformats.org/officeDocument/2006/relationships" name="24 Risk Compliance Discovery" sheetId="24" r:id="R64314e5f1b354532"/>
    <x:sheet xmlns:r="http://schemas.openxmlformats.org/officeDocument/2006/relationships" name="25 Commercial Handoff" sheetId="25" r:id="Rb281162543874502"/>
    <x:sheet xmlns:r="http://schemas.openxmlformats.org/officeDocument/2006/relationships" name="26 RFQ Governance" sheetId="26" r:id="Rccfe5201e083480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aac9f9aea614534" /><Relationship Type="http://schemas.openxmlformats.org/officeDocument/2006/relationships/theme" Target="/xl/theme/theme1.xml" Id="Rbc063f8904f14943" /><Relationship Type="http://schemas.openxmlformats.org/officeDocument/2006/relationships/sharedStrings" Target="/xl/sharedStrings.xml" Id="Re4e7dfaef77a4ced" /><Relationship Type="http://schemas.openxmlformats.org/officeDocument/2006/relationships/worksheet" Target="/xl/worksheets/sheet1.xml" Id="Raa38f034f1a14743" /><Relationship Type="http://schemas.openxmlformats.org/officeDocument/2006/relationships/worksheet" Target="/xl/worksheets/sheet2.xml" Id="R9d8e0731ab474c09" /><Relationship Type="http://schemas.openxmlformats.org/officeDocument/2006/relationships/worksheet" Target="/xl/worksheets/sheet3.xml" Id="R035a016758c543fd" /><Relationship Type="http://schemas.openxmlformats.org/officeDocument/2006/relationships/worksheet" Target="/xl/worksheets/sheet4.xml" Id="R6195bc0cb2c2463d" /><Relationship Type="http://schemas.openxmlformats.org/officeDocument/2006/relationships/worksheet" Target="/xl/worksheets/sheet5.xml" Id="R618553310c92461d" /><Relationship Type="http://schemas.openxmlformats.org/officeDocument/2006/relationships/worksheet" Target="/xl/worksheets/sheet6.xml" Id="Ra4dcd81601f54386" /><Relationship Type="http://schemas.openxmlformats.org/officeDocument/2006/relationships/worksheet" Target="/xl/worksheets/sheet7.xml" Id="R242ef8e81ede4da8" /><Relationship Type="http://schemas.openxmlformats.org/officeDocument/2006/relationships/worksheet" Target="/xl/worksheets/sheet8.xml" Id="R6b067e2dd42743b7" /><Relationship Type="http://schemas.openxmlformats.org/officeDocument/2006/relationships/worksheet" Target="/xl/worksheets/sheet9.xml" Id="R097aa8be271e4f95" /><Relationship Type="http://schemas.openxmlformats.org/officeDocument/2006/relationships/worksheet" Target="/xl/worksheets/sheet10.xml" Id="R0e9b9e4e099b4273" /><Relationship Type="http://schemas.openxmlformats.org/officeDocument/2006/relationships/worksheet" Target="/xl/worksheets/sheet11.xml" Id="R6ef043665b5c42ee" /><Relationship Type="http://schemas.openxmlformats.org/officeDocument/2006/relationships/worksheet" Target="/xl/worksheets/sheet12.xml" Id="R6f61c5593fba4bc0" /><Relationship Type="http://schemas.openxmlformats.org/officeDocument/2006/relationships/worksheet" Target="/xl/worksheets/sheet13.xml" Id="R1bf4653c06ee4895" /><Relationship Type="http://schemas.openxmlformats.org/officeDocument/2006/relationships/worksheet" Target="/xl/worksheets/sheet14.xml" Id="R8cfdc44e9da64dc6" /><Relationship Type="http://schemas.openxmlformats.org/officeDocument/2006/relationships/worksheet" Target="/xl/worksheets/sheet15.xml" Id="R0c702e308bcc4595" /><Relationship Type="http://schemas.openxmlformats.org/officeDocument/2006/relationships/worksheet" Target="/xl/worksheets/sheet16.xml" Id="Ra0e0c7ec5a574ee9" /><Relationship Type="http://schemas.openxmlformats.org/officeDocument/2006/relationships/worksheet" Target="/xl/worksheets/sheet17.xml" Id="Rcae812a908254c14" /><Relationship Type="http://schemas.openxmlformats.org/officeDocument/2006/relationships/worksheet" Target="/xl/worksheets/sheet18.xml" Id="R651e0a536a7c455a" /><Relationship Type="http://schemas.openxmlformats.org/officeDocument/2006/relationships/worksheet" Target="/xl/worksheets/sheet19.xml" Id="R8819e86a09fb4b4e" /><Relationship Type="http://schemas.openxmlformats.org/officeDocument/2006/relationships/worksheet" Target="/xl/worksheets/sheet20.xml" Id="R5acfe4c42fff4f2b" /><Relationship Type="http://schemas.openxmlformats.org/officeDocument/2006/relationships/worksheet" Target="/xl/worksheets/sheet21.xml" Id="R6907058cf32c46bc" /><Relationship Type="http://schemas.openxmlformats.org/officeDocument/2006/relationships/worksheet" Target="/xl/worksheets/sheet22.xml" Id="R193bd5f71e9d465a" /><Relationship Type="http://schemas.openxmlformats.org/officeDocument/2006/relationships/worksheet" Target="/xl/worksheets/sheet23.xml" Id="Rd162746e32694ddc" /><Relationship Type="http://schemas.openxmlformats.org/officeDocument/2006/relationships/worksheet" Target="/xl/worksheets/sheet24.xml" Id="R64314e5f1b354532" /><Relationship Type="http://schemas.openxmlformats.org/officeDocument/2006/relationships/worksheet" Target="/xl/worksheets/sheet25.xml" Id="Rb281162543874502" /><Relationship Type="http://schemas.openxmlformats.org/officeDocument/2006/relationships/worksheet" Target="/xl/worksheets/sheet26.xml" Id="Rccfe5201e083480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5c62a86e7014e1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c62a86e7014e16"/>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41f7fe68e94f67" /></Relationships>
</file>

<file path=xl/worksheets/_rels/sheet2.xml.rels>&#65279;<?xml version="1.0" encoding="utf-8"?><Relationships xmlns="http://schemas.openxmlformats.org/package/2006/relationships"><Relationship Type="http://schemas.openxmlformats.org/officeDocument/2006/relationships/table" Target="/xl/tables/table2.xml" Id="Rc0c7ade797ac4a66" /></Relationships>
</file>

<file path=xl/worksheets/_rels/sheet3.xml.rels>&#65279;<?xml version="1.0" encoding="utf-8"?><Relationships xmlns="http://schemas.openxmlformats.org/package/2006/relationships"><Relationship Type="http://schemas.openxmlformats.org/officeDocument/2006/relationships/drawing" Target="/xl/drawings/drawing1.xml" Id="Rc42a530d0de34315" /></Relationships>
</file>

<file path=xl/worksheets/_rels/sheet4.xml.rels>&#65279;<?xml version="1.0" encoding="utf-8"?><Relationships xmlns="http://schemas.openxmlformats.org/package/2006/relationships"><Relationship Type="http://schemas.openxmlformats.org/officeDocument/2006/relationships/table" Target="/xl/tables/table3.xml" Id="Rec4bd856979d4b8e" /></Relationships>
</file>

<file path=xl/worksheets/_rels/sheet5.xml.rels>&#65279;<?xml version="1.0" encoding="utf-8"?><Relationships xmlns="http://schemas.openxmlformats.org/package/2006/relationships"><Relationship Type="http://schemas.openxmlformats.org/officeDocument/2006/relationships/table" Target="/xl/tables/table4.xml" Id="Re86a4a98f1724286" /></Relationships>
</file>

<file path=xl/worksheets/_rels/sheet6.xml.rels>&#65279;<?xml version="1.0" encoding="utf-8"?><Relationships xmlns="http://schemas.openxmlformats.org/package/2006/relationships"><Relationship Type="http://schemas.openxmlformats.org/officeDocument/2006/relationships/table" Target="/xl/tables/table5.xml" Id="R3a3bbc0e518e41cf" /></Relationships>
</file>

<file path=xl/worksheets/_rels/sheet7.xml.rels>&#65279;<?xml version="1.0" encoding="utf-8"?><Relationships xmlns="http://schemas.openxmlformats.org/package/2006/relationships"><Relationship Type="http://schemas.openxmlformats.org/officeDocument/2006/relationships/table" Target="/xl/tables/table6.xml" Id="Ra9cbb16c30c349d3" /></Relationships>
</file>

<file path=xl/worksheets/_rels/sheet9.xml.rels>&#65279;<?xml version="1.0" encoding="utf-8"?><Relationships xmlns="http://schemas.openxmlformats.org/package/2006/relationships"><Relationship Type="http://schemas.openxmlformats.org/officeDocument/2006/relationships/table" Target="/xl/tables/table7.xml" Id="R83d2080664e04ff5" /></Relationships>
</file>

<file path=xl/worksheets/_rels/sheet10.xml.rels>&#65279;<?xml version="1.0" encoding="utf-8"?><Relationships xmlns="http://schemas.openxmlformats.org/package/2006/relationships"><Relationship Type="http://schemas.openxmlformats.org/officeDocument/2006/relationships/table" Target="/xl/tables/table8.xml" Id="R2a02e4e028f1460a" /></Relationships>
</file>

<file path=xl/worksheets/_rels/sheet11.xml.rels>&#65279;<?xml version="1.0" encoding="utf-8"?><Relationships xmlns="http://schemas.openxmlformats.org/package/2006/relationships"><Relationship Type="http://schemas.openxmlformats.org/officeDocument/2006/relationships/table" Target="/xl/tables/table9.xml" Id="Rccf14a562fcf4bd1" /></Relationships>
</file>

<file path=xl/worksheets/_rels/sheet13.xml.rels>&#65279;<?xml version="1.0" encoding="utf-8"?><Relationships xmlns="http://schemas.openxmlformats.org/package/2006/relationships"><Relationship Type="http://schemas.openxmlformats.org/officeDocument/2006/relationships/table" Target="/xl/tables/table10.xml" Id="R52c95c80c84947b7" /></Relationships>
</file>

<file path=xl/worksheets/_rels/sheet14.xml.rels>&#65279;<?xml version="1.0" encoding="utf-8"?><Relationships xmlns="http://schemas.openxmlformats.org/package/2006/relationships"><Relationship Type="http://schemas.openxmlformats.org/officeDocument/2006/relationships/table" Target="/xl/tables/table11.xml" Id="R15efe42b2d3a471d" /></Relationships>
</file>

<file path=xl/worksheets/_rels/sheet15.xml.rels>&#65279;<?xml version="1.0" encoding="utf-8"?><Relationships xmlns="http://schemas.openxmlformats.org/package/2006/relationships"><Relationship Type="http://schemas.openxmlformats.org/officeDocument/2006/relationships/table" Target="/xl/tables/table12.xml" Id="Raddf56f57af24e3b" /></Relationships>
</file>

<file path=xl/worksheets/_rels/sheet16.xml.rels>&#65279;<?xml version="1.0" encoding="utf-8"?><Relationships xmlns="http://schemas.openxmlformats.org/package/2006/relationships"><Relationship Type="http://schemas.openxmlformats.org/officeDocument/2006/relationships/table" Target="/xl/tables/table13.xml" Id="R3c70ff1dd960400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541f7fe68e94f6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0c7ade797ac4a66"/>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289</x:v>
      </x:c>
      <x:c r="D6" s="133" t="inlineStr">
        <x:is>
          <x:t xml:space="preserve">G0A — Corporate platform architecture ready</x:t>
        </x:is>
      </x:c>
      <x:c r="E6" s="32" t="str">
        <x:f>'03 Launch Gates'!D20</x:f>
        <x:v>Completed</x:v>
      </x:c>
      <x:c r="G6" t="inlineStr">
        <x:is>
          <x:t xml:space="preserve">UI Tasks Complete</x:t>
        </x:is>
      </x:c>
      <x:c r="H6" t="n">
        <x:f>SUM(B36:B46)</x:f>
        <x:v>67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0.7874659400544959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0.8218181818181818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3</x:v>
      </x:c>
      <x:c r="C40" s="162" t="n">
        <x:f>COUNTIFS('01 Master Plan'!C$5:C$383,A40,'01 Master Plan'!H$5:H$383,"In Progress")</x:f>
        <x:v>0</x:v>
      </x:c>
      <x:c r="D40" s="162" t="n">
        <x:f>COUNTIFS('01 Master Plan'!C$5:C$383,A40,'01 Master Plan'!H$5:H$383,"Not Started")</x:f>
        <x:v>7</x:v>
      </x:c>
      <x:c r="E40" s="162" t="n">
        <x:f>COUNTIFS('01 Master Plan'!C$5:C$383,A40,'01 Master Plan'!H$5:H$383,"Blocked")</x:f>
        <x:v>0</x:v>
      </x:c>
      <x:c r="F40" s="162" t="n">
        <x:f>COUNTIFS('01 Master Plan'!C$5:C$383,A40,'01 Master Plan'!H$5:H$383,"Deferred")</x:f>
        <x:v>0</x:v>
      </x:c>
      <x:c r="G40" s="257" t="n">
        <x:f>IFERROR(B40/(B40+C40+D40+E40),0)</x:f>
        <x:v>0.3</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42a530d0de3431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c4bd856979d4b8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86a4a98f172428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3a3bbc0e518e41c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9cbb16c30c349d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3d2080664e04ff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a02e4e028f1460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cf14a562fcf4bd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U3 / Phase 13D IN PROGRESS — 13D-01 through 13D-03 PASS/CLOSED. Authenticated shell, enterprise Sidebar, AppTopbar and AppPageContext are standardized with deterministic shell rendering and preserved navigation/auth behavior. Next: 13D-04 Add Search / Ask Nexus global entry point.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2c95c80c84947b7"/>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5efe42b2d3a471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ddf56f57af24e3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c70ff1dd960400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