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4d272ee4e634d1d" /></Relationships>
</file>

<file path=xl/workbook.xml><?xml version="1.0" encoding="utf-8"?>
<x:workbook xmlns:x="http://schemas.openxmlformats.org/spreadsheetml/2006/main">
  <x:sheets>
    <x:sheet xmlns:r="http://schemas.openxmlformats.org/officeDocument/2006/relationships" name="01 Master Plan" sheetId="1" r:id="R2f36f5d0d02e42a7"/>
    <x:sheet xmlns:r="http://schemas.openxmlformats.org/officeDocument/2006/relationships" name="03 Launch Gates" sheetId="2" r:id="Rdda1eaffa82c43ee"/>
    <x:sheet xmlns:r="http://schemas.openxmlformats.org/officeDocument/2006/relationships" name="00 Dashboard" sheetId="3" r:id="R2f02d971c81a455a"/>
    <x:sheet xmlns:r="http://schemas.openxmlformats.org/officeDocument/2006/relationships" name="04 Cursor Tasks" sheetId="4" r:id="R19a62a3e6ba14914"/>
    <x:sheet xmlns:r="http://schemas.openxmlformats.org/officeDocument/2006/relationships" name="05 UAT Matrix" sheetId="5" r:id="Rfcbcecb18cc3450c"/>
    <x:sheet xmlns:r="http://schemas.openxmlformats.org/officeDocument/2006/relationships" name="06 Security Matrix" sheetId="6" r:id="Rfe514eef39ac4ab6"/>
    <x:sheet xmlns:r="http://schemas.openxmlformats.org/officeDocument/2006/relationships" name="07 Risks" sheetId="7" r:id="Rd31f4b8458de4f54"/>
    <x:sheet xmlns:r="http://schemas.openxmlformats.org/officeDocument/2006/relationships" name="08 Architecture" sheetId="8" r:id="R2b1d274e69fc4f9f"/>
    <x:sheet xmlns:r="http://schemas.openxmlformats.org/officeDocument/2006/relationships" name="09 Release Checklist" sheetId="9" r:id="R2ef612bbbe4643e2"/>
    <x:sheet xmlns:r="http://schemas.openxmlformats.org/officeDocument/2006/relationships" name="10 Change Log" sheetId="10" r:id="R6146092db5694638"/>
    <x:sheet xmlns:r="http://schemas.openxmlformats.org/officeDocument/2006/relationships" name="11 Scope &amp; Roadmap" sheetId="11" r:id="R3986753f30284272"/>
    <x:sheet xmlns:r="http://schemas.openxmlformats.org/officeDocument/2006/relationships" name="12 How to Use" sheetId="12" r:id="R375d9b0b2bd248b9"/>
    <x:sheet xmlns:r="http://schemas.openxmlformats.org/officeDocument/2006/relationships" name="13 UI Program" sheetId="13" r:id="Ra179d51d34044d16"/>
    <x:sheet xmlns:r="http://schemas.openxmlformats.org/officeDocument/2006/relationships" name="14 UI Scorecard" sheetId="14" r:id="R4a03c131f17f48b7"/>
    <x:sheet xmlns:r="http://schemas.openxmlformats.org/officeDocument/2006/relationships" name="15 Motion Guidance" sheetId="15" r:id="R90252432d3d74592"/>
    <x:sheet xmlns:r="http://schemas.openxmlformats.org/officeDocument/2006/relationships" name="16 Design Standards" sheetId="16" r:id="R04729e2436c4435f"/>
    <x:sheet xmlns:r="http://schemas.openxmlformats.org/officeDocument/2006/relationships" name="17 Corporate Platform" sheetId="17" r:id="Re88400b4e2644407"/>
    <x:sheet xmlns:r="http://schemas.openxmlformats.org/officeDocument/2006/relationships" name="18 Analytics Reuse Map" sheetId="18" r:id="R38a76a8fda514d8e"/>
    <x:sheet xmlns:r="http://schemas.openxmlformats.org/officeDocument/2006/relationships" name="19 Executive Insights Discovery" sheetId="19" r:id="Rdeb927248b9c4dc5"/>
    <x:sheet xmlns:r="http://schemas.openxmlformats.org/officeDocument/2006/relationships" name="20 Procurement Insights Discovery" sheetId="20" r:id="R343947ce5af449fd"/>
    <x:sheet xmlns:r="http://schemas.openxmlformats.org/officeDocument/2006/relationships" name="21 Commercial Insights Discovery" sheetId="21" r:id="R6d7cfc5e30b64391"/>
    <x:sheet xmlns:r="http://schemas.openxmlformats.org/officeDocument/2006/relationships" name="22 Project Insights Discovery" sheetId="22" r:id="Rcaee14cdaae94a4d"/>
    <x:sheet xmlns:r="http://schemas.openxmlformats.org/officeDocument/2006/relationships" name="23 Performance Discovery" sheetId="23" r:id="R6aa6f77242b245ff"/>
    <x:sheet xmlns:r="http://schemas.openxmlformats.org/officeDocument/2006/relationships" name="24 Risk Compliance Discovery" sheetId="24" r:id="Re748502df57248bf"/>
    <x:sheet xmlns:r="http://schemas.openxmlformats.org/officeDocument/2006/relationships" name="25 Commercial Handoff" sheetId="25" r:id="Re8ee05a7a8094a74"/>
    <x:sheet xmlns:r="http://schemas.openxmlformats.org/officeDocument/2006/relationships" name="26 RFQ Governance" sheetId="26" r:id="R8a801f939508435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bdef2b39607432e" /><Relationship Type="http://schemas.openxmlformats.org/officeDocument/2006/relationships/theme" Target="/xl/theme/theme1.xml" Id="R0d9e1b455f694be9" /><Relationship Type="http://schemas.openxmlformats.org/officeDocument/2006/relationships/sharedStrings" Target="/xl/sharedStrings.xml" Id="R9d1d7e02420149cd" /><Relationship Type="http://schemas.openxmlformats.org/officeDocument/2006/relationships/worksheet" Target="/xl/worksheets/sheet1.xml" Id="R2f36f5d0d02e42a7" /><Relationship Type="http://schemas.openxmlformats.org/officeDocument/2006/relationships/worksheet" Target="/xl/worksheets/sheet2.xml" Id="Rdda1eaffa82c43ee" /><Relationship Type="http://schemas.openxmlformats.org/officeDocument/2006/relationships/worksheet" Target="/xl/worksheets/sheet3.xml" Id="R2f02d971c81a455a" /><Relationship Type="http://schemas.openxmlformats.org/officeDocument/2006/relationships/worksheet" Target="/xl/worksheets/sheet4.xml" Id="R19a62a3e6ba14914" /><Relationship Type="http://schemas.openxmlformats.org/officeDocument/2006/relationships/worksheet" Target="/xl/worksheets/sheet5.xml" Id="Rfcbcecb18cc3450c" /><Relationship Type="http://schemas.openxmlformats.org/officeDocument/2006/relationships/worksheet" Target="/xl/worksheets/sheet6.xml" Id="Rfe514eef39ac4ab6" /><Relationship Type="http://schemas.openxmlformats.org/officeDocument/2006/relationships/worksheet" Target="/xl/worksheets/sheet7.xml" Id="Rd31f4b8458de4f54" /><Relationship Type="http://schemas.openxmlformats.org/officeDocument/2006/relationships/worksheet" Target="/xl/worksheets/sheet8.xml" Id="R2b1d274e69fc4f9f" /><Relationship Type="http://schemas.openxmlformats.org/officeDocument/2006/relationships/worksheet" Target="/xl/worksheets/sheet9.xml" Id="R2ef612bbbe4643e2" /><Relationship Type="http://schemas.openxmlformats.org/officeDocument/2006/relationships/worksheet" Target="/xl/worksheets/sheet10.xml" Id="R6146092db5694638" /><Relationship Type="http://schemas.openxmlformats.org/officeDocument/2006/relationships/worksheet" Target="/xl/worksheets/sheet11.xml" Id="R3986753f30284272" /><Relationship Type="http://schemas.openxmlformats.org/officeDocument/2006/relationships/worksheet" Target="/xl/worksheets/sheet12.xml" Id="R375d9b0b2bd248b9" /><Relationship Type="http://schemas.openxmlformats.org/officeDocument/2006/relationships/worksheet" Target="/xl/worksheets/sheet13.xml" Id="Ra179d51d34044d16" /><Relationship Type="http://schemas.openxmlformats.org/officeDocument/2006/relationships/worksheet" Target="/xl/worksheets/sheet14.xml" Id="R4a03c131f17f48b7" /><Relationship Type="http://schemas.openxmlformats.org/officeDocument/2006/relationships/worksheet" Target="/xl/worksheets/sheet15.xml" Id="R90252432d3d74592" /><Relationship Type="http://schemas.openxmlformats.org/officeDocument/2006/relationships/worksheet" Target="/xl/worksheets/sheet16.xml" Id="R04729e2436c4435f" /><Relationship Type="http://schemas.openxmlformats.org/officeDocument/2006/relationships/worksheet" Target="/xl/worksheets/sheet17.xml" Id="Re88400b4e2644407" /><Relationship Type="http://schemas.openxmlformats.org/officeDocument/2006/relationships/worksheet" Target="/xl/worksheets/sheet18.xml" Id="R38a76a8fda514d8e" /><Relationship Type="http://schemas.openxmlformats.org/officeDocument/2006/relationships/worksheet" Target="/xl/worksheets/sheet19.xml" Id="Rdeb927248b9c4dc5" /><Relationship Type="http://schemas.openxmlformats.org/officeDocument/2006/relationships/worksheet" Target="/xl/worksheets/sheet20.xml" Id="R343947ce5af449fd" /><Relationship Type="http://schemas.openxmlformats.org/officeDocument/2006/relationships/worksheet" Target="/xl/worksheets/sheet21.xml" Id="R6d7cfc5e30b64391" /><Relationship Type="http://schemas.openxmlformats.org/officeDocument/2006/relationships/worksheet" Target="/xl/worksheets/sheet22.xml" Id="Rcaee14cdaae94a4d" /><Relationship Type="http://schemas.openxmlformats.org/officeDocument/2006/relationships/worksheet" Target="/xl/worksheets/sheet23.xml" Id="R6aa6f77242b245ff" /><Relationship Type="http://schemas.openxmlformats.org/officeDocument/2006/relationships/worksheet" Target="/xl/worksheets/sheet24.xml" Id="Re748502df57248bf" /><Relationship Type="http://schemas.openxmlformats.org/officeDocument/2006/relationships/worksheet" Target="/xl/worksheets/sheet25.xml" Id="Re8ee05a7a8094a74" /><Relationship Type="http://schemas.openxmlformats.org/officeDocument/2006/relationships/worksheet" Target="/xl/worksheets/sheet26.xml" Id="R8a801f9395084350" /></Relationships>
</file>

<file path=xl/drawings/_rels/drawing1.xml.rels>&#65279;<?xml version="1.0" encoding="utf-8"?><Relationships xmlns="http://schemas.openxmlformats.org/package/2006/relationships"><Relationship Type="http://schemas.openxmlformats.org/officeDocument/2006/relationships/chart" Target="/xl/drawings/charts/chart1.xml" Id="R0be2c3dee89d4df1"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be2c3dee89d4df1"/>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798ccf42f2a4861" /></Relationships>
</file>

<file path=xl/worksheets/_rels/sheet2.xml.rels>&#65279;<?xml version="1.0" encoding="utf-8"?><Relationships xmlns="http://schemas.openxmlformats.org/package/2006/relationships"><Relationship Type="http://schemas.openxmlformats.org/officeDocument/2006/relationships/table" Target="/xl/tables/table2.xml" Id="R50c39dd1163d4572" /></Relationships>
</file>

<file path=xl/worksheets/_rels/sheet3.xml.rels>&#65279;<?xml version="1.0" encoding="utf-8"?><Relationships xmlns="http://schemas.openxmlformats.org/package/2006/relationships"><Relationship Type="http://schemas.openxmlformats.org/officeDocument/2006/relationships/drawing" Target="/xl/drawings/drawing1.xml" Id="Rf416e3baed594d31" /></Relationships>
</file>

<file path=xl/worksheets/_rels/sheet4.xml.rels>&#65279;<?xml version="1.0" encoding="utf-8"?><Relationships xmlns="http://schemas.openxmlformats.org/package/2006/relationships"><Relationship Type="http://schemas.openxmlformats.org/officeDocument/2006/relationships/table" Target="/xl/tables/table3.xml" Id="R5ce6137cd15f4dfd" /></Relationships>
</file>

<file path=xl/worksheets/_rels/sheet5.xml.rels>&#65279;<?xml version="1.0" encoding="utf-8"?><Relationships xmlns="http://schemas.openxmlformats.org/package/2006/relationships"><Relationship Type="http://schemas.openxmlformats.org/officeDocument/2006/relationships/table" Target="/xl/tables/table4.xml" Id="R1d98db21874a4eb8" /></Relationships>
</file>

<file path=xl/worksheets/_rels/sheet6.xml.rels>&#65279;<?xml version="1.0" encoding="utf-8"?><Relationships xmlns="http://schemas.openxmlformats.org/package/2006/relationships"><Relationship Type="http://schemas.openxmlformats.org/officeDocument/2006/relationships/table" Target="/xl/tables/table5.xml" Id="R733b940a586148b5" /></Relationships>
</file>

<file path=xl/worksheets/_rels/sheet7.xml.rels>&#65279;<?xml version="1.0" encoding="utf-8"?><Relationships xmlns="http://schemas.openxmlformats.org/package/2006/relationships"><Relationship Type="http://schemas.openxmlformats.org/officeDocument/2006/relationships/table" Target="/xl/tables/table6.xml" Id="Rc839e5992fac40b8" /></Relationships>
</file>

<file path=xl/worksheets/_rels/sheet9.xml.rels>&#65279;<?xml version="1.0" encoding="utf-8"?><Relationships xmlns="http://schemas.openxmlformats.org/package/2006/relationships"><Relationship Type="http://schemas.openxmlformats.org/officeDocument/2006/relationships/table" Target="/xl/tables/table7.xml" Id="Rf30db15d3e6343f5" /></Relationships>
</file>

<file path=xl/worksheets/_rels/sheet10.xml.rels>&#65279;<?xml version="1.0" encoding="utf-8"?><Relationships xmlns="http://schemas.openxmlformats.org/package/2006/relationships"><Relationship Type="http://schemas.openxmlformats.org/officeDocument/2006/relationships/table" Target="/xl/tables/table8.xml" Id="R775c8c5df97e464d" /></Relationships>
</file>

<file path=xl/worksheets/_rels/sheet11.xml.rels>&#65279;<?xml version="1.0" encoding="utf-8"?><Relationships xmlns="http://schemas.openxmlformats.org/package/2006/relationships"><Relationship Type="http://schemas.openxmlformats.org/officeDocument/2006/relationships/table" Target="/xl/tables/table9.xml" Id="Rbbecdf2b25cb400b" /></Relationships>
</file>

<file path=xl/worksheets/_rels/sheet13.xml.rels>&#65279;<?xml version="1.0" encoding="utf-8"?><Relationships xmlns="http://schemas.openxmlformats.org/package/2006/relationships"><Relationship Type="http://schemas.openxmlformats.org/officeDocument/2006/relationships/table" Target="/xl/tables/table10.xml" Id="R573260c3f8f54984" /></Relationships>
</file>

<file path=xl/worksheets/_rels/sheet14.xml.rels>&#65279;<?xml version="1.0" encoding="utf-8"?><Relationships xmlns="http://schemas.openxmlformats.org/package/2006/relationships"><Relationship Type="http://schemas.openxmlformats.org/officeDocument/2006/relationships/table" Target="/xl/tables/table11.xml" Id="R1f5464f717aa4269" /></Relationships>
</file>

<file path=xl/worksheets/_rels/sheet15.xml.rels>&#65279;<?xml version="1.0" encoding="utf-8"?><Relationships xmlns="http://schemas.openxmlformats.org/package/2006/relationships"><Relationship Type="http://schemas.openxmlformats.org/officeDocument/2006/relationships/table" Target="/xl/tables/table12.xml" Id="Rd4027e5b5a4b4a8d" /></Relationships>
</file>

<file path=xl/worksheets/_rels/sheet16.xml.rels>&#65279;<?xml version="1.0" encoding="utf-8"?><Relationships xmlns="http://schemas.openxmlformats.org/package/2006/relationships"><Relationship Type="http://schemas.openxmlformats.org/officeDocument/2006/relationships/table" Target="/xl/tables/table13.xml" Id="R03529d19ebc04a90"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v>✓</x:v>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str">
        <x:v>Completed</x:v>
      </x:c>
      <x:c r="I317" s="133" t="str">
        <x:v>Project Owner / Product / Engineering</x:v>
      </x:c>
      <x:c r="J317" s="133" t="str"/>
      <x:c r="K317" s="133" t="inlineStr">
        <x:is>
          <x:t xml:space="preserve">13G-10</x:t>
        </x:is>
      </x:c>
      <x:c r="L317" s="133" t="str"/>
      <x:c r="M317" s="133" t="str">
        <x:v>PASS / RESPONDENT RFQ REVIEW &amp; SCOPING UPGRADE PUBLISHED — Commit 5de338c618ce9d227654e1b744e591c362fad3bb changes exactly three authorized files: src/components/rfq-workspace/rfq-procurement-context.tsx, src/components/rfq-workspace/rfq-governance-controls.tsx, and src/components/rfq-workspace/rfq-document-requirements.tsx. Respondent procurement-model, governance/confidentiality, and required-document review surfaces now reuse shared Executive Design System contracts while preserving read-only access, governed requirement mutation boundaries, safe aggregate confidentiality, and respondent commercial agency.</x:v>
      </x:c>
      <x:c r="N317" s="249" t="n"/>
      <x:c r="O317" s="249" t="n">
        <x:v>46296</x:v>
      </x:c>
      <x:c r="P317" s="135" t="str">
        <x:v>Validation before publication: focused tests PASS (89/89), lint PASS, build PASS, git diff --check PASS; accessibility PASS; no horizontal overflow reported. Visual verification was PARTIAL because respondent Document Requirements was exercised at desktop/tablet/mobile while Procurement Context and Governance Notices are not mounted in the visual-QA fixture; those surfaces were code/contract verified. Remote verification confirmed branch commit 5de338c618ce9d227654e1b744e591c362fad3bb and exactly three changed files, all within the authorized respondent review/scoping presentation scope. Procurement context, sourcing/framework and commercial-control semantics, buyer reservation rights, confidentiality/anti-collusion, blind-bidding controls and safe aggregate quote-count semantics remained unchanged. Document requirement Complete/Incomplete/No Requirements Declared, Required Present/Missing/Not Declared and unavailable-state semantics remained unchanged. Respondent mode remained read-only; issuer mutation controls, governed package-change events/focus/API behavior remained unchanged. No automated bid/no-bid recommendation, new ambiguity/risk score, buyer-only intelligence exposure, business/auth/API/data/database, parent RFQ page, ScopeReview, respondent RFI, quote-submission or unrelated change was introduced. Implementation visual rescore reported 9.34/10 overall. Next executable canonical task: 13H-08 — Upgrade Respondent RFI &amp; Clarifications.</x:v>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d798ccf42f2a4861"/>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50c39dd1163d4572"/>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334</x:v>
      </x:c>
      <x:c r="D6" s="133" t="inlineStr">
        <x:is>
          <x:t xml:space="preserve">G0A — Corporate platform architecture ready</x:t>
        </x:is>
      </x:c>
      <x:c r="E6" s="32" t="str">
        <x:f>'03 Launch Gates'!D20</x:f>
        <x:v>Completed</x:v>
      </x:c>
      <x:c r="G6" t="inlineStr">
        <x:is>
          <x:t xml:space="preserve">UI Tasks Complete</x:t>
        </x:is>
      </x:c>
      <x:c r="H6" t="n">
        <x:f>SUM(B36:B46)</x:f>
        <x:v>112</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0.9100817438692098</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0.9345454545454546</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7</x:v>
      </x:c>
      <x:c r="C44" s="28" t="n">
        <x:f>COUNTIFS('01 Master Plan'!C$5:C$383,A44,'01 Master Plan'!H$5:H$383,"In Progress")</x:f>
        <x:v>0</x:v>
      </x:c>
      <x:c r="D44" s="28" t="n">
        <x:f>COUNTIFS('01 Master Plan'!C$5:C$383,A44,'01 Master Plan'!H$5:H$383,"Not Started")</x:f>
        <x:v>13</x:v>
      </x:c>
      <x:c r="E44" s="28" t="n">
        <x:f>COUNTIFS('01 Master Plan'!C$5:C$383,A44,'01 Master Plan'!H$5:H$383,"Blocked")</x:f>
        <x:v>0</x:v>
      </x:c>
      <x:c r="F44" s="28" t="n">
        <x:f>COUNTIFS('01 Master Plan'!C$5:C$383,A44,'01 Master Plan'!H$5:H$383,"Deferred")</x:f>
        <x:v>0</x:v>
      </x:c>
      <x:c r="G44" s="258" t="n">
        <x:f>IFERROR(B44/(B44+C44+D44+E44),0)</x:f>
        <x:v>0.35</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f416e3baed594d31"/>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5ce6137cd15f4dfd"/>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1d98db21874a4eb8"/>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733b940a586148b5"/>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c839e5992fac40b8"/>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f30db15d3e6343f5"/>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row r="1273">
      <x:c r="A1273" t="n">
        <x:v>46296</x:v>
      </x:c>
      <x:c r="B1273" t="str">
        <x:v>Phase 13H / 13H-07</x:v>
      </x:c>
      <x:c r="C1273" t="str">
        <x:v>13H-07 Respondent RFQ Review &amp; Scoping Upgrade Published</x:v>
      </x:c>
      <x:c r="D1273" t="str">
        <x:v>executive-benchmark-engine</x:v>
      </x:c>
      <x:c r="E1273" t="str">
        <x:v>5de338c618ce9d227654e1b744e591c362fad3bb</x:v>
      </x:c>
      <x:c r="F1273" t="str">
        <x:v>Published presentation-only upgrades to respondent procurement context, governance/confidentiality notices, and required-document review surfaces using shared Executive Design System contracts.</x:v>
      </x:c>
      <x:c r="G1273" t="str">
        <x:v>Exactly three authorized files changed. Focused tests 89/89 PASS; lint/build/diff-check PASS; accessibility PASS; respondent Document Requirements responsive QA passed with remaining surfaces code/contract verified.</x:v>
      </x:c>
      <x:c r="H1273" t="str">
        <x:v>PASS / 13H-07 CLOSED / PUBLISHED</x:v>
      </x:c>
      <x:c r="I1273" t="str">
        <x:v>Respondent read-only behavior, confidentiality/safe aggregate semantics, governed requirement mutation and handoff contracts, and commercial agency remained unchanged. No automated bid/no-bid recommendation or buyer-only intelligence was introduced.</x:v>
      </x:c>
      <x:c r="J1273" t="str">
        <x:v>Next executable canonical task: Phase 13H / 13H-08 — Upgrade Respondent RFI &amp; Clarifications.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775c8c5df97e464d"/>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bbecdf2b25cb400b"/>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In Progress</x:v>
      </x:c>
      <x:c r="J12" s="133" t="str">
        <x:v>U7 / Phase 13H IN PROGRESS — 13H-01 through 13H-07 PASS/CLOSED/PUBLISHED. Issuer and respondent core review surfaces now use the shared Executive Design System while preserving procurement confidentiality, governance, respondent agency and governed package-change semantics. Next executable canonical task: 13H-08 Upgrade Respondent RFI &amp; Clarifications.</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573260c3f8f54984"/>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1f5464f717aa4269"/>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d4027e5b5a4b4a8d"/>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03529d19ebc04a90"/>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