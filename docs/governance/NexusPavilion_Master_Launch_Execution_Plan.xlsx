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42639d96f794497" /></Relationships>
</file>

<file path=xl/workbook.xml><?xml version="1.0" encoding="utf-8"?>
<x:workbook xmlns:x="http://schemas.openxmlformats.org/spreadsheetml/2006/main">
  <x:sheets>
    <x:sheet xmlns:r="http://schemas.openxmlformats.org/officeDocument/2006/relationships" name="01 Master Plan" sheetId="1" r:id="Rc0e2e27d3ea64231"/>
    <x:sheet xmlns:r="http://schemas.openxmlformats.org/officeDocument/2006/relationships" name="03 Launch Gates" sheetId="2" r:id="R9f2b158b3b674f60"/>
    <x:sheet xmlns:r="http://schemas.openxmlformats.org/officeDocument/2006/relationships" name="00 Dashboard" sheetId="3" r:id="R199fd8dc74454b25"/>
    <x:sheet xmlns:r="http://schemas.openxmlformats.org/officeDocument/2006/relationships" name="04 Cursor Tasks" sheetId="4" r:id="R2758a8f1fe8d4b8a"/>
    <x:sheet xmlns:r="http://schemas.openxmlformats.org/officeDocument/2006/relationships" name="05 UAT Matrix" sheetId="5" r:id="Rc3edb74a2fcf49c3"/>
    <x:sheet xmlns:r="http://schemas.openxmlformats.org/officeDocument/2006/relationships" name="06 Security Matrix" sheetId="6" r:id="Re1b61e6dbf4f4e02"/>
    <x:sheet xmlns:r="http://schemas.openxmlformats.org/officeDocument/2006/relationships" name="07 Risks" sheetId="7" r:id="Rd91a8f917ff9473a"/>
    <x:sheet xmlns:r="http://schemas.openxmlformats.org/officeDocument/2006/relationships" name="08 Architecture" sheetId="8" r:id="R7d4297e936564f97"/>
    <x:sheet xmlns:r="http://schemas.openxmlformats.org/officeDocument/2006/relationships" name="09 Release Checklist" sheetId="9" r:id="R58b4f123e7ba4b28"/>
    <x:sheet xmlns:r="http://schemas.openxmlformats.org/officeDocument/2006/relationships" name="10 Change Log" sheetId="10" r:id="Rdc1136fae1c54304"/>
    <x:sheet xmlns:r="http://schemas.openxmlformats.org/officeDocument/2006/relationships" name="11 Scope &amp; Roadmap" sheetId="11" r:id="R53e3df65b807450f"/>
    <x:sheet xmlns:r="http://schemas.openxmlformats.org/officeDocument/2006/relationships" name="12 How to Use" sheetId="12" r:id="Rd8278e0d71be438b"/>
    <x:sheet xmlns:r="http://schemas.openxmlformats.org/officeDocument/2006/relationships" name="13 UI Program" sheetId="13" r:id="R704d32cf94a1480c"/>
    <x:sheet xmlns:r="http://schemas.openxmlformats.org/officeDocument/2006/relationships" name="14 UI Scorecard" sheetId="14" r:id="Re0b872c09125452f"/>
    <x:sheet xmlns:r="http://schemas.openxmlformats.org/officeDocument/2006/relationships" name="15 Motion Guidance" sheetId="15" r:id="R0323dcfa2f0c417d"/>
    <x:sheet xmlns:r="http://schemas.openxmlformats.org/officeDocument/2006/relationships" name="16 Design Standards" sheetId="16" r:id="R77c1d21051ea4e7b"/>
    <x:sheet xmlns:r="http://schemas.openxmlformats.org/officeDocument/2006/relationships" name="17 Corporate Platform" sheetId="17" r:id="R7c206ec92b744696"/>
    <x:sheet xmlns:r="http://schemas.openxmlformats.org/officeDocument/2006/relationships" name="18 Analytics Reuse Map" sheetId="18" r:id="Rc15daacd5163493f"/>
    <x:sheet xmlns:r="http://schemas.openxmlformats.org/officeDocument/2006/relationships" name="19 Executive Insights Discovery" sheetId="19" r:id="R9863b43c3c17469b"/>
    <x:sheet xmlns:r="http://schemas.openxmlformats.org/officeDocument/2006/relationships" name="20 Procurement Insights Discovery" sheetId="20" r:id="R8fdfe34b39614d26"/>
    <x:sheet xmlns:r="http://schemas.openxmlformats.org/officeDocument/2006/relationships" name="21 Commercial Insights Discovery" sheetId="21" r:id="R3735ace7ffe84150"/>
    <x:sheet xmlns:r="http://schemas.openxmlformats.org/officeDocument/2006/relationships" name="22 Project Insights Discovery" sheetId="22" r:id="R9103714753ae42af"/>
    <x:sheet xmlns:r="http://schemas.openxmlformats.org/officeDocument/2006/relationships" name="23 Performance Discovery" sheetId="23" r:id="R488663c641764a11"/>
    <x:sheet xmlns:r="http://schemas.openxmlformats.org/officeDocument/2006/relationships" name="24 Risk Compliance Discovery" sheetId="24" r:id="Rac64c7b9db8c4a47"/>
    <x:sheet xmlns:r="http://schemas.openxmlformats.org/officeDocument/2006/relationships" name="25 Commercial Handoff" sheetId="25" r:id="R6ad9f544665844b6"/>
    <x:sheet xmlns:r="http://schemas.openxmlformats.org/officeDocument/2006/relationships" name="26 RFQ Governance" sheetId="26" r:id="R213d5abb274344c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ee98a6dc65140eb" /><Relationship Type="http://schemas.openxmlformats.org/officeDocument/2006/relationships/theme" Target="/xl/theme/theme1.xml" Id="R0e4a6cd5f7ff4c5d" /><Relationship Type="http://schemas.openxmlformats.org/officeDocument/2006/relationships/sharedStrings" Target="/xl/sharedStrings.xml" Id="Rb395a75b72d649fa" /><Relationship Type="http://schemas.openxmlformats.org/officeDocument/2006/relationships/worksheet" Target="/xl/worksheets/sheet1.xml" Id="Rc0e2e27d3ea64231" /><Relationship Type="http://schemas.openxmlformats.org/officeDocument/2006/relationships/worksheet" Target="/xl/worksheets/sheet2.xml" Id="R9f2b158b3b674f60" /><Relationship Type="http://schemas.openxmlformats.org/officeDocument/2006/relationships/worksheet" Target="/xl/worksheets/sheet3.xml" Id="R199fd8dc74454b25" /><Relationship Type="http://schemas.openxmlformats.org/officeDocument/2006/relationships/worksheet" Target="/xl/worksheets/sheet4.xml" Id="R2758a8f1fe8d4b8a" /><Relationship Type="http://schemas.openxmlformats.org/officeDocument/2006/relationships/worksheet" Target="/xl/worksheets/sheet5.xml" Id="Rc3edb74a2fcf49c3" /><Relationship Type="http://schemas.openxmlformats.org/officeDocument/2006/relationships/worksheet" Target="/xl/worksheets/sheet6.xml" Id="Re1b61e6dbf4f4e02" /><Relationship Type="http://schemas.openxmlformats.org/officeDocument/2006/relationships/worksheet" Target="/xl/worksheets/sheet7.xml" Id="Rd91a8f917ff9473a" /><Relationship Type="http://schemas.openxmlformats.org/officeDocument/2006/relationships/worksheet" Target="/xl/worksheets/sheet8.xml" Id="R7d4297e936564f97" /><Relationship Type="http://schemas.openxmlformats.org/officeDocument/2006/relationships/worksheet" Target="/xl/worksheets/sheet9.xml" Id="R58b4f123e7ba4b28" /><Relationship Type="http://schemas.openxmlformats.org/officeDocument/2006/relationships/worksheet" Target="/xl/worksheets/sheet10.xml" Id="Rdc1136fae1c54304" /><Relationship Type="http://schemas.openxmlformats.org/officeDocument/2006/relationships/worksheet" Target="/xl/worksheets/sheet11.xml" Id="R53e3df65b807450f" /><Relationship Type="http://schemas.openxmlformats.org/officeDocument/2006/relationships/worksheet" Target="/xl/worksheets/sheet12.xml" Id="Rd8278e0d71be438b" /><Relationship Type="http://schemas.openxmlformats.org/officeDocument/2006/relationships/worksheet" Target="/xl/worksheets/sheet13.xml" Id="R704d32cf94a1480c" /><Relationship Type="http://schemas.openxmlformats.org/officeDocument/2006/relationships/worksheet" Target="/xl/worksheets/sheet14.xml" Id="Re0b872c09125452f" /><Relationship Type="http://schemas.openxmlformats.org/officeDocument/2006/relationships/worksheet" Target="/xl/worksheets/sheet15.xml" Id="R0323dcfa2f0c417d" /><Relationship Type="http://schemas.openxmlformats.org/officeDocument/2006/relationships/worksheet" Target="/xl/worksheets/sheet16.xml" Id="R77c1d21051ea4e7b" /><Relationship Type="http://schemas.openxmlformats.org/officeDocument/2006/relationships/worksheet" Target="/xl/worksheets/sheet17.xml" Id="R7c206ec92b744696" /><Relationship Type="http://schemas.openxmlformats.org/officeDocument/2006/relationships/worksheet" Target="/xl/worksheets/sheet18.xml" Id="Rc15daacd5163493f" /><Relationship Type="http://schemas.openxmlformats.org/officeDocument/2006/relationships/worksheet" Target="/xl/worksheets/sheet19.xml" Id="R9863b43c3c17469b" /><Relationship Type="http://schemas.openxmlformats.org/officeDocument/2006/relationships/worksheet" Target="/xl/worksheets/sheet20.xml" Id="R8fdfe34b39614d26" /><Relationship Type="http://schemas.openxmlformats.org/officeDocument/2006/relationships/worksheet" Target="/xl/worksheets/sheet21.xml" Id="R3735ace7ffe84150" /><Relationship Type="http://schemas.openxmlformats.org/officeDocument/2006/relationships/worksheet" Target="/xl/worksheets/sheet22.xml" Id="R9103714753ae42af" /><Relationship Type="http://schemas.openxmlformats.org/officeDocument/2006/relationships/worksheet" Target="/xl/worksheets/sheet23.xml" Id="R488663c641764a11" /><Relationship Type="http://schemas.openxmlformats.org/officeDocument/2006/relationships/worksheet" Target="/xl/worksheets/sheet24.xml" Id="Rac64c7b9db8c4a47" /><Relationship Type="http://schemas.openxmlformats.org/officeDocument/2006/relationships/worksheet" Target="/xl/worksheets/sheet25.xml" Id="R6ad9f544665844b6" /><Relationship Type="http://schemas.openxmlformats.org/officeDocument/2006/relationships/worksheet" Target="/xl/worksheets/sheet26.xml" Id="R213d5abb274344c2" /></Relationships>
</file>

<file path=xl/drawings/_rels/drawing1.xml.rels>&#65279;<?xml version="1.0" encoding="utf-8"?><Relationships xmlns="http://schemas.openxmlformats.org/package/2006/relationships"><Relationship Type="http://schemas.openxmlformats.org/officeDocument/2006/relationships/chart" Target="/xl/drawings/charts/chart1.xml" Id="R334c5eaeec194c2e"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34c5eaeec194c2e"/>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c56c73756bc4904" /></Relationships>
</file>

<file path=xl/worksheets/_rels/sheet2.xml.rels>&#65279;<?xml version="1.0" encoding="utf-8"?><Relationships xmlns="http://schemas.openxmlformats.org/package/2006/relationships"><Relationship Type="http://schemas.openxmlformats.org/officeDocument/2006/relationships/table" Target="/xl/tables/table2.xml" Id="Rd4396671caf443fe" /></Relationships>
</file>

<file path=xl/worksheets/_rels/sheet3.xml.rels>&#65279;<?xml version="1.0" encoding="utf-8"?><Relationships xmlns="http://schemas.openxmlformats.org/package/2006/relationships"><Relationship Type="http://schemas.openxmlformats.org/officeDocument/2006/relationships/drawing" Target="/xl/drawings/drawing1.xml" Id="Rec01829fb3d2444f" /></Relationships>
</file>

<file path=xl/worksheets/_rels/sheet4.xml.rels>&#65279;<?xml version="1.0" encoding="utf-8"?><Relationships xmlns="http://schemas.openxmlformats.org/package/2006/relationships"><Relationship Type="http://schemas.openxmlformats.org/officeDocument/2006/relationships/table" Target="/xl/tables/table3.xml" Id="R88433b6207164457" /></Relationships>
</file>

<file path=xl/worksheets/_rels/sheet5.xml.rels>&#65279;<?xml version="1.0" encoding="utf-8"?><Relationships xmlns="http://schemas.openxmlformats.org/package/2006/relationships"><Relationship Type="http://schemas.openxmlformats.org/officeDocument/2006/relationships/table" Target="/xl/tables/table4.xml" Id="Ra214f883372649c2" /></Relationships>
</file>

<file path=xl/worksheets/_rels/sheet6.xml.rels>&#65279;<?xml version="1.0" encoding="utf-8"?><Relationships xmlns="http://schemas.openxmlformats.org/package/2006/relationships"><Relationship Type="http://schemas.openxmlformats.org/officeDocument/2006/relationships/table" Target="/xl/tables/table5.xml" Id="Rc68fb1d7def04475" /></Relationships>
</file>

<file path=xl/worksheets/_rels/sheet7.xml.rels>&#65279;<?xml version="1.0" encoding="utf-8"?><Relationships xmlns="http://schemas.openxmlformats.org/package/2006/relationships"><Relationship Type="http://schemas.openxmlformats.org/officeDocument/2006/relationships/table" Target="/xl/tables/table6.xml" Id="Rbc42682ac6744ae9" /></Relationships>
</file>

<file path=xl/worksheets/_rels/sheet9.xml.rels>&#65279;<?xml version="1.0" encoding="utf-8"?><Relationships xmlns="http://schemas.openxmlformats.org/package/2006/relationships"><Relationship Type="http://schemas.openxmlformats.org/officeDocument/2006/relationships/table" Target="/xl/tables/table7.xml" Id="R4d45e0e842564fdc" /></Relationships>
</file>

<file path=xl/worksheets/_rels/sheet10.xml.rels>&#65279;<?xml version="1.0" encoding="utf-8"?><Relationships xmlns="http://schemas.openxmlformats.org/package/2006/relationships"><Relationship Type="http://schemas.openxmlformats.org/officeDocument/2006/relationships/table" Target="/xl/tables/table8.xml" Id="Rf81c22d61a5d4a7a" /></Relationships>
</file>

<file path=xl/worksheets/_rels/sheet11.xml.rels>&#65279;<?xml version="1.0" encoding="utf-8"?><Relationships xmlns="http://schemas.openxmlformats.org/package/2006/relationships"><Relationship Type="http://schemas.openxmlformats.org/officeDocument/2006/relationships/table" Target="/xl/tables/table9.xml" Id="R75f01e56f66f4d97" /></Relationships>
</file>

<file path=xl/worksheets/_rels/sheet13.xml.rels>&#65279;<?xml version="1.0" encoding="utf-8"?><Relationships xmlns="http://schemas.openxmlformats.org/package/2006/relationships"><Relationship Type="http://schemas.openxmlformats.org/officeDocument/2006/relationships/table" Target="/xl/tables/table10.xml" Id="Ra93833dae34d48a1" /></Relationships>
</file>

<file path=xl/worksheets/_rels/sheet14.xml.rels>&#65279;<?xml version="1.0" encoding="utf-8"?><Relationships xmlns="http://schemas.openxmlformats.org/package/2006/relationships"><Relationship Type="http://schemas.openxmlformats.org/officeDocument/2006/relationships/table" Target="/xl/tables/table11.xml" Id="R23dd44697b63479f" /></Relationships>
</file>

<file path=xl/worksheets/_rels/sheet15.xml.rels>&#65279;<?xml version="1.0" encoding="utf-8"?><Relationships xmlns="http://schemas.openxmlformats.org/package/2006/relationships"><Relationship Type="http://schemas.openxmlformats.org/officeDocument/2006/relationships/table" Target="/xl/tables/table12.xml" Id="R73d57194a1b54f9a" /></Relationships>
</file>

<file path=xl/worksheets/_rels/sheet16.xml.rels>&#65279;<?xml version="1.0" encoding="utf-8"?><Relationships xmlns="http://schemas.openxmlformats.org/package/2006/relationships"><Relationship Type="http://schemas.openxmlformats.org/officeDocument/2006/relationships/table" Target="/xl/tables/table13.xml" Id="Rb2fd39491ebb4cd4"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ec56c73756bc4904"/>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d4396671caf443fe"/>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282</x:v>
      </x:c>
      <x:c r="D6" s="133" t="inlineStr">
        <x:is>
          <x:t xml:space="preserve">G0A — Corporate platform architecture ready</x:t>
        </x:is>
      </x:c>
      <x:c r="E6" s="32" t="str">
        <x:f>'03 Launch Gates'!D20</x:f>
        <x:v>Completed</x:v>
      </x:c>
      <x:c r="G6" t="inlineStr">
        <x:is>
          <x:t xml:space="preserve">UI Tasks Complete</x:t>
        </x:is>
      </x:c>
      <x:c r="H6" t="n">
        <x:f>SUM(B36:B46)</x:f>
        <x:v>60</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0.7683923705722071</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13</x:v>
      </x:c>
      <x:c r="C38" s="133" t="n">
        <x:f>COUNTIFS('01 Master Plan'!C$5:C$383,A38,'01 Master Plan'!H$5:H$383,"In Progress")</x:f>
        <x:v>0</x:v>
      </x:c>
      <x:c r="D38" s="133" t="n">
        <x:f>COUNTIFS('01 Master Plan'!C$5:C$383,A38,'01 Master Plan'!H$5:H$383,"Not Started")</x:f>
        <x:v>4</x:v>
      </x:c>
      <x:c r="E38" s="133" t="n">
        <x:f>COUNTIFS('01 Master Plan'!C$5:C$383,A38,'01 Master Plan'!H$5:H$383,"Blocked")</x:f>
        <x:v>0</x:v>
      </x:c>
      <x:c r="F38" s="133" t="n">
        <x:f>COUNTIFS('01 Master Plan'!C$5:C$383,A38,'01 Master Plan'!H$5:H$383,"Deferred")</x:f>
        <x:v>0</x:v>
      </x:c>
      <x:c r="G38" s="255" t="n">
        <x:f>IFERROR(B38/(B38+C38+D38+E38),0)</x:f>
        <x:v>0.7647058823529411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ec01829fb3d2444f"/>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88433b6207164457"/>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a214f883372649c2"/>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c68fb1d7def04475"/>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bc42682ac6744ae9"/>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4d45e0e842564fdc"/>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f81c22d61a5d4a7a"/>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75f01e56f66f4d97"/>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U2 / Phase 13C IN PROGRESS — 13C-01 through 13C-13 complete: buttons, form controls, date/deadline controls, badges/status chips, card roles, enterprise tables, confirmation dialogs, drawer/side-panel contract, tooltip/popover contract, toast/inline-feedback contract, loading/skeleton/progress contract, empty-state contract, and error-state contract. Next: 13C-14 Create workflow stepper component.</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a93833dae34d48a1"/>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23dd44697b63479f"/>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73d57194a1b54f9a"/>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b2fd39491ebb4cd4"/>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