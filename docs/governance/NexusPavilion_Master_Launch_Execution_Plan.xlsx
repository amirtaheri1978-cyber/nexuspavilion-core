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ae7632a46184b6c" /></Relationships>
</file>

<file path=xl/workbook.xml><?xml version="1.0" encoding="utf-8"?>
<x:workbook xmlns:x="http://schemas.openxmlformats.org/spreadsheetml/2006/main">
  <x:sheets>
    <x:sheet xmlns:r="http://schemas.openxmlformats.org/officeDocument/2006/relationships" name="01 Master Plan" sheetId="1" r:id="R2f278e10cbcb4394"/>
    <x:sheet xmlns:r="http://schemas.openxmlformats.org/officeDocument/2006/relationships" name="03 Launch Gates" sheetId="2" r:id="R4185b60b17764829"/>
    <x:sheet xmlns:r="http://schemas.openxmlformats.org/officeDocument/2006/relationships" name="00 Dashboard" sheetId="3" r:id="Ree7dcc55cbf04b4f"/>
    <x:sheet xmlns:r="http://schemas.openxmlformats.org/officeDocument/2006/relationships" name="04 Cursor Tasks" sheetId="4" r:id="Rc8054ec2b8bf47dc"/>
    <x:sheet xmlns:r="http://schemas.openxmlformats.org/officeDocument/2006/relationships" name="05 UAT Matrix" sheetId="5" r:id="R60a158e9dc704e90"/>
    <x:sheet xmlns:r="http://schemas.openxmlformats.org/officeDocument/2006/relationships" name="06 Security Matrix" sheetId="6" r:id="R0312a93f8e964eff"/>
    <x:sheet xmlns:r="http://schemas.openxmlformats.org/officeDocument/2006/relationships" name="07 Risks" sheetId="7" r:id="Rddff3d416d62416c"/>
    <x:sheet xmlns:r="http://schemas.openxmlformats.org/officeDocument/2006/relationships" name="08 Architecture" sheetId="8" r:id="Rf0b38e593a484e8d"/>
    <x:sheet xmlns:r="http://schemas.openxmlformats.org/officeDocument/2006/relationships" name="09 Release Checklist" sheetId="9" r:id="Re4ba114bb11c4e88"/>
    <x:sheet xmlns:r="http://schemas.openxmlformats.org/officeDocument/2006/relationships" name="10 Change Log" sheetId="10" r:id="Rc5ba28337e684d8d"/>
    <x:sheet xmlns:r="http://schemas.openxmlformats.org/officeDocument/2006/relationships" name="11 Scope &amp; Roadmap" sheetId="11" r:id="Ra71eed97d6994c7f"/>
    <x:sheet xmlns:r="http://schemas.openxmlformats.org/officeDocument/2006/relationships" name="12 How to Use" sheetId="12" r:id="R91365782bb01476f"/>
    <x:sheet xmlns:r="http://schemas.openxmlformats.org/officeDocument/2006/relationships" name="13 UI Program" sheetId="13" r:id="R32826b2ea14c4731"/>
    <x:sheet xmlns:r="http://schemas.openxmlformats.org/officeDocument/2006/relationships" name="14 UI Scorecard" sheetId="14" r:id="R82ba16d0b5004a46"/>
    <x:sheet xmlns:r="http://schemas.openxmlformats.org/officeDocument/2006/relationships" name="15 Motion Guidance" sheetId="15" r:id="R7f11010837de48b5"/>
    <x:sheet xmlns:r="http://schemas.openxmlformats.org/officeDocument/2006/relationships" name="16 Design Standards" sheetId="16" r:id="R2a0297ed8be846cc"/>
    <x:sheet xmlns:r="http://schemas.openxmlformats.org/officeDocument/2006/relationships" name="17 Corporate Platform" sheetId="17" r:id="R9053e2f31b6d40b2"/>
    <x:sheet xmlns:r="http://schemas.openxmlformats.org/officeDocument/2006/relationships" name="18 Analytics Reuse Map" sheetId="18" r:id="R71aa7d665c804bb7"/>
    <x:sheet xmlns:r="http://schemas.openxmlformats.org/officeDocument/2006/relationships" name="19 Executive Insights Discovery" sheetId="19" r:id="R2b4b0e481ee44716"/>
    <x:sheet xmlns:r="http://schemas.openxmlformats.org/officeDocument/2006/relationships" name="20 Procurement Insights Discovery" sheetId="20" r:id="R3aa2c62356a6467a"/>
    <x:sheet xmlns:r="http://schemas.openxmlformats.org/officeDocument/2006/relationships" name="21 Commercial Insights Discovery" sheetId="21" r:id="R82ff5652621743a2"/>
    <x:sheet xmlns:r="http://schemas.openxmlformats.org/officeDocument/2006/relationships" name="22 Project Insights Discovery" sheetId="22" r:id="Rab9246a660074740"/>
    <x:sheet xmlns:r="http://schemas.openxmlformats.org/officeDocument/2006/relationships" name="23 Performance Discovery" sheetId="23" r:id="R21dd443120c74654"/>
    <x:sheet xmlns:r="http://schemas.openxmlformats.org/officeDocument/2006/relationships" name="24 Risk Compliance Discovery" sheetId="24" r:id="Rbebf1220560c4610"/>
    <x:sheet xmlns:r="http://schemas.openxmlformats.org/officeDocument/2006/relationships" name="25 Commercial Handoff" sheetId="25" r:id="Ree1de0f4a3ef418b"/>
    <x:sheet xmlns:r="http://schemas.openxmlformats.org/officeDocument/2006/relationships" name="26 RFQ Governance" sheetId="26" r:id="R534a147b9f04464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d6b7440c71e494c" /><Relationship Type="http://schemas.openxmlformats.org/officeDocument/2006/relationships/theme" Target="/xl/theme/theme1.xml" Id="Red07d094ffe740e2" /><Relationship Type="http://schemas.openxmlformats.org/officeDocument/2006/relationships/sharedStrings" Target="/xl/sharedStrings.xml" Id="R6b936684623a4458" /><Relationship Type="http://schemas.openxmlformats.org/officeDocument/2006/relationships/worksheet" Target="/xl/worksheets/sheet1.xml" Id="R2f278e10cbcb4394" /><Relationship Type="http://schemas.openxmlformats.org/officeDocument/2006/relationships/worksheet" Target="/xl/worksheets/sheet2.xml" Id="R4185b60b17764829" /><Relationship Type="http://schemas.openxmlformats.org/officeDocument/2006/relationships/worksheet" Target="/xl/worksheets/sheet3.xml" Id="Ree7dcc55cbf04b4f" /><Relationship Type="http://schemas.openxmlformats.org/officeDocument/2006/relationships/worksheet" Target="/xl/worksheets/sheet4.xml" Id="Rc8054ec2b8bf47dc" /><Relationship Type="http://schemas.openxmlformats.org/officeDocument/2006/relationships/worksheet" Target="/xl/worksheets/sheet5.xml" Id="R60a158e9dc704e90" /><Relationship Type="http://schemas.openxmlformats.org/officeDocument/2006/relationships/worksheet" Target="/xl/worksheets/sheet6.xml" Id="R0312a93f8e964eff" /><Relationship Type="http://schemas.openxmlformats.org/officeDocument/2006/relationships/worksheet" Target="/xl/worksheets/sheet7.xml" Id="Rddff3d416d62416c" /><Relationship Type="http://schemas.openxmlformats.org/officeDocument/2006/relationships/worksheet" Target="/xl/worksheets/sheet8.xml" Id="Rf0b38e593a484e8d" /><Relationship Type="http://schemas.openxmlformats.org/officeDocument/2006/relationships/worksheet" Target="/xl/worksheets/sheet9.xml" Id="Re4ba114bb11c4e88" /><Relationship Type="http://schemas.openxmlformats.org/officeDocument/2006/relationships/worksheet" Target="/xl/worksheets/sheet10.xml" Id="Rc5ba28337e684d8d" /><Relationship Type="http://schemas.openxmlformats.org/officeDocument/2006/relationships/worksheet" Target="/xl/worksheets/sheet11.xml" Id="Ra71eed97d6994c7f" /><Relationship Type="http://schemas.openxmlformats.org/officeDocument/2006/relationships/worksheet" Target="/xl/worksheets/sheet12.xml" Id="R91365782bb01476f" /><Relationship Type="http://schemas.openxmlformats.org/officeDocument/2006/relationships/worksheet" Target="/xl/worksheets/sheet13.xml" Id="R32826b2ea14c4731" /><Relationship Type="http://schemas.openxmlformats.org/officeDocument/2006/relationships/worksheet" Target="/xl/worksheets/sheet14.xml" Id="R82ba16d0b5004a46" /><Relationship Type="http://schemas.openxmlformats.org/officeDocument/2006/relationships/worksheet" Target="/xl/worksheets/sheet15.xml" Id="R7f11010837de48b5" /><Relationship Type="http://schemas.openxmlformats.org/officeDocument/2006/relationships/worksheet" Target="/xl/worksheets/sheet16.xml" Id="R2a0297ed8be846cc" /><Relationship Type="http://schemas.openxmlformats.org/officeDocument/2006/relationships/worksheet" Target="/xl/worksheets/sheet17.xml" Id="R9053e2f31b6d40b2" /><Relationship Type="http://schemas.openxmlformats.org/officeDocument/2006/relationships/worksheet" Target="/xl/worksheets/sheet18.xml" Id="R71aa7d665c804bb7" /><Relationship Type="http://schemas.openxmlformats.org/officeDocument/2006/relationships/worksheet" Target="/xl/worksheets/sheet19.xml" Id="R2b4b0e481ee44716" /><Relationship Type="http://schemas.openxmlformats.org/officeDocument/2006/relationships/worksheet" Target="/xl/worksheets/sheet20.xml" Id="R3aa2c62356a6467a" /><Relationship Type="http://schemas.openxmlformats.org/officeDocument/2006/relationships/worksheet" Target="/xl/worksheets/sheet21.xml" Id="R82ff5652621743a2" /><Relationship Type="http://schemas.openxmlformats.org/officeDocument/2006/relationships/worksheet" Target="/xl/worksheets/sheet22.xml" Id="Rab9246a660074740" /><Relationship Type="http://schemas.openxmlformats.org/officeDocument/2006/relationships/worksheet" Target="/xl/worksheets/sheet23.xml" Id="R21dd443120c74654" /><Relationship Type="http://schemas.openxmlformats.org/officeDocument/2006/relationships/worksheet" Target="/xl/worksheets/sheet24.xml" Id="Rbebf1220560c4610" /><Relationship Type="http://schemas.openxmlformats.org/officeDocument/2006/relationships/worksheet" Target="/xl/worksheets/sheet25.xml" Id="Ree1de0f4a3ef418b" /><Relationship Type="http://schemas.openxmlformats.org/officeDocument/2006/relationships/worksheet" Target="/xl/worksheets/sheet26.xml" Id="R534a147b9f044645" /></Relationships>
</file>

<file path=xl/drawings/_rels/drawing1.xml.rels>&#65279;<?xml version="1.0" encoding="utf-8"?><Relationships xmlns="http://schemas.openxmlformats.org/package/2006/relationships"><Relationship Type="http://schemas.openxmlformats.org/officeDocument/2006/relationships/chart" Target="/xl/drawings/charts/chart1.xml" Id="R50463fee93e6482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0463fee93e6482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4a3e0955cf649aa" /></Relationships>
</file>

<file path=xl/worksheets/_rels/sheet2.xml.rels>&#65279;<?xml version="1.0" encoding="utf-8"?><Relationships xmlns="http://schemas.openxmlformats.org/package/2006/relationships"><Relationship Type="http://schemas.openxmlformats.org/officeDocument/2006/relationships/table" Target="/xl/tables/table2.xml" Id="R4fecf285173f4bdd" /></Relationships>
</file>

<file path=xl/worksheets/_rels/sheet3.xml.rels>&#65279;<?xml version="1.0" encoding="utf-8"?><Relationships xmlns="http://schemas.openxmlformats.org/package/2006/relationships"><Relationship Type="http://schemas.openxmlformats.org/officeDocument/2006/relationships/drawing" Target="/xl/drawings/drawing1.xml" Id="Reee042ab5d0d4228" /></Relationships>
</file>

<file path=xl/worksheets/_rels/sheet4.xml.rels>&#65279;<?xml version="1.0" encoding="utf-8"?><Relationships xmlns="http://schemas.openxmlformats.org/package/2006/relationships"><Relationship Type="http://schemas.openxmlformats.org/officeDocument/2006/relationships/table" Target="/xl/tables/table3.xml" Id="Rfdfbaa97ac41426d" /></Relationships>
</file>

<file path=xl/worksheets/_rels/sheet5.xml.rels>&#65279;<?xml version="1.0" encoding="utf-8"?><Relationships xmlns="http://schemas.openxmlformats.org/package/2006/relationships"><Relationship Type="http://schemas.openxmlformats.org/officeDocument/2006/relationships/table" Target="/xl/tables/table4.xml" Id="R02d61c0ab6ca494e" /></Relationships>
</file>

<file path=xl/worksheets/_rels/sheet6.xml.rels>&#65279;<?xml version="1.0" encoding="utf-8"?><Relationships xmlns="http://schemas.openxmlformats.org/package/2006/relationships"><Relationship Type="http://schemas.openxmlformats.org/officeDocument/2006/relationships/table" Target="/xl/tables/table5.xml" Id="R775be3476ad84882" /></Relationships>
</file>

<file path=xl/worksheets/_rels/sheet7.xml.rels>&#65279;<?xml version="1.0" encoding="utf-8"?><Relationships xmlns="http://schemas.openxmlformats.org/package/2006/relationships"><Relationship Type="http://schemas.openxmlformats.org/officeDocument/2006/relationships/table" Target="/xl/tables/table6.xml" Id="R44d83f81b1d646f9" /></Relationships>
</file>

<file path=xl/worksheets/_rels/sheet9.xml.rels>&#65279;<?xml version="1.0" encoding="utf-8"?><Relationships xmlns="http://schemas.openxmlformats.org/package/2006/relationships"><Relationship Type="http://schemas.openxmlformats.org/officeDocument/2006/relationships/table" Target="/xl/tables/table7.xml" Id="R1f46f2ee813f48ec" /></Relationships>
</file>

<file path=xl/worksheets/_rels/sheet10.xml.rels>&#65279;<?xml version="1.0" encoding="utf-8"?><Relationships xmlns="http://schemas.openxmlformats.org/package/2006/relationships"><Relationship Type="http://schemas.openxmlformats.org/officeDocument/2006/relationships/table" Target="/xl/tables/table8.xml" Id="Rdd86880789cf4011" /></Relationships>
</file>

<file path=xl/worksheets/_rels/sheet11.xml.rels>&#65279;<?xml version="1.0" encoding="utf-8"?><Relationships xmlns="http://schemas.openxmlformats.org/package/2006/relationships"><Relationship Type="http://schemas.openxmlformats.org/officeDocument/2006/relationships/table" Target="/xl/tables/table9.xml" Id="R5d3b59c1806d4ba5" /></Relationships>
</file>

<file path=xl/worksheets/_rels/sheet13.xml.rels>&#65279;<?xml version="1.0" encoding="utf-8"?><Relationships xmlns="http://schemas.openxmlformats.org/package/2006/relationships"><Relationship Type="http://schemas.openxmlformats.org/officeDocument/2006/relationships/table" Target="/xl/tables/table10.xml" Id="R02f92f98bd8d4029" /></Relationships>
</file>

<file path=xl/worksheets/_rels/sheet14.xml.rels>&#65279;<?xml version="1.0" encoding="utf-8"?><Relationships xmlns="http://schemas.openxmlformats.org/package/2006/relationships"><Relationship Type="http://schemas.openxmlformats.org/officeDocument/2006/relationships/table" Target="/xl/tables/table11.xml" Id="R419646bfa0ff4f50" /></Relationships>
</file>

<file path=xl/worksheets/_rels/sheet15.xml.rels>&#65279;<?xml version="1.0" encoding="utf-8"?><Relationships xmlns="http://schemas.openxmlformats.org/package/2006/relationships"><Relationship Type="http://schemas.openxmlformats.org/officeDocument/2006/relationships/table" Target="/xl/tables/table12.xml" Id="R83e7a950aa264c09" /></Relationships>
</file>

<file path=xl/worksheets/_rels/sheet16.xml.rels>&#65279;<?xml version="1.0" encoding="utf-8"?><Relationships xmlns="http://schemas.openxmlformats.org/package/2006/relationships"><Relationship Type="http://schemas.openxmlformats.org/officeDocument/2006/relationships/table" Target="/xl/tables/table13.xml" Id="Re316f3cb7682453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Blocked</x:v>
      </x:c>
      <x:c r="I321" s="133" t="str">
        <x:v>Project Owner / Product / Engineering</x:v>
      </x:c>
      <x:c r="J321" s="133" t="str"/>
      <x:c r="K321" s="133" t="inlineStr">
        <x:is>
          <x:t xml:space="preserve">13G-10</x:t>
        </x:is>
      </x:c>
      <x:c r="L321" s="133" t="str"/>
      <x:c r="M321" s="133" t="str">
        <x:v>BLOCKED / MY TASKS DATA MODEL NOT AVAILABLE — Activity Center currently has a launch-frozen company-scoped taxonomy of Needs Attention, Updates, and History only. Repository contracts explicitly prohibit rendering My Tasks or deriving personal tasks from notification title/message or compatibility fields. Existing notifications have no assignee/recipient-user/due-date/task-status/completion model, so implementing My Tasks would require a new data/ownership contract outside the presentation-only scope of 13H-11.</x:v>
      </x:c>
      <x:c r="N321" s="249" t="n"/>
      <x:c r="O321" s="249" t="n">
        <x:v>46296</x:v>
      </x:c>
      <x:c r="P321" s="135" t="str">
        <x:v>Evidence: src/lib/launch/procurement-activity-event-writers-contract.test.ts explicitly asserts Activity Center does not render 'My Tasks' or personal task derivation and locks exact Attention/Updates taxonomy. src/lib/procurement/activity-center-prioritization.ts defines only attention/updates/history; no task classification exists. Company-scoped notification query, source-link authorization, attention prioritization, Updates and History remain valid and unchanged. No code, API, DB, RLS, notification-generation or taxonomy change was made. Focused tests/lint/build/diff-check PASS; responsive review PARTIAL with no horizontal overflow; current page visual quality remains below 13H acceptance because the mandatory My Tasks requirement cannot be truthfully implemented. Resolution requires an approved My Tasks data/ownership model or explicit change to Master Plan acceptance. Until then 13H-11 remains BLOCKED. Next dependency-independent executable canonical task: 13H-12 — Upgrade Project Portfolio.</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Blocked</x:v>
      </x:c>
      <x:c r="I324" s="133" t="str">
        <x:v>Project Owner / Product / Engineering</x:v>
      </x:c>
      <x:c r="J324" s="133" t="str"/>
      <x:c r="K324" s="133" t="inlineStr">
        <x:is>
          <x:t xml:space="preserve">13G-10</x:t>
        </x:is>
      </x:c>
      <x:c r="L324" s="133" t="str"/>
      <x:c r="M324" s="133" t="str">
        <x:v>BLOCKED / STRATEGIC INSIGHTS FREEZE CONFLICT — Canonical Strategic Insights resolves to direct /analytics, which previously passed Product-Gate and remains explicitly FROZEN. Read-only reconciliation found no canonical tracker/repository evidence that 13H-14 supersedes that freeze. The current HEAD Analytics surface already scores approximately 9.3/10 and preserves commercial confidentiality, recommendation-vs-award distinctions, and evidence/inference truthfulness contracts, but some design-system shell drift remains. Because that drift cannot be acted on without reopening the frozen surface, no implementation is authorized.</x:v>
      </x:c>
      <x:c r="N324" s="249" t="n"/>
      <x:c r="O324" s="249" t="n">
        <x:v>46297</x:v>
      </x:c>
      <x:c r="P324" s="135" t="str">
        <x:v>Evidence: canonical route is /analytics; Dashboard StrategicIntelligenceWorkspace is only a teaser/CTA and not a substitute implementation target. Direct /analytics was previously Product-Gate PASS/FROZEN; freeze remains applicable. Master Plan 13H-14 does not contain explicit language superseding the freeze, and no repository/tracker evidence was found granting a presentation-only reopen. Current shared Executive system application is partial on HEAD; page-local shell/chrome drift exists, but there is no authorized defect or changed requirement permitting modification. Commercial confidentiality remains deadline-locked; recommendation remains distinct from award; evidence vs inference wording passes current truthfulness contracts. Working tree contains substantial unrelated dirty Analytics WIP, including page rewrite and analytics components/tests, and none of it may be treated as authorized 13H-14 scope. Resolution requires explicit Product Owner/Master Plan authorization to reopen exact allowlisted presentation files, or an explicit decision that prior Product-Gate evidence satisfies 13H-14. Until resolved, 13H-14 remains BLOCKED. Next dependency-independent executable canonical task: 13H-15 — Upgrade Identity &amp; Profile.</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34a3e0955cf649aa"/>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fecf285173f4bd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341</x:v>
      </x:c>
      <x:c r="D6" s="133" t="inlineStr">
        <x:is>
          <x:t xml:space="preserve">G0A — Corporate platform architecture ready</x:t>
        </x:is>
      </x:c>
      <x:c r="E6" s="32" t="str">
        <x:f>'03 Launch Gates'!D20</x:f>
        <x:v>Completed</x:v>
      </x:c>
      <x:c r="G6" t="inlineStr">
        <x:is>
          <x:t xml:space="preserve">UI Tasks Complete</x:t>
        </x:is>
      </x:c>
      <x:c r="H6" t="n">
        <x:f>SUM(B36:B46)</x:f>
        <x:v>119</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8</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0.9291553133514986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14</x:v>
      </x:c>
      <x:c r="C44" s="28" t="n">
        <x:f>COUNTIFS('01 Master Plan'!C$5:C$383,A44,'01 Master Plan'!H$5:H$383,"In Progress")</x:f>
        <x:v>0</x:v>
      </x:c>
      <x:c r="D44" s="28" t="n">
        <x:f>COUNTIFS('01 Master Plan'!C$5:C$383,A44,'01 Master Plan'!H$5:H$383,"Not Started")</x:f>
        <x:v>4</x:v>
      </x:c>
      <x:c r="E44" s="28" t="n">
        <x:f>COUNTIFS('01 Master Plan'!C$5:C$383,A44,'01 Master Plan'!H$5:H$383,"Blocked")</x:f>
        <x:v>2</x:v>
      </x:c>
      <x:c r="F44" s="28" t="n">
        <x:f>COUNTIFS('01 Master Plan'!C$5:C$383,A44,'01 Master Plan'!H$5:H$383,"Deferred")</x:f>
        <x:v>0</x:v>
      </x:c>
      <x:c r="G44" s="258" t="n">
        <x:f>IFERROR(B44/(B44+C44+D44+E44),0)</x:f>
        <x:v>0.7</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eee042ab5d0d4228"/>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fdfbaa97ac41426d"/>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02d61c0ab6ca494e"/>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775be3476ad8488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44d83f81b1d646f9"/>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1f46f2ee813f48ec"/>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dd86880789cf4011"/>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5d3b59c1806d4ba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13H-10, 13H-12 through 13H-13, and 13H-15 through 13H-16 PASS/CLOSED/PUBLISHED; 13H-11 remains BLOCKED pending an approved My Tasks ownership/data contract; 13H-14 remains BLOCKED by the frozen /analytics Strategic Insights surface. Team &amp; Access is now presentation-standardized while preserving Workspace Membership, Workspace Role, Procurement Function, Workspace Invitation and RFQ Invitation as distinct concepts. Next executable canonical task: 13H-17 Upgrade Capabilities &amp; Qualifications.</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02f92f98bd8d402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419646bfa0ff4f50"/>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83e7a950aa264c09"/>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e316f3cb7682453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