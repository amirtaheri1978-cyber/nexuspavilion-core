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198b870320745bc" /></Relationships>
</file>

<file path=xl/workbook.xml><?xml version="1.0" encoding="utf-8"?>
<x:workbook xmlns:x="http://schemas.openxmlformats.org/spreadsheetml/2006/main">
  <x:sheets>
    <x:sheet xmlns:r="http://schemas.openxmlformats.org/officeDocument/2006/relationships" name="01 Master Plan" sheetId="1" r:id="R3c9359c0a80d4d05"/>
    <x:sheet xmlns:r="http://schemas.openxmlformats.org/officeDocument/2006/relationships" name="03 Launch Gates" sheetId="2" r:id="R641e4fbca5604397"/>
    <x:sheet xmlns:r="http://schemas.openxmlformats.org/officeDocument/2006/relationships" name="00 Dashboard" sheetId="3" r:id="R09c7f9851ffa4a14"/>
    <x:sheet xmlns:r="http://schemas.openxmlformats.org/officeDocument/2006/relationships" name="04 Cursor Tasks" sheetId="4" r:id="R6d4279e3bc3242da"/>
    <x:sheet xmlns:r="http://schemas.openxmlformats.org/officeDocument/2006/relationships" name="05 UAT Matrix" sheetId="5" r:id="R0bf01505eb7344da"/>
    <x:sheet xmlns:r="http://schemas.openxmlformats.org/officeDocument/2006/relationships" name="06 Security Matrix" sheetId="6" r:id="R12f669247e12442e"/>
    <x:sheet xmlns:r="http://schemas.openxmlformats.org/officeDocument/2006/relationships" name="07 Risks" sheetId="7" r:id="R2ad8a9dd1bf443df"/>
    <x:sheet xmlns:r="http://schemas.openxmlformats.org/officeDocument/2006/relationships" name="08 Architecture" sheetId="8" r:id="R11cff4065a3e4538"/>
    <x:sheet xmlns:r="http://schemas.openxmlformats.org/officeDocument/2006/relationships" name="09 Release Checklist" sheetId="9" r:id="Re8e53c04b8524cf3"/>
    <x:sheet xmlns:r="http://schemas.openxmlformats.org/officeDocument/2006/relationships" name="10 Change Log" sheetId="10" r:id="R7fc8b0a9174c4c5f"/>
    <x:sheet xmlns:r="http://schemas.openxmlformats.org/officeDocument/2006/relationships" name="11 Scope &amp; Roadmap" sheetId="11" r:id="R5a659553348c4231"/>
    <x:sheet xmlns:r="http://schemas.openxmlformats.org/officeDocument/2006/relationships" name="12 How to Use" sheetId="12" r:id="R5a336e74651d48ac"/>
    <x:sheet xmlns:r="http://schemas.openxmlformats.org/officeDocument/2006/relationships" name="13 UI Program" sheetId="13" r:id="Re0bd8318c1fd49b1"/>
    <x:sheet xmlns:r="http://schemas.openxmlformats.org/officeDocument/2006/relationships" name="14 UI Scorecard" sheetId="14" r:id="R89938fb4cc494049"/>
    <x:sheet xmlns:r="http://schemas.openxmlformats.org/officeDocument/2006/relationships" name="15 Motion Guidance" sheetId="15" r:id="R1403e047811c4709"/>
    <x:sheet xmlns:r="http://schemas.openxmlformats.org/officeDocument/2006/relationships" name="16 Design Standards" sheetId="16" r:id="Rad8c4812eb374675"/>
    <x:sheet xmlns:r="http://schemas.openxmlformats.org/officeDocument/2006/relationships" name="17 Corporate Platform" sheetId="17" r:id="R30685a8aec994b6f"/>
    <x:sheet xmlns:r="http://schemas.openxmlformats.org/officeDocument/2006/relationships" name="18 Analytics Reuse Map" sheetId="18" r:id="Rad9509f15e284e89"/>
    <x:sheet xmlns:r="http://schemas.openxmlformats.org/officeDocument/2006/relationships" name="19 Executive Insights Discovery" sheetId="19" r:id="Rca8b7ed311af4ed1"/>
    <x:sheet xmlns:r="http://schemas.openxmlformats.org/officeDocument/2006/relationships" name="20 Procurement Insights Discovery" sheetId="20" r:id="Re5f67524c626440a"/>
    <x:sheet xmlns:r="http://schemas.openxmlformats.org/officeDocument/2006/relationships" name="21 Commercial Insights Discovery" sheetId="21" r:id="R5e7d66aeddb14e41"/>
    <x:sheet xmlns:r="http://schemas.openxmlformats.org/officeDocument/2006/relationships" name="22 Project Insights Discovery" sheetId="22" r:id="R56f19975cb944f31"/>
    <x:sheet xmlns:r="http://schemas.openxmlformats.org/officeDocument/2006/relationships" name="23 Performance Discovery" sheetId="23" r:id="R93ae8a6731cf4fc3"/>
    <x:sheet xmlns:r="http://schemas.openxmlformats.org/officeDocument/2006/relationships" name="24 Risk Compliance Discovery" sheetId="24" r:id="R09f11e7ff46d4e06"/>
    <x:sheet xmlns:r="http://schemas.openxmlformats.org/officeDocument/2006/relationships" name="25 Commercial Handoff" sheetId="25" r:id="R88dffb56771f40d3"/>
    <x:sheet xmlns:r="http://schemas.openxmlformats.org/officeDocument/2006/relationships" name="26 RFQ Governance" sheetId="26" r:id="R742a4d1c141d49b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67ea86410c942b6" /><Relationship Type="http://schemas.openxmlformats.org/officeDocument/2006/relationships/theme" Target="/xl/theme/theme1.xml" Id="Rdda5c19e673f41b3" /><Relationship Type="http://schemas.openxmlformats.org/officeDocument/2006/relationships/sharedStrings" Target="/xl/sharedStrings.xml" Id="R2d6e61dfebbe4f96" /><Relationship Type="http://schemas.openxmlformats.org/officeDocument/2006/relationships/worksheet" Target="/xl/worksheets/sheet1.xml" Id="R3c9359c0a80d4d05" /><Relationship Type="http://schemas.openxmlformats.org/officeDocument/2006/relationships/worksheet" Target="/xl/worksheets/sheet2.xml" Id="R641e4fbca5604397" /><Relationship Type="http://schemas.openxmlformats.org/officeDocument/2006/relationships/worksheet" Target="/xl/worksheets/sheet3.xml" Id="R09c7f9851ffa4a14" /><Relationship Type="http://schemas.openxmlformats.org/officeDocument/2006/relationships/worksheet" Target="/xl/worksheets/sheet4.xml" Id="R6d4279e3bc3242da" /><Relationship Type="http://schemas.openxmlformats.org/officeDocument/2006/relationships/worksheet" Target="/xl/worksheets/sheet5.xml" Id="R0bf01505eb7344da" /><Relationship Type="http://schemas.openxmlformats.org/officeDocument/2006/relationships/worksheet" Target="/xl/worksheets/sheet6.xml" Id="R12f669247e12442e" /><Relationship Type="http://schemas.openxmlformats.org/officeDocument/2006/relationships/worksheet" Target="/xl/worksheets/sheet7.xml" Id="R2ad8a9dd1bf443df" /><Relationship Type="http://schemas.openxmlformats.org/officeDocument/2006/relationships/worksheet" Target="/xl/worksheets/sheet8.xml" Id="R11cff4065a3e4538" /><Relationship Type="http://schemas.openxmlformats.org/officeDocument/2006/relationships/worksheet" Target="/xl/worksheets/sheet9.xml" Id="Re8e53c04b8524cf3" /><Relationship Type="http://schemas.openxmlformats.org/officeDocument/2006/relationships/worksheet" Target="/xl/worksheets/sheet10.xml" Id="R7fc8b0a9174c4c5f" /><Relationship Type="http://schemas.openxmlformats.org/officeDocument/2006/relationships/worksheet" Target="/xl/worksheets/sheet11.xml" Id="R5a659553348c4231" /><Relationship Type="http://schemas.openxmlformats.org/officeDocument/2006/relationships/worksheet" Target="/xl/worksheets/sheet12.xml" Id="R5a336e74651d48ac" /><Relationship Type="http://schemas.openxmlformats.org/officeDocument/2006/relationships/worksheet" Target="/xl/worksheets/sheet13.xml" Id="Re0bd8318c1fd49b1" /><Relationship Type="http://schemas.openxmlformats.org/officeDocument/2006/relationships/worksheet" Target="/xl/worksheets/sheet14.xml" Id="R89938fb4cc494049" /><Relationship Type="http://schemas.openxmlformats.org/officeDocument/2006/relationships/worksheet" Target="/xl/worksheets/sheet15.xml" Id="R1403e047811c4709" /><Relationship Type="http://schemas.openxmlformats.org/officeDocument/2006/relationships/worksheet" Target="/xl/worksheets/sheet16.xml" Id="Rad8c4812eb374675" /><Relationship Type="http://schemas.openxmlformats.org/officeDocument/2006/relationships/worksheet" Target="/xl/worksheets/sheet17.xml" Id="R30685a8aec994b6f" /><Relationship Type="http://schemas.openxmlformats.org/officeDocument/2006/relationships/worksheet" Target="/xl/worksheets/sheet18.xml" Id="Rad9509f15e284e89" /><Relationship Type="http://schemas.openxmlformats.org/officeDocument/2006/relationships/worksheet" Target="/xl/worksheets/sheet19.xml" Id="Rca8b7ed311af4ed1" /><Relationship Type="http://schemas.openxmlformats.org/officeDocument/2006/relationships/worksheet" Target="/xl/worksheets/sheet20.xml" Id="Re5f67524c626440a" /><Relationship Type="http://schemas.openxmlformats.org/officeDocument/2006/relationships/worksheet" Target="/xl/worksheets/sheet21.xml" Id="R5e7d66aeddb14e41" /><Relationship Type="http://schemas.openxmlformats.org/officeDocument/2006/relationships/worksheet" Target="/xl/worksheets/sheet22.xml" Id="R56f19975cb944f31" /><Relationship Type="http://schemas.openxmlformats.org/officeDocument/2006/relationships/worksheet" Target="/xl/worksheets/sheet23.xml" Id="R93ae8a6731cf4fc3" /><Relationship Type="http://schemas.openxmlformats.org/officeDocument/2006/relationships/worksheet" Target="/xl/worksheets/sheet24.xml" Id="R09f11e7ff46d4e06" /><Relationship Type="http://schemas.openxmlformats.org/officeDocument/2006/relationships/worksheet" Target="/xl/worksheets/sheet25.xml" Id="R88dffb56771f40d3" /><Relationship Type="http://schemas.openxmlformats.org/officeDocument/2006/relationships/worksheet" Target="/xl/worksheets/sheet26.xml" Id="R742a4d1c141d49b9" /></Relationships>
</file>

<file path=xl/drawings/_rels/drawing1.xml.rels>&#65279;<?xml version="1.0" encoding="utf-8"?><Relationships xmlns="http://schemas.openxmlformats.org/package/2006/relationships"><Relationship Type="http://schemas.openxmlformats.org/officeDocument/2006/relationships/chart" Target="/xl/drawings/charts/chart1.xml" Id="R7f39c51cfe6a4a12"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f39c51cfe6a4a12"/>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0b97e01bb86444a" /></Relationships>
</file>

<file path=xl/worksheets/_rels/sheet2.xml.rels>&#65279;<?xml version="1.0" encoding="utf-8"?><Relationships xmlns="http://schemas.openxmlformats.org/package/2006/relationships"><Relationship Type="http://schemas.openxmlformats.org/officeDocument/2006/relationships/table" Target="/xl/tables/table2.xml" Id="R032262cbb7694323" /></Relationships>
</file>

<file path=xl/worksheets/_rels/sheet3.xml.rels>&#65279;<?xml version="1.0" encoding="utf-8"?><Relationships xmlns="http://schemas.openxmlformats.org/package/2006/relationships"><Relationship Type="http://schemas.openxmlformats.org/officeDocument/2006/relationships/drawing" Target="/xl/drawings/drawing1.xml" Id="Rfee7c08f5b23460c" /></Relationships>
</file>

<file path=xl/worksheets/_rels/sheet4.xml.rels>&#65279;<?xml version="1.0" encoding="utf-8"?><Relationships xmlns="http://schemas.openxmlformats.org/package/2006/relationships"><Relationship Type="http://schemas.openxmlformats.org/officeDocument/2006/relationships/table" Target="/xl/tables/table3.xml" Id="R8d0daca190004198" /></Relationships>
</file>

<file path=xl/worksheets/_rels/sheet5.xml.rels>&#65279;<?xml version="1.0" encoding="utf-8"?><Relationships xmlns="http://schemas.openxmlformats.org/package/2006/relationships"><Relationship Type="http://schemas.openxmlformats.org/officeDocument/2006/relationships/table" Target="/xl/tables/table4.xml" Id="Rff1730b0841343bb" /></Relationships>
</file>

<file path=xl/worksheets/_rels/sheet6.xml.rels>&#65279;<?xml version="1.0" encoding="utf-8"?><Relationships xmlns="http://schemas.openxmlformats.org/package/2006/relationships"><Relationship Type="http://schemas.openxmlformats.org/officeDocument/2006/relationships/table" Target="/xl/tables/table5.xml" Id="R908c6f50df984c8f" /></Relationships>
</file>

<file path=xl/worksheets/_rels/sheet7.xml.rels>&#65279;<?xml version="1.0" encoding="utf-8"?><Relationships xmlns="http://schemas.openxmlformats.org/package/2006/relationships"><Relationship Type="http://schemas.openxmlformats.org/officeDocument/2006/relationships/table" Target="/xl/tables/table6.xml" Id="R4ec16fe9cfc24ba2" /></Relationships>
</file>

<file path=xl/worksheets/_rels/sheet9.xml.rels>&#65279;<?xml version="1.0" encoding="utf-8"?><Relationships xmlns="http://schemas.openxmlformats.org/package/2006/relationships"><Relationship Type="http://schemas.openxmlformats.org/officeDocument/2006/relationships/table" Target="/xl/tables/table7.xml" Id="R88452ffc43d441a9" /></Relationships>
</file>

<file path=xl/worksheets/_rels/sheet10.xml.rels>&#65279;<?xml version="1.0" encoding="utf-8"?><Relationships xmlns="http://schemas.openxmlformats.org/package/2006/relationships"><Relationship Type="http://schemas.openxmlformats.org/officeDocument/2006/relationships/table" Target="/xl/tables/table8.xml" Id="Rdcfd2bd1b2894b87" /></Relationships>
</file>

<file path=xl/worksheets/_rels/sheet11.xml.rels>&#65279;<?xml version="1.0" encoding="utf-8"?><Relationships xmlns="http://schemas.openxmlformats.org/package/2006/relationships"><Relationship Type="http://schemas.openxmlformats.org/officeDocument/2006/relationships/table" Target="/xl/tables/table9.xml" Id="Rba40568789d14a97" /></Relationships>
</file>

<file path=xl/worksheets/_rels/sheet13.xml.rels>&#65279;<?xml version="1.0" encoding="utf-8"?><Relationships xmlns="http://schemas.openxmlformats.org/package/2006/relationships"><Relationship Type="http://schemas.openxmlformats.org/officeDocument/2006/relationships/table" Target="/xl/tables/table10.xml" Id="R0ceef77f28b24b88" /></Relationships>
</file>

<file path=xl/worksheets/_rels/sheet14.xml.rels>&#65279;<?xml version="1.0" encoding="utf-8"?><Relationships xmlns="http://schemas.openxmlformats.org/package/2006/relationships"><Relationship Type="http://schemas.openxmlformats.org/officeDocument/2006/relationships/table" Target="/xl/tables/table11.xml" Id="R0708944d00f74c9e" /></Relationships>
</file>

<file path=xl/worksheets/_rels/sheet15.xml.rels>&#65279;<?xml version="1.0" encoding="utf-8"?><Relationships xmlns="http://schemas.openxmlformats.org/package/2006/relationships"><Relationship Type="http://schemas.openxmlformats.org/officeDocument/2006/relationships/table" Target="/xl/tables/table12.xml" Id="R64b94c2669c1458a" /></Relationships>
</file>

<file path=xl/worksheets/_rels/sheet16.xml.rels>&#65279;<?xml version="1.0" encoding="utf-8"?><Relationships xmlns="http://schemas.openxmlformats.org/package/2006/relationships"><Relationship Type="http://schemas.openxmlformats.org/officeDocument/2006/relationships/table" Target="/xl/tables/table13.xml" Id="R99c410a647184af6"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c0b97e01bb86444a"/>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032262cbb7694323"/>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308</x:v>
      </x:c>
      <x:c r="D6" s="133" t="inlineStr">
        <x:is>
          <x:t xml:space="preserve">G0A — Corporate platform architecture ready</x:t>
        </x:is>
      </x:c>
      <x:c r="E6" s="32" t="str">
        <x:f>'03 Launch Gates'!D20</x:f>
        <x:v>Completed</x:v>
      </x:c>
      <x:c r="G6" t="inlineStr">
        <x:is>
          <x:t xml:space="preserve">UI Tasks Complete</x:t>
        </x:is>
      </x:c>
      <x:c r="H6" t="n">
        <x:f>SUM(B36:B46)</x:f>
        <x:v>86</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0.8392370572207084</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0.8763636363636363</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5</x:v>
      </x:c>
      <x:c r="C42" s="133" t="n">
        <x:f>COUNTIFS('01 Master Plan'!C$5:C$383,A42,'01 Master Plan'!H$5:H$383,"In Progress")</x:f>
        <x:v>0</x:v>
      </x:c>
      <x:c r="D42" s="133" t="n">
        <x:f>COUNTIFS('01 Master Plan'!C$5:C$383,A42,'01 Master Plan'!H$5:H$383,"Not Started")</x:f>
        <x:v>9</x:v>
      </x:c>
      <x:c r="E42" s="133" t="n">
        <x:f>COUNTIFS('01 Master Plan'!C$5:C$383,A42,'01 Master Plan'!H$5:H$383,"Blocked")</x:f>
        <x:v>0</x:v>
      </x:c>
      <x:c r="F42" s="133" t="n">
        <x:f>COUNTIFS('01 Master Plan'!C$5:C$383,A42,'01 Master Plan'!H$5:H$383,"Deferred")</x:f>
        <x:v>0</x:v>
      </x:c>
      <x:c r="G42" s="255" t="n">
        <x:f>IFERROR(B42/(B42+C42+D42+E42),0)</x:f>
        <x:v>0.35714285714285715</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fee7c08f5b23460c"/>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8d0daca190004198"/>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ff1730b0841343bb"/>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908c6f50df984c8f"/>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4ec16fe9cfc24ba2"/>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88452ffc43d441a9"/>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dcfd2bd1b2894b87"/>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ba40568789d14a97"/>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IN PROGRESS — 13F-01 through 13F-05 PASS/CLOSED/PUBLISHED. Guidance taxonomy, eligibility, frequency and memory contracts are established, and the reusable L1 ExecutiveInlineHint presentation primitive is now available. The hint is caller-associated through id/aria-describedby and owns no interaction or guidance-state logic. Next executable canonical task: 13F-06 Create contextual guidance card.</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In Progress</x:v>
      </x:c>
      <x:c r="J10" s="133" t="str">
        <x:v>U5 / Phase 13F IN PROGRESS — 13F-01 through 13F-05 PASS/CLOSED/PUBLISHED. Guidance taxonomy, eligibility, frequency and memory contracts are established, and the reusable L1 ExecutiveInlineHint presentation primitive is now available. The hint is caller-associated through id/aria-describedby and owns no interaction or guidance-state logic. Next executable canonical task: 13F-06 Create contextual guidance card.</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0ceef77f28b24b88"/>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0708944d00f74c9e"/>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64b94c2669c1458a"/>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99c410a647184af6"/>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