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ca064fd17314157" /></Relationships>
</file>

<file path=xl/workbook.xml><?xml version="1.0" encoding="utf-8"?>
<x:workbook xmlns:x="http://schemas.openxmlformats.org/spreadsheetml/2006/main">
  <x:sheets>
    <x:sheet xmlns:r="http://schemas.openxmlformats.org/officeDocument/2006/relationships" name="01 Master Plan" sheetId="1" r:id="R3c739ed2f14b434d"/>
    <x:sheet xmlns:r="http://schemas.openxmlformats.org/officeDocument/2006/relationships" name="03 Launch Gates" sheetId="2" r:id="Rae95032c3bb84f97"/>
    <x:sheet xmlns:r="http://schemas.openxmlformats.org/officeDocument/2006/relationships" name="00 Dashboard" sheetId="3" r:id="R63549f8054874250"/>
    <x:sheet xmlns:r="http://schemas.openxmlformats.org/officeDocument/2006/relationships" name="04 Cursor Tasks" sheetId="4" r:id="R75f6e226fd6b44cd"/>
    <x:sheet xmlns:r="http://schemas.openxmlformats.org/officeDocument/2006/relationships" name="05 UAT Matrix" sheetId="5" r:id="R1a01e0fa4c4c4e59"/>
    <x:sheet xmlns:r="http://schemas.openxmlformats.org/officeDocument/2006/relationships" name="06 Security Matrix" sheetId="6" r:id="R2cc3219aa9ef4942"/>
    <x:sheet xmlns:r="http://schemas.openxmlformats.org/officeDocument/2006/relationships" name="07 Risks" sheetId="7" r:id="Rf8e4d740026b4c0d"/>
    <x:sheet xmlns:r="http://schemas.openxmlformats.org/officeDocument/2006/relationships" name="08 Architecture" sheetId="8" r:id="Rdc59250629a64ad1"/>
    <x:sheet xmlns:r="http://schemas.openxmlformats.org/officeDocument/2006/relationships" name="09 Release Checklist" sheetId="9" r:id="R5f660c45afc44430"/>
    <x:sheet xmlns:r="http://schemas.openxmlformats.org/officeDocument/2006/relationships" name="10 Change Log" sheetId="10" r:id="Re663228528c64b45"/>
    <x:sheet xmlns:r="http://schemas.openxmlformats.org/officeDocument/2006/relationships" name="11 Scope &amp; Roadmap" sheetId="11" r:id="R994372e43228451f"/>
    <x:sheet xmlns:r="http://schemas.openxmlformats.org/officeDocument/2006/relationships" name="12 How to Use" sheetId="12" r:id="Rd57ec13178de429a"/>
    <x:sheet xmlns:r="http://schemas.openxmlformats.org/officeDocument/2006/relationships" name="13 UI Program" sheetId="13" r:id="Reb8e2167f05e465d"/>
    <x:sheet xmlns:r="http://schemas.openxmlformats.org/officeDocument/2006/relationships" name="14 UI Scorecard" sheetId="14" r:id="R3ea50c91558a4ba4"/>
    <x:sheet xmlns:r="http://schemas.openxmlformats.org/officeDocument/2006/relationships" name="15 Motion Guidance" sheetId="15" r:id="R25ab6d974c134d90"/>
    <x:sheet xmlns:r="http://schemas.openxmlformats.org/officeDocument/2006/relationships" name="16 Design Standards" sheetId="16" r:id="R15f9019eefe149a1"/>
    <x:sheet xmlns:r="http://schemas.openxmlformats.org/officeDocument/2006/relationships" name="17 Corporate Platform" sheetId="17" r:id="R50d10374fdf54a61"/>
    <x:sheet xmlns:r="http://schemas.openxmlformats.org/officeDocument/2006/relationships" name="18 Analytics Reuse Map" sheetId="18" r:id="R0ff16f719a4341e7"/>
    <x:sheet xmlns:r="http://schemas.openxmlformats.org/officeDocument/2006/relationships" name="19 Executive Insights Discovery" sheetId="19" r:id="Rccb58376141d4f69"/>
    <x:sheet xmlns:r="http://schemas.openxmlformats.org/officeDocument/2006/relationships" name="20 Procurement Insights Discovery" sheetId="20" r:id="Re9cd540a5e084f41"/>
    <x:sheet xmlns:r="http://schemas.openxmlformats.org/officeDocument/2006/relationships" name="21 Commercial Insights Discovery" sheetId="21" r:id="R1d4b8df9eca8463f"/>
    <x:sheet xmlns:r="http://schemas.openxmlformats.org/officeDocument/2006/relationships" name="22 Project Insights Discovery" sheetId="22" r:id="R1a96b5849bc141dd"/>
    <x:sheet xmlns:r="http://schemas.openxmlformats.org/officeDocument/2006/relationships" name="23 Performance Discovery" sheetId="23" r:id="Rfc43655174bc4359"/>
    <x:sheet xmlns:r="http://schemas.openxmlformats.org/officeDocument/2006/relationships" name="24 Risk Compliance Discovery" sheetId="24" r:id="R7409377926744d82"/>
    <x:sheet xmlns:r="http://schemas.openxmlformats.org/officeDocument/2006/relationships" name="25 Commercial Handoff" sheetId="25" r:id="R2830e9a367424d8e"/>
    <x:sheet xmlns:r="http://schemas.openxmlformats.org/officeDocument/2006/relationships" name="26 RFQ Governance" sheetId="26" r:id="R07d3e6777059453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ca1cfb0691740b9" /><Relationship Type="http://schemas.openxmlformats.org/officeDocument/2006/relationships/theme" Target="/xl/theme/theme1.xml" Id="R762b8b257bcd481d" /><Relationship Type="http://schemas.openxmlformats.org/officeDocument/2006/relationships/sharedStrings" Target="/xl/sharedStrings.xml" Id="R7f8bbd11ca9b4aff" /><Relationship Type="http://schemas.openxmlformats.org/officeDocument/2006/relationships/worksheet" Target="/xl/worksheets/sheet1.xml" Id="R3c739ed2f14b434d" /><Relationship Type="http://schemas.openxmlformats.org/officeDocument/2006/relationships/worksheet" Target="/xl/worksheets/sheet2.xml" Id="Rae95032c3bb84f97" /><Relationship Type="http://schemas.openxmlformats.org/officeDocument/2006/relationships/worksheet" Target="/xl/worksheets/sheet3.xml" Id="R63549f8054874250" /><Relationship Type="http://schemas.openxmlformats.org/officeDocument/2006/relationships/worksheet" Target="/xl/worksheets/sheet4.xml" Id="R75f6e226fd6b44cd" /><Relationship Type="http://schemas.openxmlformats.org/officeDocument/2006/relationships/worksheet" Target="/xl/worksheets/sheet5.xml" Id="R1a01e0fa4c4c4e59" /><Relationship Type="http://schemas.openxmlformats.org/officeDocument/2006/relationships/worksheet" Target="/xl/worksheets/sheet6.xml" Id="R2cc3219aa9ef4942" /><Relationship Type="http://schemas.openxmlformats.org/officeDocument/2006/relationships/worksheet" Target="/xl/worksheets/sheet7.xml" Id="Rf8e4d740026b4c0d" /><Relationship Type="http://schemas.openxmlformats.org/officeDocument/2006/relationships/worksheet" Target="/xl/worksheets/sheet8.xml" Id="Rdc59250629a64ad1" /><Relationship Type="http://schemas.openxmlformats.org/officeDocument/2006/relationships/worksheet" Target="/xl/worksheets/sheet9.xml" Id="R5f660c45afc44430" /><Relationship Type="http://schemas.openxmlformats.org/officeDocument/2006/relationships/worksheet" Target="/xl/worksheets/sheet10.xml" Id="Re663228528c64b45" /><Relationship Type="http://schemas.openxmlformats.org/officeDocument/2006/relationships/worksheet" Target="/xl/worksheets/sheet11.xml" Id="R994372e43228451f" /><Relationship Type="http://schemas.openxmlformats.org/officeDocument/2006/relationships/worksheet" Target="/xl/worksheets/sheet12.xml" Id="Rd57ec13178de429a" /><Relationship Type="http://schemas.openxmlformats.org/officeDocument/2006/relationships/worksheet" Target="/xl/worksheets/sheet13.xml" Id="Reb8e2167f05e465d" /><Relationship Type="http://schemas.openxmlformats.org/officeDocument/2006/relationships/worksheet" Target="/xl/worksheets/sheet14.xml" Id="R3ea50c91558a4ba4" /><Relationship Type="http://schemas.openxmlformats.org/officeDocument/2006/relationships/worksheet" Target="/xl/worksheets/sheet15.xml" Id="R25ab6d974c134d90" /><Relationship Type="http://schemas.openxmlformats.org/officeDocument/2006/relationships/worksheet" Target="/xl/worksheets/sheet16.xml" Id="R15f9019eefe149a1" /><Relationship Type="http://schemas.openxmlformats.org/officeDocument/2006/relationships/worksheet" Target="/xl/worksheets/sheet17.xml" Id="R50d10374fdf54a61" /><Relationship Type="http://schemas.openxmlformats.org/officeDocument/2006/relationships/worksheet" Target="/xl/worksheets/sheet18.xml" Id="R0ff16f719a4341e7" /><Relationship Type="http://schemas.openxmlformats.org/officeDocument/2006/relationships/worksheet" Target="/xl/worksheets/sheet19.xml" Id="Rccb58376141d4f69" /><Relationship Type="http://schemas.openxmlformats.org/officeDocument/2006/relationships/worksheet" Target="/xl/worksheets/sheet20.xml" Id="Re9cd540a5e084f41" /><Relationship Type="http://schemas.openxmlformats.org/officeDocument/2006/relationships/worksheet" Target="/xl/worksheets/sheet21.xml" Id="R1d4b8df9eca8463f" /><Relationship Type="http://schemas.openxmlformats.org/officeDocument/2006/relationships/worksheet" Target="/xl/worksheets/sheet22.xml" Id="R1a96b5849bc141dd" /><Relationship Type="http://schemas.openxmlformats.org/officeDocument/2006/relationships/worksheet" Target="/xl/worksheets/sheet23.xml" Id="Rfc43655174bc4359" /><Relationship Type="http://schemas.openxmlformats.org/officeDocument/2006/relationships/worksheet" Target="/xl/worksheets/sheet24.xml" Id="R7409377926744d82" /><Relationship Type="http://schemas.openxmlformats.org/officeDocument/2006/relationships/worksheet" Target="/xl/worksheets/sheet25.xml" Id="R2830e9a367424d8e" /><Relationship Type="http://schemas.openxmlformats.org/officeDocument/2006/relationships/worksheet" Target="/xl/worksheets/sheet26.xml" Id="R07d3e6777059453a"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ccd5ed06df4c3b"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ccd5ed06df4c3b"/>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86604c03802461b" /></Relationships>
</file>

<file path=xl/worksheets/_rels/sheet2.xml.rels>&#65279;<?xml version="1.0" encoding="utf-8"?><Relationships xmlns="http://schemas.openxmlformats.org/package/2006/relationships"><Relationship Type="http://schemas.openxmlformats.org/officeDocument/2006/relationships/table" Target="/xl/tables/table2.xml" Id="R044c0b8ecfc04902" /></Relationships>
</file>

<file path=xl/worksheets/_rels/sheet3.xml.rels>&#65279;<?xml version="1.0" encoding="utf-8"?><Relationships xmlns="http://schemas.openxmlformats.org/package/2006/relationships"><Relationship Type="http://schemas.openxmlformats.org/officeDocument/2006/relationships/drawing" Target="/xl/drawings/drawing1.xml" Id="R7f078facd1d74911" /></Relationships>
</file>

<file path=xl/worksheets/_rels/sheet4.xml.rels>&#65279;<?xml version="1.0" encoding="utf-8"?><Relationships xmlns="http://schemas.openxmlformats.org/package/2006/relationships"><Relationship Type="http://schemas.openxmlformats.org/officeDocument/2006/relationships/table" Target="/xl/tables/table3.xml" Id="R47f4f670f2414786" /></Relationships>
</file>

<file path=xl/worksheets/_rels/sheet5.xml.rels>&#65279;<?xml version="1.0" encoding="utf-8"?><Relationships xmlns="http://schemas.openxmlformats.org/package/2006/relationships"><Relationship Type="http://schemas.openxmlformats.org/officeDocument/2006/relationships/table" Target="/xl/tables/table4.xml" Id="R8fc01c047b2547ad" /></Relationships>
</file>

<file path=xl/worksheets/_rels/sheet6.xml.rels>&#65279;<?xml version="1.0" encoding="utf-8"?><Relationships xmlns="http://schemas.openxmlformats.org/package/2006/relationships"><Relationship Type="http://schemas.openxmlformats.org/officeDocument/2006/relationships/table" Target="/xl/tables/table5.xml" Id="Rd1119fd0bdf24a82" /></Relationships>
</file>

<file path=xl/worksheets/_rels/sheet7.xml.rels>&#65279;<?xml version="1.0" encoding="utf-8"?><Relationships xmlns="http://schemas.openxmlformats.org/package/2006/relationships"><Relationship Type="http://schemas.openxmlformats.org/officeDocument/2006/relationships/table" Target="/xl/tables/table6.xml" Id="Rc7181ff08a93457a" /></Relationships>
</file>

<file path=xl/worksheets/_rels/sheet9.xml.rels>&#65279;<?xml version="1.0" encoding="utf-8"?><Relationships xmlns="http://schemas.openxmlformats.org/package/2006/relationships"><Relationship Type="http://schemas.openxmlformats.org/officeDocument/2006/relationships/table" Target="/xl/tables/table7.xml" Id="R85dec38c3ce245f3" /></Relationships>
</file>

<file path=xl/worksheets/_rels/sheet10.xml.rels>&#65279;<?xml version="1.0" encoding="utf-8"?><Relationships xmlns="http://schemas.openxmlformats.org/package/2006/relationships"><Relationship Type="http://schemas.openxmlformats.org/officeDocument/2006/relationships/table" Target="/xl/tables/table8.xml" Id="Rd02916f7ef5e40f9" /></Relationships>
</file>

<file path=xl/worksheets/_rels/sheet11.xml.rels>&#65279;<?xml version="1.0" encoding="utf-8"?><Relationships xmlns="http://schemas.openxmlformats.org/package/2006/relationships"><Relationship Type="http://schemas.openxmlformats.org/officeDocument/2006/relationships/table" Target="/xl/tables/table9.xml" Id="Rf71d971a679e4502" /></Relationships>
</file>

<file path=xl/worksheets/_rels/sheet13.xml.rels>&#65279;<?xml version="1.0" encoding="utf-8"?><Relationships xmlns="http://schemas.openxmlformats.org/package/2006/relationships"><Relationship Type="http://schemas.openxmlformats.org/officeDocument/2006/relationships/table" Target="/xl/tables/table10.xml" Id="R8bb29d1e4e3847ce" /></Relationships>
</file>

<file path=xl/worksheets/_rels/sheet14.xml.rels>&#65279;<?xml version="1.0" encoding="utf-8"?><Relationships xmlns="http://schemas.openxmlformats.org/package/2006/relationships"><Relationship Type="http://schemas.openxmlformats.org/officeDocument/2006/relationships/table" Target="/xl/tables/table11.xml" Id="Rd1c6ca806fa34e09" /></Relationships>
</file>

<file path=xl/worksheets/_rels/sheet15.xml.rels>&#65279;<?xml version="1.0" encoding="utf-8"?><Relationships xmlns="http://schemas.openxmlformats.org/package/2006/relationships"><Relationship Type="http://schemas.openxmlformats.org/officeDocument/2006/relationships/table" Target="/xl/tables/table12.xml" Id="R17ce652732504a97" /></Relationships>
</file>

<file path=xl/worksheets/_rels/sheet16.xml.rels>&#65279;<?xml version="1.0" encoding="utf-8"?><Relationships xmlns="http://schemas.openxmlformats.org/package/2006/relationships"><Relationship Type="http://schemas.openxmlformats.org/officeDocument/2006/relationships/table" Target="/xl/tables/table13.xml" Id="R707fff3ad4654e00"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886604c03802461b"/>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044c0b8ecfc04902"/>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316</x:v>
      </x:c>
      <x:c r="D6" s="133" t="inlineStr">
        <x:is>
          <x:t xml:space="preserve">G0A — Corporate platform architecture ready</x:t>
        </x:is>
      </x:c>
      <x:c r="E6" s="32" t="str">
        <x:f>'03 Launch Gates'!D20</x:f>
        <x:v>Completed</x:v>
      </x:c>
      <x:c r="G6" t="inlineStr">
        <x:is>
          <x:t xml:space="preserve">UI Tasks Complete</x:t>
        </x:is>
      </x:c>
      <x:c r="H6" t="n">
        <x:f>SUM(B36:B46)</x:f>
        <x:v>94</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0.8610354223433242</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0.8872727272727273</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13</x:v>
      </x:c>
      <x:c r="C42" s="133" t="n">
        <x:f>COUNTIFS('01 Master Plan'!C$5:C$383,A42,'01 Master Plan'!H$5:H$383,"In Progress")</x:f>
        <x:v>0</x:v>
      </x:c>
      <x:c r="D42" s="133" t="n">
        <x:f>COUNTIFS('01 Master Plan'!C$5:C$383,A42,'01 Master Plan'!H$5:H$383,"Not Started")</x:f>
        <x:v>1</x:v>
      </x:c>
      <x:c r="E42" s="133" t="n">
        <x:f>COUNTIFS('01 Master Plan'!C$5:C$383,A42,'01 Master Plan'!H$5:H$383,"Blocked")</x:f>
        <x:v>0</x:v>
      </x:c>
      <x:c r="F42" s="133" t="n">
        <x:f>COUNTIFS('01 Master Plan'!C$5:C$383,A42,'01 Master Plan'!H$5:H$383,"Deferred")</x:f>
        <x:v>0</x:v>
      </x:c>
      <x:c r="G42" s="255" t="n">
        <x:f>IFERROR(B42/(B42+C42+D42+E42),0)</x:f>
        <x:v>0.9285714285714286</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7f078facd1d74911"/>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47f4f670f2414786"/>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8fc01c047b2547ad"/>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d1119fd0bdf24a82"/>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c7181ff08a93457a"/>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85dec38c3ce245f3"/>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d02916f7ef5e40f9"/>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f71d971a679e4502"/>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IN PROGRESS — 13F-01 through 13F-13 PASS/CLOSED/PUBLISHED. Guidance copy across RFI, quotation readiness, evaluation exceptions and Activity attention has been standardized to concise, professional, procurement-accurate and action-oriented language without logic changes. Next executable canonical task: 13F-14 Guidance annoyance review.</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In Progress</x:v>
      </x:c>
      <x:c r="J10" s="133" t="str">
        <x:v>U5 / Phase 13F IN PROGRESS — 13F-01 through 13F-13 PASS/CLOSED/PUBLISHED. Guidance copy across RFI, quotation readiness, evaluation exceptions and Activity attention has been standardized to concise, professional, procurement-accurate and action-oriented language without logic changes. Next executable canonical task: 13F-14 Guidance annoyance review.</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8bb29d1e4e3847ce"/>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d1c6ca806fa34e09"/>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17ce652732504a97"/>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707fff3ad4654e00"/>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