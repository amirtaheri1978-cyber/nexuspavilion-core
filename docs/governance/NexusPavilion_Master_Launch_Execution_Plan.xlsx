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cdd30858d664cda" /></Relationships>
</file>

<file path=xl/workbook.xml><?xml version="1.0" encoding="utf-8"?>
<x:workbook xmlns:x="http://schemas.openxmlformats.org/spreadsheetml/2006/main">
  <x:sheets>
    <x:sheet xmlns:r="http://schemas.openxmlformats.org/officeDocument/2006/relationships" name="01 Master Plan" sheetId="1" r:id="R8a64119e8f7c45ec"/>
    <x:sheet xmlns:r="http://schemas.openxmlformats.org/officeDocument/2006/relationships" name="03 Launch Gates" sheetId="2" r:id="Rfada75d871724eb1"/>
    <x:sheet xmlns:r="http://schemas.openxmlformats.org/officeDocument/2006/relationships" name="00 Dashboard" sheetId="3" r:id="R441e4aaef44d4f20"/>
    <x:sheet xmlns:r="http://schemas.openxmlformats.org/officeDocument/2006/relationships" name="04 Cursor Tasks" sheetId="4" r:id="Ra93745b5843243f2"/>
    <x:sheet xmlns:r="http://schemas.openxmlformats.org/officeDocument/2006/relationships" name="05 UAT Matrix" sheetId="5" r:id="R76dbd5aca6b34bfd"/>
    <x:sheet xmlns:r="http://schemas.openxmlformats.org/officeDocument/2006/relationships" name="06 Security Matrix" sheetId="6" r:id="R468f3fc749c7417d"/>
    <x:sheet xmlns:r="http://schemas.openxmlformats.org/officeDocument/2006/relationships" name="07 Risks" sheetId="7" r:id="Rb6dd70d7f66a4b5d"/>
    <x:sheet xmlns:r="http://schemas.openxmlformats.org/officeDocument/2006/relationships" name="08 Architecture" sheetId="8" r:id="R3677bfe9cf404a5c"/>
    <x:sheet xmlns:r="http://schemas.openxmlformats.org/officeDocument/2006/relationships" name="09 Release Checklist" sheetId="9" r:id="R4b38ce2a3d704184"/>
    <x:sheet xmlns:r="http://schemas.openxmlformats.org/officeDocument/2006/relationships" name="10 Change Log" sheetId="10" r:id="Rd1b86568e9934ecc"/>
    <x:sheet xmlns:r="http://schemas.openxmlformats.org/officeDocument/2006/relationships" name="11 Scope &amp; Roadmap" sheetId="11" r:id="R92ff6ac218324594"/>
    <x:sheet xmlns:r="http://schemas.openxmlformats.org/officeDocument/2006/relationships" name="12 How to Use" sheetId="12" r:id="R4bfbee36dcf1435c"/>
    <x:sheet xmlns:r="http://schemas.openxmlformats.org/officeDocument/2006/relationships" name="13 UI Program" sheetId="13" r:id="R78251b2dae3a46d2"/>
    <x:sheet xmlns:r="http://schemas.openxmlformats.org/officeDocument/2006/relationships" name="14 UI Scorecard" sheetId="14" r:id="Rba988cdc4975466f"/>
    <x:sheet xmlns:r="http://schemas.openxmlformats.org/officeDocument/2006/relationships" name="15 Motion Guidance" sheetId="15" r:id="Ra16b92ad10f44da8"/>
    <x:sheet xmlns:r="http://schemas.openxmlformats.org/officeDocument/2006/relationships" name="16 Design Standards" sheetId="16" r:id="Rbe2153a8233b4637"/>
    <x:sheet xmlns:r="http://schemas.openxmlformats.org/officeDocument/2006/relationships" name="17 Corporate Platform" sheetId="17" r:id="Rafb26d0551a64ad8"/>
    <x:sheet xmlns:r="http://schemas.openxmlformats.org/officeDocument/2006/relationships" name="18 Analytics Reuse Map" sheetId="18" r:id="R5e0902f40a0f475d"/>
    <x:sheet xmlns:r="http://schemas.openxmlformats.org/officeDocument/2006/relationships" name="19 Executive Insights Discovery" sheetId="19" r:id="R73ada341b06742be"/>
    <x:sheet xmlns:r="http://schemas.openxmlformats.org/officeDocument/2006/relationships" name="20 Procurement Insights Discovery" sheetId="20" r:id="Ra7165bbb31db4c2a"/>
    <x:sheet xmlns:r="http://schemas.openxmlformats.org/officeDocument/2006/relationships" name="21 Commercial Insights Discovery" sheetId="21" r:id="Rf3853764ed354a70"/>
    <x:sheet xmlns:r="http://schemas.openxmlformats.org/officeDocument/2006/relationships" name="22 Project Insights Discovery" sheetId="22" r:id="R826b64a6e3024a01"/>
    <x:sheet xmlns:r="http://schemas.openxmlformats.org/officeDocument/2006/relationships" name="23 Performance Discovery" sheetId="23" r:id="R4202c64a1f1f4057"/>
    <x:sheet xmlns:r="http://schemas.openxmlformats.org/officeDocument/2006/relationships" name="24 Risk Compliance Discovery" sheetId="24" r:id="R477e8d61b7c64723"/>
    <x:sheet xmlns:r="http://schemas.openxmlformats.org/officeDocument/2006/relationships" name="25 Commercial Handoff" sheetId="25" r:id="Rdcb9e5a170ef4bf4"/>
    <x:sheet xmlns:r="http://schemas.openxmlformats.org/officeDocument/2006/relationships" name="26 RFQ Governance" sheetId="26" r:id="R406137c3d7ea455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f22af0f899d4f9e" /><Relationship Type="http://schemas.openxmlformats.org/officeDocument/2006/relationships/theme" Target="/xl/theme/theme1.xml" Id="Reeef29bda99f4877" /><Relationship Type="http://schemas.openxmlformats.org/officeDocument/2006/relationships/sharedStrings" Target="/xl/sharedStrings.xml" Id="R29580e93c8414aad" /><Relationship Type="http://schemas.openxmlformats.org/officeDocument/2006/relationships/worksheet" Target="/xl/worksheets/sheet1.xml" Id="R8a64119e8f7c45ec" /><Relationship Type="http://schemas.openxmlformats.org/officeDocument/2006/relationships/worksheet" Target="/xl/worksheets/sheet2.xml" Id="Rfada75d871724eb1" /><Relationship Type="http://schemas.openxmlformats.org/officeDocument/2006/relationships/worksheet" Target="/xl/worksheets/sheet3.xml" Id="R441e4aaef44d4f20" /><Relationship Type="http://schemas.openxmlformats.org/officeDocument/2006/relationships/worksheet" Target="/xl/worksheets/sheet4.xml" Id="Ra93745b5843243f2" /><Relationship Type="http://schemas.openxmlformats.org/officeDocument/2006/relationships/worksheet" Target="/xl/worksheets/sheet5.xml" Id="R76dbd5aca6b34bfd" /><Relationship Type="http://schemas.openxmlformats.org/officeDocument/2006/relationships/worksheet" Target="/xl/worksheets/sheet6.xml" Id="R468f3fc749c7417d" /><Relationship Type="http://schemas.openxmlformats.org/officeDocument/2006/relationships/worksheet" Target="/xl/worksheets/sheet7.xml" Id="Rb6dd70d7f66a4b5d" /><Relationship Type="http://schemas.openxmlformats.org/officeDocument/2006/relationships/worksheet" Target="/xl/worksheets/sheet8.xml" Id="R3677bfe9cf404a5c" /><Relationship Type="http://schemas.openxmlformats.org/officeDocument/2006/relationships/worksheet" Target="/xl/worksheets/sheet9.xml" Id="R4b38ce2a3d704184" /><Relationship Type="http://schemas.openxmlformats.org/officeDocument/2006/relationships/worksheet" Target="/xl/worksheets/sheet10.xml" Id="Rd1b86568e9934ecc" /><Relationship Type="http://schemas.openxmlformats.org/officeDocument/2006/relationships/worksheet" Target="/xl/worksheets/sheet11.xml" Id="R92ff6ac218324594" /><Relationship Type="http://schemas.openxmlformats.org/officeDocument/2006/relationships/worksheet" Target="/xl/worksheets/sheet12.xml" Id="R4bfbee36dcf1435c" /><Relationship Type="http://schemas.openxmlformats.org/officeDocument/2006/relationships/worksheet" Target="/xl/worksheets/sheet13.xml" Id="R78251b2dae3a46d2" /><Relationship Type="http://schemas.openxmlformats.org/officeDocument/2006/relationships/worksheet" Target="/xl/worksheets/sheet14.xml" Id="Rba988cdc4975466f" /><Relationship Type="http://schemas.openxmlformats.org/officeDocument/2006/relationships/worksheet" Target="/xl/worksheets/sheet15.xml" Id="Ra16b92ad10f44da8" /><Relationship Type="http://schemas.openxmlformats.org/officeDocument/2006/relationships/worksheet" Target="/xl/worksheets/sheet16.xml" Id="Rbe2153a8233b4637" /><Relationship Type="http://schemas.openxmlformats.org/officeDocument/2006/relationships/worksheet" Target="/xl/worksheets/sheet17.xml" Id="Rafb26d0551a64ad8" /><Relationship Type="http://schemas.openxmlformats.org/officeDocument/2006/relationships/worksheet" Target="/xl/worksheets/sheet18.xml" Id="R5e0902f40a0f475d" /><Relationship Type="http://schemas.openxmlformats.org/officeDocument/2006/relationships/worksheet" Target="/xl/worksheets/sheet19.xml" Id="R73ada341b06742be" /><Relationship Type="http://schemas.openxmlformats.org/officeDocument/2006/relationships/worksheet" Target="/xl/worksheets/sheet20.xml" Id="Ra7165bbb31db4c2a" /><Relationship Type="http://schemas.openxmlformats.org/officeDocument/2006/relationships/worksheet" Target="/xl/worksheets/sheet21.xml" Id="Rf3853764ed354a70" /><Relationship Type="http://schemas.openxmlformats.org/officeDocument/2006/relationships/worksheet" Target="/xl/worksheets/sheet22.xml" Id="R826b64a6e3024a01" /><Relationship Type="http://schemas.openxmlformats.org/officeDocument/2006/relationships/worksheet" Target="/xl/worksheets/sheet23.xml" Id="R4202c64a1f1f4057" /><Relationship Type="http://schemas.openxmlformats.org/officeDocument/2006/relationships/worksheet" Target="/xl/worksheets/sheet24.xml" Id="R477e8d61b7c64723" /><Relationship Type="http://schemas.openxmlformats.org/officeDocument/2006/relationships/worksheet" Target="/xl/worksheets/sheet25.xml" Id="Rdcb9e5a170ef4bf4" /><Relationship Type="http://schemas.openxmlformats.org/officeDocument/2006/relationships/worksheet" Target="/xl/worksheets/sheet26.xml" Id="R406137c3d7ea455c" /></Relationships>
</file>

<file path=xl/drawings/_rels/drawing1.xml.rels>&#65279;<?xml version="1.0" encoding="utf-8"?><Relationships xmlns="http://schemas.openxmlformats.org/package/2006/relationships"><Relationship Type="http://schemas.openxmlformats.org/officeDocument/2006/relationships/chart" Target="/xl/drawings/charts/chart1.xml" Id="R756912fe99524ec3"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56912fe99524ec3"/>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597714076bb47ae" /></Relationships>
</file>

<file path=xl/worksheets/_rels/sheet2.xml.rels>&#65279;<?xml version="1.0" encoding="utf-8"?><Relationships xmlns="http://schemas.openxmlformats.org/package/2006/relationships"><Relationship Type="http://schemas.openxmlformats.org/officeDocument/2006/relationships/table" Target="/xl/tables/table2.xml" Id="R64acad1b9c9248fb" /></Relationships>
</file>

<file path=xl/worksheets/_rels/sheet3.xml.rels>&#65279;<?xml version="1.0" encoding="utf-8"?><Relationships xmlns="http://schemas.openxmlformats.org/package/2006/relationships"><Relationship Type="http://schemas.openxmlformats.org/officeDocument/2006/relationships/drawing" Target="/xl/drawings/drawing1.xml" Id="R8c95debb0c0e43d1" /></Relationships>
</file>

<file path=xl/worksheets/_rels/sheet4.xml.rels>&#65279;<?xml version="1.0" encoding="utf-8"?><Relationships xmlns="http://schemas.openxmlformats.org/package/2006/relationships"><Relationship Type="http://schemas.openxmlformats.org/officeDocument/2006/relationships/table" Target="/xl/tables/table3.xml" Id="Rf0fb6f29f6a64e03" /></Relationships>
</file>

<file path=xl/worksheets/_rels/sheet5.xml.rels>&#65279;<?xml version="1.0" encoding="utf-8"?><Relationships xmlns="http://schemas.openxmlformats.org/package/2006/relationships"><Relationship Type="http://schemas.openxmlformats.org/officeDocument/2006/relationships/table" Target="/xl/tables/table4.xml" Id="R5a2c9e9e2ea847fe" /></Relationships>
</file>

<file path=xl/worksheets/_rels/sheet6.xml.rels>&#65279;<?xml version="1.0" encoding="utf-8"?><Relationships xmlns="http://schemas.openxmlformats.org/package/2006/relationships"><Relationship Type="http://schemas.openxmlformats.org/officeDocument/2006/relationships/table" Target="/xl/tables/table5.xml" Id="R678b9552d4514b87" /></Relationships>
</file>

<file path=xl/worksheets/_rels/sheet7.xml.rels>&#65279;<?xml version="1.0" encoding="utf-8"?><Relationships xmlns="http://schemas.openxmlformats.org/package/2006/relationships"><Relationship Type="http://schemas.openxmlformats.org/officeDocument/2006/relationships/table" Target="/xl/tables/table6.xml" Id="R34f10554639a4333" /></Relationships>
</file>

<file path=xl/worksheets/_rels/sheet9.xml.rels>&#65279;<?xml version="1.0" encoding="utf-8"?><Relationships xmlns="http://schemas.openxmlformats.org/package/2006/relationships"><Relationship Type="http://schemas.openxmlformats.org/officeDocument/2006/relationships/table" Target="/xl/tables/table7.xml" Id="R798e374adce147e6" /></Relationships>
</file>

<file path=xl/worksheets/_rels/sheet10.xml.rels>&#65279;<?xml version="1.0" encoding="utf-8"?><Relationships xmlns="http://schemas.openxmlformats.org/package/2006/relationships"><Relationship Type="http://schemas.openxmlformats.org/officeDocument/2006/relationships/table" Target="/xl/tables/table8.xml" Id="R77cec1317ad44047" /></Relationships>
</file>

<file path=xl/worksheets/_rels/sheet11.xml.rels>&#65279;<?xml version="1.0" encoding="utf-8"?><Relationships xmlns="http://schemas.openxmlformats.org/package/2006/relationships"><Relationship Type="http://schemas.openxmlformats.org/officeDocument/2006/relationships/table" Target="/xl/tables/table9.xml" Id="Rb8cb7828dbb84654" /></Relationships>
</file>

<file path=xl/worksheets/_rels/sheet13.xml.rels>&#65279;<?xml version="1.0" encoding="utf-8"?><Relationships xmlns="http://schemas.openxmlformats.org/package/2006/relationships"><Relationship Type="http://schemas.openxmlformats.org/officeDocument/2006/relationships/table" Target="/xl/tables/table10.xml" Id="Rd0ee262f5aff4971" /></Relationships>
</file>

<file path=xl/worksheets/_rels/sheet14.xml.rels>&#65279;<?xml version="1.0" encoding="utf-8"?><Relationships xmlns="http://schemas.openxmlformats.org/package/2006/relationships"><Relationship Type="http://schemas.openxmlformats.org/officeDocument/2006/relationships/table" Target="/xl/tables/table11.xml" Id="R1c3f288e0bd14881" /></Relationships>
</file>

<file path=xl/worksheets/_rels/sheet15.xml.rels>&#65279;<?xml version="1.0" encoding="utf-8"?><Relationships xmlns="http://schemas.openxmlformats.org/package/2006/relationships"><Relationship Type="http://schemas.openxmlformats.org/officeDocument/2006/relationships/table" Target="/xl/tables/table12.xml" Id="Rd3d1da4a97ae4f90" /></Relationships>
</file>

<file path=xl/worksheets/_rels/sheet16.xml.rels>&#65279;<?xml version="1.0" encoding="utf-8"?><Relationships xmlns="http://schemas.openxmlformats.org/package/2006/relationships"><Relationship Type="http://schemas.openxmlformats.org/officeDocument/2006/relationships/table" Target="/xl/tables/table13.xml" Id="R518505d093994713"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5597714076bb47ae"/>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64acad1b9c9248fb"/>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259</x:v>
      </x:c>
      <x:c r="D6" s="133" t="inlineStr">
        <x:is>
          <x:t xml:space="preserve">G0A — Corporate platform architecture ready</x:t>
        </x:is>
      </x:c>
      <x:c r="E6" s="32" t="str">
        <x:f>'03 Launch Gates'!D20</x:f>
        <x:v>Completed</x:v>
      </x:c>
      <x:c r="G6" t="inlineStr">
        <x:is>
          <x:t xml:space="preserve">UI Tasks Complete</x:t>
        </x:is>
      </x:c>
      <x:c r="H6" t="n">
        <x:f>SUM(B36:B46)</x:f>
        <x:v>37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0.7057220708446866</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0.7236363636363636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2</x:v>
      </x:c>
      <x:c r="C37" s="133" t="n">
        <x:f>COUNTIFS('01 Master Plan'!C$5:C$383,A37,'01 Master Plan'!H$5:H$383,"In Progress")</x:f>
        <x:v>0</x:v>
      </x:c>
      <x:c r="D37" s="133" t="n">
        <x:f>COUNTIFS('01 Master Plan'!C$5:C$383,A37,'01 Master Plan'!H$5:H$383,"Not Started")</x:f>
        <x:v>10</x:v>
      </x:c>
      <x:c r="E37" s="133" t="n">
        <x:f>COUNTIFS('01 Master Plan'!C$5:C$383,A37,'01 Master Plan'!H$5:H$383,"Blocked")</x:f>
        <x:v>0</x:v>
      </x:c>
      <x:c r="F37" s="133" t="n">
        <x:f>COUNTIFS('01 Master Plan'!C$5:C$383,A37,'01 Master Plan'!H$5:H$383,"Deferred")</x:f>
        <x:v>0</x:v>
      </x:c>
      <x:c r="G37" s="255" t="n">
        <x:f>IFERROR(B37/(B37+C37+D37+E37),0)</x:f>
        <x:v>0.16666666666666666</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8c95debb0c0e43d1"/>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f0fb6f29f6a64e03"/>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5a2c9e9e2ea847fe"/>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678b9552d4514b87"/>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34f10554639a4333"/>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798e374adce147e6"/>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77cec1317ad44047"/>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b8cb7828dbb84654"/>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U1 IN PROGRESS — 13B-01 semantic color centralization and 13B-02 future light/system compatibility strategy complete. Next: 13B-03 typography scale.</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d0ee262f5aff4971"/>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1c3f288e0bd14881"/>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d3d1da4a97ae4f90"/>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518505d093994713"/>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