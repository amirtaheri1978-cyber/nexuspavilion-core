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ba2c520292045f1" /></Relationships>
</file>

<file path=xl/workbook.xml><?xml version="1.0" encoding="utf-8"?>
<x:workbook xmlns:x="http://schemas.openxmlformats.org/spreadsheetml/2006/main">
  <x:sheets>
    <x:sheet xmlns:r="http://schemas.openxmlformats.org/officeDocument/2006/relationships" name="01 Master Plan" sheetId="1" r:id="Raa4dbe6e064440ed"/>
    <x:sheet xmlns:r="http://schemas.openxmlformats.org/officeDocument/2006/relationships" name="03 Launch Gates" sheetId="2" r:id="R0d46c529ff4b4925"/>
    <x:sheet xmlns:r="http://schemas.openxmlformats.org/officeDocument/2006/relationships" name="00 Dashboard" sheetId="3" r:id="R17742f3d744146cf"/>
    <x:sheet xmlns:r="http://schemas.openxmlformats.org/officeDocument/2006/relationships" name="04 Cursor Tasks" sheetId="4" r:id="Ra80c463a265a4d76"/>
    <x:sheet xmlns:r="http://schemas.openxmlformats.org/officeDocument/2006/relationships" name="05 UAT Matrix" sheetId="5" r:id="R9756b438cf484be5"/>
    <x:sheet xmlns:r="http://schemas.openxmlformats.org/officeDocument/2006/relationships" name="06 Security Matrix" sheetId="6" r:id="Raddb624356e34b15"/>
    <x:sheet xmlns:r="http://schemas.openxmlformats.org/officeDocument/2006/relationships" name="07 Risks" sheetId="7" r:id="R1c394187daf141a3"/>
    <x:sheet xmlns:r="http://schemas.openxmlformats.org/officeDocument/2006/relationships" name="08 Architecture" sheetId="8" r:id="R14f333574d474fcb"/>
    <x:sheet xmlns:r="http://schemas.openxmlformats.org/officeDocument/2006/relationships" name="09 Release Checklist" sheetId="9" r:id="R4400e2dea0784ef5"/>
    <x:sheet xmlns:r="http://schemas.openxmlformats.org/officeDocument/2006/relationships" name="10 Change Log" sheetId="10" r:id="R4804c366948f43d6"/>
    <x:sheet xmlns:r="http://schemas.openxmlformats.org/officeDocument/2006/relationships" name="11 Scope &amp; Roadmap" sheetId="11" r:id="R301b207bdfe94003"/>
    <x:sheet xmlns:r="http://schemas.openxmlformats.org/officeDocument/2006/relationships" name="12 How to Use" sheetId="12" r:id="R2ae33a067437435e"/>
    <x:sheet xmlns:r="http://schemas.openxmlformats.org/officeDocument/2006/relationships" name="13 UI Program" sheetId="13" r:id="R675753db84be46d3"/>
    <x:sheet xmlns:r="http://schemas.openxmlformats.org/officeDocument/2006/relationships" name="14 UI Scorecard" sheetId="14" r:id="Reb3650bf8df44fe0"/>
    <x:sheet xmlns:r="http://schemas.openxmlformats.org/officeDocument/2006/relationships" name="15 Motion Guidance" sheetId="15" r:id="R811a8925c70049a2"/>
    <x:sheet xmlns:r="http://schemas.openxmlformats.org/officeDocument/2006/relationships" name="16 Design Standards" sheetId="16" r:id="R9f7ca1bd1cc14579"/>
    <x:sheet xmlns:r="http://schemas.openxmlformats.org/officeDocument/2006/relationships" name="17 Corporate Platform" sheetId="17" r:id="R362889a9e2534014"/>
    <x:sheet xmlns:r="http://schemas.openxmlformats.org/officeDocument/2006/relationships" name="18 Analytics Reuse Map" sheetId="18" r:id="R5e0bca21618c4487"/>
    <x:sheet xmlns:r="http://schemas.openxmlformats.org/officeDocument/2006/relationships" name="19 Executive Insights Discovery" sheetId="19" r:id="Rc05f0a4747dc4a04"/>
    <x:sheet xmlns:r="http://schemas.openxmlformats.org/officeDocument/2006/relationships" name="20 Procurement Insights Discovery" sheetId="20" r:id="Rebef640efa6b41c2"/>
    <x:sheet xmlns:r="http://schemas.openxmlformats.org/officeDocument/2006/relationships" name="21 Commercial Insights Discovery" sheetId="21" r:id="R2fd6126ca65d4a47"/>
    <x:sheet xmlns:r="http://schemas.openxmlformats.org/officeDocument/2006/relationships" name="22 Project Insights Discovery" sheetId="22" r:id="R5c111398b9f4445a"/>
    <x:sheet xmlns:r="http://schemas.openxmlformats.org/officeDocument/2006/relationships" name="23 Performance Discovery" sheetId="23" r:id="R9cf98573af3a4db8"/>
    <x:sheet xmlns:r="http://schemas.openxmlformats.org/officeDocument/2006/relationships" name="24 Risk Compliance Discovery" sheetId="24" r:id="R420f9b6987f24190"/>
    <x:sheet xmlns:r="http://schemas.openxmlformats.org/officeDocument/2006/relationships" name="25 Commercial Handoff" sheetId="25" r:id="R59fbfa5d25f140f2"/>
    <x:sheet xmlns:r="http://schemas.openxmlformats.org/officeDocument/2006/relationships" name="26 RFQ Governance" sheetId="26" r:id="R32289d727084412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bcdd41cba674ed8" /><Relationship Type="http://schemas.openxmlformats.org/officeDocument/2006/relationships/theme" Target="/xl/theme/theme1.xml" Id="R547ded1f839041ca" /><Relationship Type="http://schemas.openxmlformats.org/officeDocument/2006/relationships/sharedStrings" Target="/xl/sharedStrings.xml" Id="R72fe71c5ae084de6" /><Relationship Type="http://schemas.openxmlformats.org/officeDocument/2006/relationships/worksheet" Target="/xl/worksheets/sheet1.xml" Id="Raa4dbe6e064440ed" /><Relationship Type="http://schemas.openxmlformats.org/officeDocument/2006/relationships/worksheet" Target="/xl/worksheets/sheet2.xml" Id="R0d46c529ff4b4925" /><Relationship Type="http://schemas.openxmlformats.org/officeDocument/2006/relationships/worksheet" Target="/xl/worksheets/sheet3.xml" Id="R17742f3d744146cf" /><Relationship Type="http://schemas.openxmlformats.org/officeDocument/2006/relationships/worksheet" Target="/xl/worksheets/sheet4.xml" Id="Ra80c463a265a4d76" /><Relationship Type="http://schemas.openxmlformats.org/officeDocument/2006/relationships/worksheet" Target="/xl/worksheets/sheet5.xml" Id="R9756b438cf484be5" /><Relationship Type="http://schemas.openxmlformats.org/officeDocument/2006/relationships/worksheet" Target="/xl/worksheets/sheet6.xml" Id="Raddb624356e34b15" /><Relationship Type="http://schemas.openxmlformats.org/officeDocument/2006/relationships/worksheet" Target="/xl/worksheets/sheet7.xml" Id="R1c394187daf141a3" /><Relationship Type="http://schemas.openxmlformats.org/officeDocument/2006/relationships/worksheet" Target="/xl/worksheets/sheet8.xml" Id="R14f333574d474fcb" /><Relationship Type="http://schemas.openxmlformats.org/officeDocument/2006/relationships/worksheet" Target="/xl/worksheets/sheet9.xml" Id="R4400e2dea0784ef5" /><Relationship Type="http://schemas.openxmlformats.org/officeDocument/2006/relationships/worksheet" Target="/xl/worksheets/sheet10.xml" Id="R4804c366948f43d6" /><Relationship Type="http://schemas.openxmlformats.org/officeDocument/2006/relationships/worksheet" Target="/xl/worksheets/sheet11.xml" Id="R301b207bdfe94003" /><Relationship Type="http://schemas.openxmlformats.org/officeDocument/2006/relationships/worksheet" Target="/xl/worksheets/sheet12.xml" Id="R2ae33a067437435e" /><Relationship Type="http://schemas.openxmlformats.org/officeDocument/2006/relationships/worksheet" Target="/xl/worksheets/sheet13.xml" Id="R675753db84be46d3" /><Relationship Type="http://schemas.openxmlformats.org/officeDocument/2006/relationships/worksheet" Target="/xl/worksheets/sheet14.xml" Id="Reb3650bf8df44fe0" /><Relationship Type="http://schemas.openxmlformats.org/officeDocument/2006/relationships/worksheet" Target="/xl/worksheets/sheet15.xml" Id="R811a8925c70049a2" /><Relationship Type="http://schemas.openxmlformats.org/officeDocument/2006/relationships/worksheet" Target="/xl/worksheets/sheet16.xml" Id="R9f7ca1bd1cc14579" /><Relationship Type="http://schemas.openxmlformats.org/officeDocument/2006/relationships/worksheet" Target="/xl/worksheets/sheet17.xml" Id="R362889a9e2534014" /><Relationship Type="http://schemas.openxmlformats.org/officeDocument/2006/relationships/worksheet" Target="/xl/worksheets/sheet18.xml" Id="R5e0bca21618c4487" /><Relationship Type="http://schemas.openxmlformats.org/officeDocument/2006/relationships/worksheet" Target="/xl/worksheets/sheet19.xml" Id="Rc05f0a4747dc4a04" /><Relationship Type="http://schemas.openxmlformats.org/officeDocument/2006/relationships/worksheet" Target="/xl/worksheets/sheet20.xml" Id="Rebef640efa6b41c2" /><Relationship Type="http://schemas.openxmlformats.org/officeDocument/2006/relationships/worksheet" Target="/xl/worksheets/sheet21.xml" Id="R2fd6126ca65d4a47" /><Relationship Type="http://schemas.openxmlformats.org/officeDocument/2006/relationships/worksheet" Target="/xl/worksheets/sheet22.xml" Id="R5c111398b9f4445a" /><Relationship Type="http://schemas.openxmlformats.org/officeDocument/2006/relationships/worksheet" Target="/xl/worksheets/sheet23.xml" Id="R9cf98573af3a4db8" /><Relationship Type="http://schemas.openxmlformats.org/officeDocument/2006/relationships/worksheet" Target="/xl/worksheets/sheet24.xml" Id="R420f9b6987f24190" /><Relationship Type="http://schemas.openxmlformats.org/officeDocument/2006/relationships/worksheet" Target="/xl/worksheets/sheet25.xml" Id="R59fbfa5d25f140f2" /><Relationship Type="http://schemas.openxmlformats.org/officeDocument/2006/relationships/worksheet" Target="/xl/worksheets/sheet26.xml" Id="R32289d7270844126" /></Relationships>
</file>

<file path=xl/drawings/_rels/drawing1.xml.rels>&#65279;<?xml version="1.0" encoding="utf-8"?><Relationships xmlns="http://schemas.openxmlformats.org/package/2006/relationships"><Relationship Type="http://schemas.openxmlformats.org/officeDocument/2006/relationships/chart" Target="/xl/drawings/charts/chart1.xml" Id="Rdfecf658687e4f24"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fecf658687e4f24"/>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26afa3a62154506" /></Relationships>
</file>

<file path=xl/worksheets/_rels/sheet2.xml.rels>&#65279;<?xml version="1.0" encoding="utf-8"?><Relationships xmlns="http://schemas.openxmlformats.org/package/2006/relationships"><Relationship Type="http://schemas.openxmlformats.org/officeDocument/2006/relationships/table" Target="/xl/tables/table2.xml" Id="R36d12d648b9142ff" /></Relationships>
</file>

<file path=xl/worksheets/_rels/sheet3.xml.rels>&#65279;<?xml version="1.0" encoding="utf-8"?><Relationships xmlns="http://schemas.openxmlformats.org/package/2006/relationships"><Relationship Type="http://schemas.openxmlformats.org/officeDocument/2006/relationships/drawing" Target="/xl/drawings/drawing1.xml" Id="R633438c6440e444f" /></Relationships>
</file>

<file path=xl/worksheets/_rels/sheet4.xml.rels>&#65279;<?xml version="1.0" encoding="utf-8"?><Relationships xmlns="http://schemas.openxmlformats.org/package/2006/relationships"><Relationship Type="http://schemas.openxmlformats.org/officeDocument/2006/relationships/table" Target="/xl/tables/table3.xml" Id="R25dce86a2ec547b7" /></Relationships>
</file>

<file path=xl/worksheets/_rels/sheet5.xml.rels>&#65279;<?xml version="1.0" encoding="utf-8"?><Relationships xmlns="http://schemas.openxmlformats.org/package/2006/relationships"><Relationship Type="http://schemas.openxmlformats.org/officeDocument/2006/relationships/table" Target="/xl/tables/table4.xml" Id="R33404ab9648c47a0" /></Relationships>
</file>

<file path=xl/worksheets/_rels/sheet6.xml.rels>&#65279;<?xml version="1.0" encoding="utf-8"?><Relationships xmlns="http://schemas.openxmlformats.org/package/2006/relationships"><Relationship Type="http://schemas.openxmlformats.org/officeDocument/2006/relationships/table" Target="/xl/tables/table5.xml" Id="Rff90fee9de3d4b89" /></Relationships>
</file>

<file path=xl/worksheets/_rels/sheet7.xml.rels>&#65279;<?xml version="1.0" encoding="utf-8"?><Relationships xmlns="http://schemas.openxmlformats.org/package/2006/relationships"><Relationship Type="http://schemas.openxmlformats.org/officeDocument/2006/relationships/table" Target="/xl/tables/table6.xml" Id="Re55e5fc76d524ece" /></Relationships>
</file>

<file path=xl/worksheets/_rels/sheet9.xml.rels>&#65279;<?xml version="1.0" encoding="utf-8"?><Relationships xmlns="http://schemas.openxmlformats.org/package/2006/relationships"><Relationship Type="http://schemas.openxmlformats.org/officeDocument/2006/relationships/table" Target="/xl/tables/table7.xml" Id="Rbeac70f0f5da41ba" /></Relationships>
</file>

<file path=xl/worksheets/_rels/sheet10.xml.rels>&#65279;<?xml version="1.0" encoding="utf-8"?><Relationships xmlns="http://schemas.openxmlformats.org/package/2006/relationships"><Relationship Type="http://schemas.openxmlformats.org/officeDocument/2006/relationships/table" Target="/xl/tables/table8.xml" Id="R65408f7861de4fc3" /></Relationships>
</file>

<file path=xl/worksheets/_rels/sheet11.xml.rels>&#65279;<?xml version="1.0" encoding="utf-8"?><Relationships xmlns="http://schemas.openxmlformats.org/package/2006/relationships"><Relationship Type="http://schemas.openxmlformats.org/officeDocument/2006/relationships/table" Target="/xl/tables/table9.xml" Id="R492341a27a704cf1" /></Relationships>
</file>

<file path=xl/worksheets/_rels/sheet13.xml.rels>&#65279;<?xml version="1.0" encoding="utf-8"?><Relationships xmlns="http://schemas.openxmlformats.org/package/2006/relationships"><Relationship Type="http://schemas.openxmlformats.org/officeDocument/2006/relationships/table" Target="/xl/tables/table10.xml" Id="Rb8a12e4796f840e4" /></Relationships>
</file>

<file path=xl/worksheets/_rels/sheet14.xml.rels>&#65279;<?xml version="1.0" encoding="utf-8"?><Relationships xmlns="http://schemas.openxmlformats.org/package/2006/relationships"><Relationship Type="http://schemas.openxmlformats.org/officeDocument/2006/relationships/table" Target="/xl/tables/table11.xml" Id="R30309472056d49a5" /></Relationships>
</file>

<file path=xl/worksheets/_rels/sheet15.xml.rels>&#65279;<?xml version="1.0" encoding="utf-8"?><Relationships xmlns="http://schemas.openxmlformats.org/package/2006/relationships"><Relationship Type="http://schemas.openxmlformats.org/officeDocument/2006/relationships/table" Target="/xl/tables/table12.xml" Id="R85b7c8b8edcd42e0" /></Relationships>
</file>

<file path=xl/worksheets/_rels/sheet16.xml.rels>&#65279;<?xml version="1.0" encoding="utf-8"?><Relationships xmlns="http://schemas.openxmlformats.org/package/2006/relationships"><Relationship Type="http://schemas.openxmlformats.org/officeDocument/2006/relationships/table" Target="/xl/tables/table13.xml" Id="R3f3459bd67b7468b"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426afa3a62154506"/>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36d12d648b9142ff"/>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264</x:v>
      </x:c>
      <x:c r="D6" s="133" t="inlineStr">
        <x:is>
          <x:t xml:space="preserve">G0A — Corporate platform architecture ready</x:t>
        </x:is>
      </x:c>
      <x:c r="E6" s="32" t="str">
        <x:f>'03 Launch Gates'!D20</x:f>
        <x:v>Completed</x:v>
      </x:c>
      <x:c r="G6" t="inlineStr">
        <x:is>
          <x:t xml:space="preserve">UI Tasks Complete</x:t>
        </x:is>
      </x:c>
      <x:c r="H6" t="n">
        <x:f>SUM(B36:B46)</x:f>
        <x:v>42</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0.7193460490463215</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0.7381818181818182</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7</x:v>
      </x:c>
      <x:c r="C37" s="133" t="n">
        <x:f>COUNTIFS('01 Master Plan'!C$5:C$383,A37,'01 Master Plan'!H$5:H$383,"In Progress")</x:f>
        <x:v>0</x:v>
      </x:c>
      <x:c r="D37" s="133" t="n">
        <x:f>COUNTIFS('01 Master Plan'!C$5:C$383,A37,'01 Master Plan'!H$5:H$383,"Not Started")</x:f>
        <x:v>5</x:v>
      </x:c>
      <x:c r="E37" s="133" t="n">
        <x:f>COUNTIFS('01 Master Plan'!C$5:C$383,A37,'01 Master Plan'!H$5:H$383,"Blocked")</x:f>
        <x:v>0</x:v>
      </x:c>
      <x:c r="F37" s="133" t="n">
        <x:f>COUNTIFS('01 Master Plan'!C$5:C$383,A37,'01 Master Plan'!H$5:H$383,"Deferred")</x:f>
        <x:v>0</x:v>
      </x:c>
      <x:c r="G37" s="255" t="n">
        <x:f>IFERROR(B37/(B37+C37+D37+E37),0)</x:f>
        <x:v>0.5833333333333334</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633438c6440e444f"/>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25dce86a2ec547b7"/>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33404ab9648c47a0"/>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ff90fee9de3d4b89"/>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e55e5fc76d524ece"/>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beac70f0f5da41ba"/>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65408f7861de4fc3"/>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492341a27a704cf1"/>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U1 IN PROGRESS — 13B-01 through 13B-07 complete. Dark semantic foundation now includes colors, theme compatibility, typography, spacing/grid, surfaces/depth, semantic status palette, and Nexus Intelligence visual language. Next: 13B-08 focus/hover/selected/disabled states.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b8a12e4796f840e4"/>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30309472056d49a5"/>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85b7c8b8edcd42e0"/>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3f3459bd67b7468b"/>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