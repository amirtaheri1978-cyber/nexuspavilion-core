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5a48c39c41a43b3" /></Relationships>
</file>

<file path=xl/workbook.xml><?xml version="1.0" encoding="utf-8"?>
<x:workbook xmlns:x="http://schemas.openxmlformats.org/spreadsheetml/2006/main">
  <x:sheets>
    <x:sheet xmlns:r="http://schemas.openxmlformats.org/officeDocument/2006/relationships" name="01 Master Plan" sheetId="1" r:id="R93c2915486064557"/>
    <x:sheet xmlns:r="http://schemas.openxmlformats.org/officeDocument/2006/relationships" name="03 Launch Gates" sheetId="2" r:id="Rf84061aa5f774fb9"/>
    <x:sheet xmlns:r="http://schemas.openxmlformats.org/officeDocument/2006/relationships" name="00 Dashboard" sheetId="3" r:id="R3af12ee73e714f6b"/>
    <x:sheet xmlns:r="http://schemas.openxmlformats.org/officeDocument/2006/relationships" name="04 Cursor Tasks" sheetId="4" r:id="Rcfd6eec0c57a4191"/>
    <x:sheet xmlns:r="http://schemas.openxmlformats.org/officeDocument/2006/relationships" name="05 UAT Matrix" sheetId="5" r:id="Rc2c6bf91d5ee4c8a"/>
    <x:sheet xmlns:r="http://schemas.openxmlformats.org/officeDocument/2006/relationships" name="06 Security Matrix" sheetId="6" r:id="Rd0c25cc2be6c4e3a"/>
    <x:sheet xmlns:r="http://schemas.openxmlformats.org/officeDocument/2006/relationships" name="07 Risks" sheetId="7" r:id="Rb18c18c488bf46fc"/>
    <x:sheet xmlns:r="http://schemas.openxmlformats.org/officeDocument/2006/relationships" name="08 Architecture" sheetId="8" r:id="R6a9e48cf007241cc"/>
    <x:sheet xmlns:r="http://schemas.openxmlformats.org/officeDocument/2006/relationships" name="09 Release Checklist" sheetId="9" r:id="Rec9696e139484c9c"/>
    <x:sheet xmlns:r="http://schemas.openxmlformats.org/officeDocument/2006/relationships" name="10 Change Log" sheetId="10" r:id="Rbdf48bed4a614dcd"/>
    <x:sheet xmlns:r="http://schemas.openxmlformats.org/officeDocument/2006/relationships" name="11 Scope &amp; Roadmap" sheetId="11" r:id="R0c7bdaceb8c1444c"/>
    <x:sheet xmlns:r="http://schemas.openxmlformats.org/officeDocument/2006/relationships" name="12 How to Use" sheetId="12" r:id="R99923f65ee2149d9"/>
    <x:sheet xmlns:r="http://schemas.openxmlformats.org/officeDocument/2006/relationships" name="13 UI Program" sheetId="13" r:id="Rac5769fac92a49d8"/>
    <x:sheet xmlns:r="http://schemas.openxmlformats.org/officeDocument/2006/relationships" name="14 UI Scorecard" sheetId="14" r:id="R70a179a7be0644bf"/>
    <x:sheet xmlns:r="http://schemas.openxmlformats.org/officeDocument/2006/relationships" name="15 Motion Guidance" sheetId="15" r:id="R8beccc9fee8a44be"/>
    <x:sheet xmlns:r="http://schemas.openxmlformats.org/officeDocument/2006/relationships" name="16 Design Standards" sheetId="16" r:id="R9b535bdd3005435e"/>
    <x:sheet xmlns:r="http://schemas.openxmlformats.org/officeDocument/2006/relationships" name="17 Corporate Platform" sheetId="17" r:id="R542f213b693648d7"/>
    <x:sheet xmlns:r="http://schemas.openxmlformats.org/officeDocument/2006/relationships" name="18 Analytics Reuse Map" sheetId="18" r:id="Rb6714d3d465240fc"/>
    <x:sheet xmlns:r="http://schemas.openxmlformats.org/officeDocument/2006/relationships" name="19 Executive Insights Discovery" sheetId="19" r:id="R5ad6c49be3c54510"/>
    <x:sheet xmlns:r="http://schemas.openxmlformats.org/officeDocument/2006/relationships" name="20 Procurement Insights Discovery" sheetId="20" r:id="Raa4adc62a6b842ec"/>
    <x:sheet xmlns:r="http://schemas.openxmlformats.org/officeDocument/2006/relationships" name="21 Commercial Insights Discovery" sheetId="21" r:id="R4533c6436e254c66"/>
    <x:sheet xmlns:r="http://schemas.openxmlformats.org/officeDocument/2006/relationships" name="22 Project Insights Discovery" sheetId="22" r:id="Rae7c6d35d7054fb5"/>
    <x:sheet xmlns:r="http://schemas.openxmlformats.org/officeDocument/2006/relationships" name="23 Performance Discovery" sheetId="23" r:id="Re743a9f5576445f0"/>
    <x:sheet xmlns:r="http://schemas.openxmlformats.org/officeDocument/2006/relationships" name="24 Risk Compliance Discovery" sheetId="24" r:id="R625a885dd3b74e3d"/>
    <x:sheet xmlns:r="http://schemas.openxmlformats.org/officeDocument/2006/relationships" name="25 Commercial Handoff" sheetId="25" r:id="Rd4e6ba0a4822477d"/>
    <x:sheet xmlns:r="http://schemas.openxmlformats.org/officeDocument/2006/relationships" name="26 RFQ Governance" sheetId="26" r:id="R7f9fabf49d7f46f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021883b929847a6" /><Relationship Type="http://schemas.openxmlformats.org/officeDocument/2006/relationships/theme" Target="/xl/theme/theme1.xml" Id="R7109d665f8674686" /><Relationship Type="http://schemas.openxmlformats.org/officeDocument/2006/relationships/sharedStrings" Target="/xl/sharedStrings.xml" Id="Rfb124f2038f34992" /><Relationship Type="http://schemas.openxmlformats.org/officeDocument/2006/relationships/worksheet" Target="/xl/worksheets/sheet1.xml" Id="R93c2915486064557" /><Relationship Type="http://schemas.openxmlformats.org/officeDocument/2006/relationships/worksheet" Target="/xl/worksheets/sheet2.xml" Id="Rf84061aa5f774fb9" /><Relationship Type="http://schemas.openxmlformats.org/officeDocument/2006/relationships/worksheet" Target="/xl/worksheets/sheet3.xml" Id="R3af12ee73e714f6b" /><Relationship Type="http://schemas.openxmlformats.org/officeDocument/2006/relationships/worksheet" Target="/xl/worksheets/sheet4.xml" Id="Rcfd6eec0c57a4191" /><Relationship Type="http://schemas.openxmlformats.org/officeDocument/2006/relationships/worksheet" Target="/xl/worksheets/sheet5.xml" Id="Rc2c6bf91d5ee4c8a" /><Relationship Type="http://schemas.openxmlformats.org/officeDocument/2006/relationships/worksheet" Target="/xl/worksheets/sheet6.xml" Id="Rd0c25cc2be6c4e3a" /><Relationship Type="http://schemas.openxmlformats.org/officeDocument/2006/relationships/worksheet" Target="/xl/worksheets/sheet7.xml" Id="Rb18c18c488bf46fc" /><Relationship Type="http://schemas.openxmlformats.org/officeDocument/2006/relationships/worksheet" Target="/xl/worksheets/sheet8.xml" Id="R6a9e48cf007241cc" /><Relationship Type="http://schemas.openxmlformats.org/officeDocument/2006/relationships/worksheet" Target="/xl/worksheets/sheet9.xml" Id="Rec9696e139484c9c" /><Relationship Type="http://schemas.openxmlformats.org/officeDocument/2006/relationships/worksheet" Target="/xl/worksheets/sheet10.xml" Id="Rbdf48bed4a614dcd" /><Relationship Type="http://schemas.openxmlformats.org/officeDocument/2006/relationships/worksheet" Target="/xl/worksheets/sheet11.xml" Id="R0c7bdaceb8c1444c" /><Relationship Type="http://schemas.openxmlformats.org/officeDocument/2006/relationships/worksheet" Target="/xl/worksheets/sheet12.xml" Id="R99923f65ee2149d9" /><Relationship Type="http://schemas.openxmlformats.org/officeDocument/2006/relationships/worksheet" Target="/xl/worksheets/sheet13.xml" Id="Rac5769fac92a49d8" /><Relationship Type="http://schemas.openxmlformats.org/officeDocument/2006/relationships/worksheet" Target="/xl/worksheets/sheet14.xml" Id="R70a179a7be0644bf" /><Relationship Type="http://schemas.openxmlformats.org/officeDocument/2006/relationships/worksheet" Target="/xl/worksheets/sheet15.xml" Id="R8beccc9fee8a44be" /><Relationship Type="http://schemas.openxmlformats.org/officeDocument/2006/relationships/worksheet" Target="/xl/worksheets/sheet16.xml" Id="R9b535bdd3005435e" /><Relationship Type="http://schemas.openxmlformats.org/officeDocument/2006/relationships/worksheet" Target="/xl/worksheets/sheet17.xml" Id="R542f213b693648d7" /><Relationship Type="http://schemas.openxmlformats.org/officeDocument/2006/relationships/worksheet" Target="/xl/worksheets/sheet18.xml" Id="Rb6714d3d465240fc" /><Relationship Type="http://schemas.openxmlformats.org/officeDocument/2006/relationships/worksheet" Target="/xl/worksheets/sheet19.xml" Id="R5ad6c49be3c54510" /><Relationship Type="http://schemas.openxmlformats.org/officeDocument/2006/relationships/worksheet" Target="/xl/worksheets/sheet20.xml" Id="Raa4adc62a6b842ec" /><Relationship Type="http://schemas.openxmlformats.org/officeDocument/2006/relationships/worksheet" Target="/xl/worksheets/sheet21.xml" Id="R4533c6436e254c66" /><Relationship Type="http://schemas.openxmlformats.org/officeDocument/2006/relationships/worksheet" Target="/xl/worksheets/sheet22.xml" Id="Rae7c6d35d7054fb5" /><Relationship Type="http://schemas.openxmlformats.org/officeDocument/2006/relationships/worksheet" Target="/xl/worksheets/sheet23.xml" Id="Re743a9f5576445f0" /><Relationship Type="http://schemas.openxmlformats.org/officeDocument/2006/relationships/worksheet" Target="/xl/worksheets/sheet24.xml" Id="R625a885dd3b74e3d" /><Relationship Type="http://schemas.openxmlformats.org/officeDocument/2006/relationships/worksheet" Target="/xl/worksheets/sheet25.xml" Id="Rd4e6ba0a4822477d" /><Relationship Type="http://schemas.openxmlformats.org/officeDocument/2006/relationships/worksheet" Target="/xl/worksheets/sheet26.xml" Id="R7f9fabf49d7f46f4" /></Relationships>
</file>

<file path=xl/drawings/_rels/drawing1.xml.rels>&#65279;<?xml version="1.0" encoding="utf-8"?><Relationships xmlns="http://schemas.openxmlformats.org/package/2006/relationships"><Relationship Type="http://schemas.openxmlformats.org/officeDocument/2006/relationships/chart" Target="/xl/drawings/charts/chart1.xml" Id="R51f7fe8bcfc54ef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f7fe8bcfc54ef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0ad699489bd4e96" /></Relationships>
</file>

<file path=xl/worksheets/_rels/sheet2.xml.rels>&#65279;<?xml version="1.0" encoding="utf-8"?><Relationships xmlns="http://schemas.openxmlformats.org/package/2006/relationships"><Relationship Type="http://schemas.openxmlformats.org/officeDocument/2006/relationships/table" Target="/xl/tables/table2.xml" Id="Rb125f515290b47bc" /></Relationships>
</file>

<file path=xl/worksheets/_rels/sheet3.xml.rels>&#65279;<?xml version="1.0" encoding="utf-8"?><Relationships xmlns="http://schemas.openxmlformats.org/package/2006/relationships"><Relationship Type="http://schemas.openxmlformats.org/officeDocument/2006/relationships/drawing" Target="/xl/drawings/drawing1.xml" Id="R720be2f764b24bc2" /></Relationships>
</file>

<file path=xl/worksheets/_rels/sheet4.xml.rels>&#65279;<?xml version="1.0" encoding="utf-8"?><Relationships xmlns="http://schemas.openxmlformats.org/package/2006/relationships"><Relationship Type="http://schemas.openxmlformats.org/officeDocument/2006/relationships/table" Target="/xl/tables/table3.xml" Id="Rf70ceec926a84ea4" /></Relationships>
</file>

<file path=xl/worksheets/_rels/sheet5.xml.rels>&#65279;<?xml version="1.0" encoding="utf-8"?><Relationships xmlns="http://schemas.openxmlformats.org/package/2006/relationships"><Relationship Type="http://schemas.openxmlformats.org/officeDocument/2006/relationships/table" Target="/xl/tables/table4.xml" Id="Rae41043de2b44446" /></Relationships>
</file>

<file path=xl/worksheets/_rels/sheet6.xml.rels>&#65279;<?xml version="1.0" encoding="utf-8"?><Relationships xmlns="http://schemas.openxmlformats.org/package/2006/relationships"><Relationship Type="http://schemas.openxmlformats.org/officeDocument/2006/relationships/table" Target="/xl/tables/table5.xml" Id="Reff658ca83854520" /></Relationships>
</file>

<file path=xl/worksheets/_rels/sheet7.xml.rels>&#65279;<?xml version="1.0" encoding="utf-8"?><Relationships xmlns="http://schemas.openxmlformats.org/package/2006/relationships"><Relationship Type="http://schemas.openxmlformats.org/officeDocument/2006/relationships/table" Target="/xl/tables/table6.xml" Id="Rfe222308e0d24d5f" /></Relationships>
</file>

<file path=xl/worksheets/_rels/sheet9.xml.rels>&#65279;<?xml version="1.0" encoding="utf-8"?><Relationships xmlns="http://schemas.openxmlformats.org/package/2006/relationships"><Relationship Type="http://schemas.openxmlformats.org/officeDocument/2006/relationships/table" Target="/xl/tables/table7.xml" Id="R918d561037fb48b6" /></Relationships>
</file>

<file path=xl/worksheets/_rels/sheet10.xml.rels>&#65279;<?xml version="1.0" encoding="utf-8"?><Relationships xmlns="http://schemas.openxmlformats.org/package/2006/relationships"><Relationship Type="http://schemas.openxmlformats.org/officeDocument/2006/relationships/table" Target="/xl/tables/table8.xml" Id="Rd3252df1fd854c2e" /></Relationships>
</file>

<file path=xl/worksheets/_rels/sheet11.xml.rels>&#65279;<?xml version="1.0" encoding="utf-8"?><Relationships xmlns="http://schemas.openxmlformats.org/package/2006/relationships"><Relationship Type="http://schemas.openxmlformats.org/officeDocument/2006/relationships/table" Target="/xl/tables/table9.xml" Id="R1559155a240f4f77" /></Relationships>
</file>

<file path=xl/worksheets/_rels/sheet13.xml.rels>&#65279;<?xml version="1.0" encoding="utf-8"?><Relationships xmlns="http://schemas.openxmlformats.org/package/2006/relationships"><Relationship Type="http://schemas.openxmlformats.org/officeDocument/2006/relationships/table" Target="/xl/tables/table10.xml" Id="R4ef4c5caf234494b" /></Relationships>
</file>

<file path=xl/worksheets/_rels/sheet14.xml.rels>&#65279;<?xml version="1.0" encoding="utf-8"?><Relationships xmlns="http://schemas.openxmlformats.org/package/2006/relationships"><Relationship Type="http://schemas.openxmlformats.org/officeDocument/2006/relationships/table" Target="/xl/tables/table11.xml" Id="R571057cf94344f74" /></Relationships>
</file>

<file path=xl/worksheets/_rels/sheet15.xml.rels>&#65279;<?xml version="1.0" encoding="utf-8"?><Relationships xmlns="http://schemas.openxmlformats.org/package/2006/relationships"><Relationship Type="http://schemas.openxmlformats.org/officeDocument/2006/relationships/table" Target="/xl/tables/table12.xml" Id="R1fd3c5ca00e744cb" /></Relationships>
</file>

<file path=xl/worksheets/_rels/sheet16.xml.rels>&#65279;<?xml version="1.0" encoding="utf-8"?><Relationships xmlns="http://schemas.openxmlformats.org/package/2006/relationships"><Relationship Type="http://schemas.openxmlformats.org/officeDocument/2006/relationships/table" Target="/xl/tables/table13.xml" Id="Ra2f2103da7624b6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v>✓</x:v>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str">
        <x:v>Completed</x:v>
      </x:c>
      <x:c r="I331" s="133" t="str">
        <x:v>Project Owner / Product / Engineering</x:v>
      </x:c>
      <x:c r="J331" s="133" t="str"/>
      <x:c r="K331" s="133" t="inlineStr">
        <x:is>
          <x:t xml:space="preserve">13H-20</x:t>
        </x:is>
      </x:c>
      <x:c r="L331" s="133" t="str"/>
      <x:c r="M331" s="133" t="str">
        <x:v>PASS / CORE UI RESCORE CLOSED WITH EXPLICIT ISSUER-SURFACE WAIVER — The user explicitly authorized skipping the three remaining issuer-only surfaces that could not be verified without a legitimate issuer-owned RFQ: Market Engagement &amp; Publishing, Issuer RFI/Addenda Management, and Evaluation &amp; Award. No synthetic scores were assigned; these surfaces remain documented as intentionally unverified/waived for this gate.</x:v>
      </x:c>
      <x:c r="N331" s="249" t="n"/>
      <x:c r="O331" s="249" t="n">
        <x:v>46297</x:v>
      </x:c>
      <x:c r="P331" s="135" t="str">
        <x:v>13I-01 closed from the verified 17-surface score matrix plus explicit user authorization to waive the three issuer-only surfaces. Verified scores: Executive Overview 9.1; Procurement Center Landing 9.2 provisional/respondent-context; RFQ Drafting &amp; Configuration 9.4; Respondent RFQ Review &amp; Scoping 9.3; Respondent RFI/Addenda 9.4; Quote/Proposal Preparation 9.4; Submission &amp; Award Tracking 9.5; Activity Center 9.4; Project Portfolio 9.5; Company Network 9.3; Strategic Insights 9.4; Identity &amp; Profile 9.6; Team &amp; Access 9.5; Capabilities &amp; Qualifications 9.5; Compliance &amp; Documents 9.5; Policies &amp; Approvals 9.5; Integrations &amp; Settings 9.5. Three issuer-only surfaces remain intentionally unscored; no score was fabricated and the waiver does not constitute evidence that those surfaces meet 9.0 or 9.5 thresholds. The acknowledgement-state launch defect discovered during scoring was remediated and published at ffc784b7bc5c32e032ebc1888480667c78c2bb88. Next canonical task: 13I-02 — Require no critical page below 9.0.</x:v>
      </x:c>
    </x:row>
    <x:row r="332">
      <x:c r="A332" s="133" t="str">
        <x:v>✓</x:v>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str">
        <x:v>Completed</x:v>
      </x:c>
      <x:c r="I332" s="133" t="str">
        <x:v>Project Owner / Product / Engineering</x:v>
      </x:c>
      <x:c r="J332" s="133" t="str"/>
      <x:c r="K332" s="133" t="inlineStr">
        <x:is>
          <x:t xml:space="preserve">13I-01</x:t>
        </x:is>
      </x:c>
      <x:c r="L332" s="133" t="str"/>
      <x:c r="M332" s="133" t="str">
        <x:v>PASS / NO VERIFIED CRITICAL PAGE BELOW 9.0 — Across all 17 scored/verified core surfaces, the minimum weighted score is 9.1. The three issuer-only surfaces are excluded from this gate by explicit user waiver and remain unscored, not treated as passing evidence.</x:v>
      </x:c>
      <x:c r="N332" s="249" t="n"/>
      <x:c r="O332" s="249" t="n">
        <x:v>46297</x:v>
      </x:c>
      <x:c r="P332" s="135" t="str">
        <x:v>Evidence: minimum verified core-page score is Executive Overview at 9.1/10. No verified/scored core page remains below the 9.0 UI sign-off threshold after the closed-addendum acknowledgement remediation. Authorized skip applies only to the three unavailable issuer-only surfaces; they are not assigned passing scores and remain an explicit evidence limitation. Next canonical task: 13I-03 — Target overall core-page average ≥ 9.5.</x:v>
      </x:c>
    </x:row>
    <x:row r="333">
      <x:c r="A333" s="133" t="str">
        <x:v>✓</x:v>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str">
        <x:v>Average weighted UI score across verified core pages is at least 9.4/10, per explicit user-approved threshold revision.</x:v>
      </x:c>
      <x:c r="G333" s="133" t="inlineStr">
        <x:is>
          <x:t xml:space="preserve">P0</x:t>
        </x:is>
      </x:c>
      <x:c r="H333" s="133" t="str">
        <x:v>Completed</x:v>
      </x:c>
      <x:c r="I333" s="133" t="str">
        <x:v>Project Owner / Product / Engineering</x:v>
      </x:c>
      <x:c r="J333" s="133" t="str"/>
      <x:c r="K333" s="133" t="inlineStr">
        <x:is>
          <x:t xml:space="preserve">13I-01</x:t>
        </x:is>
      </x:c>
      <x:c r="L333" s="133" t="str"/>
      <x:c r="M333" s="133" t="str">
        <x:v>PASS / VERIFIED CORE-PAGE AVERAGE ≥ 9.4 — The user explicitly approved 9.4 as the acceptable overall average threshold for 13I-03. The 17 verified/scored core surfaces average approximately 9.41/10. Three issuer-only surfaces remain waived/unscored and are not included as passing evidence.</x:v>
      </x:c>
      <x:c r="N333" s="249" t="n"/>
      <x:c r="O333" s="249" t="n">
        <x:v>46297</x:v>
      </x:c>
      <x:c r="P333" s="135" t="str">
        <x:v>Requirement change recorded explicitly: 13I-03 overall average target revised from ≥9.5 to ≥9.4. This does not change 13I-02: no verified critical page may be below 9.0. Verified matrix average is approximately 9.41/10 across 17 scored surfaces, therefore the revised threshold is met. Issuer-only Market Engagement &amp; Publishing, Issuer RFI/Addenda Management, and Evaluation &amp; Award remain authorized-waiver/unscored surfaces and are excluded from the computed average rather than assigned synthetic values. Next canonical task: 13I-04 — Run dark-mode consistency audit.</x:v>
      </x:c>
    </x:row>
    <x:row r="334">
      <x:c r="A334" s="133" t="str">
        <x:v>✓</x:v>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str">
        <x:v>Completed</x:v>
      </x:c>
      <x:c r="I334" s="133" t="str">
        <x:v>Project Owner / Product / Engineering</x:v>
      </x:c>
      <x:c r="J334" s="133" t="str"/>
      <x:c r="K334" s="133" t="inlineStr">
        <x:is>
          <x:t xml:space="preserve">13I-01</x:t>
        </x:is>
      </x:c>
      <x:c r="L334" s="133" t="str"/>
      <x:c r="M334" s="133" t="str">
        <x:v>PASS / DARK-MODE CONSISTENCY AUDIT — Evidence-only closeout. Representative authenticated surfaces across Dashboard, Procurement Center, RFQ Drafting, Respondent RFQ Workspace, Activity Center, Strategic Insights, Project Portfolio, and Workspace Settings were verified at desktop/tablet/mobile with no conflicting dark-surface language, semantic status-color conflicts, CTA hierarchy conflicts, typography-system conflicts, or mobile light-surface leaks.</x:v>
      </x:c>
      <x:c r="N334" s="249" t="n"/>
      <x:c r="O334" s="249" t="n">
        <x:v>46297</x:v>
      </x:c>
      <x:c r="P334" s="135" t="str">
        <x:v>Read-only audit on canonical HEAD 6781f1e59ce5a8885c3e32830e096860bc3ac1d7 using isolated clean worktree C:\Users\amirt\Documents\nexuspavilion-13i-04. All eight representative authenticated surfaces PASS at 1440/1024/390. Body background remained consistently #07111F / rgb(7,17,31) where measured. No P0, P1, or actionable P2 dark-mode findings were identified. No conflicting surface language, semantic status colors, CTA hierarchy, typography-system conflicts, obvious contrast blockers, or mobile dark-surface defects were observed. Activity Center retains some cyan-300/raw gold class aliases, but these produced no visible inconsistency and therefore do not justify reopening the closed surface. No files changed. Main dirty repository untouched. Next canonical task: 13I-05 — Run motion consistency and annoyance audit.</x:v>
      </x:c>
    </x:row>
    <x:row r="335">
      <x:c r="A335" s="133" t="str">
        <x:v>✓</x:v>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str">
        <x:v>Completed</x:v>
      </x:c>
      <x:c r="I335" s="133" t="str">
        <x:v>Project Owner / Product / Engineering</x:v>
      </x:c>
      <x:c r="J335" s="133" t="str"/>
      <x:c r="K335" s="133" t="inlineStr">
        <x:is>
          <x:t xml:space="preserve">13I-01</x:t>
        </x:is>
      </x:c>
      <x:c r="L335" s="133" t="str"/>
      <x:c r="M335" s="133" t="str">
        <x:v>PASS / MOTION CONSISTENCY AND ANNOYANCE AUDIT — Evidence-only closeout. Representative authenticated surfaces were verified at desktop/tablet/mobile with no excessive continuous animation, repeated popup/toast annoyance, motion-related layout shifts, performance issues, or mobile motion defects.</x:v>
      </x:c>
      <x:c r="N335" s="249" t="n"/>
      <x:c r="O335" s="249" t="n">
        <x:v>46297</x:v>
      </x:c>
      <x:c r="P335" s="135" t="str">
        <x:v>Read-only audit on canonical HEAD 86534b5c1442a654b39f5802578442d3f088901d using isolated clean worktree C:\Users\amirt\Documents\nexuspavilion-13i-05. Across Executive Overview, Procurement Center, RFQ Drafting, Respondent RFQ Workspace, Quote/Proposal Preparation, Activity Center, Strategic Insights, and Workspace Settings, steady-state pages showed zero infinite CSS animations. No P0 or P1 findings were identified. One P2 finding remains: Strategic Insights export action cards use hover:-translate-y-1 without a reduced-motion guard; a latent animate-ping in CEO action center also lacks a reduced-motion guard but was not active in the current insufficient-data state. These are non-blocking for 13I-05 and should be explicitly checked under 13I-06 motion/accessibility regression rather than reopening completed surfaces now. No files changed. Main dirty repository untouched. Next canonical task: 13I-06 — Run motion/accessibility regression.</x:v>
      </x:c>
    </x:row>
    <x:row r="336">
      <x:c r="A336" s="133" t="str">
        <x:v>✓</x:v>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str">
        <x:v>Completed</x:v>
      </x:c>
      <x:c r="I336" s="133" t="str">
        <x:v>Project Owner / Product / Engineering</x:v>
      </x:c>
      <x:c r="J336" s="133" t="str"/>
      <x:c r="K336" s="133" t="inlineStr">
        <x:is>
          <x:t xml:space="preserve">13I-01</x:t>
        </x:is>
      </x:c>
      <x:c r="L336" s="133" t="inlineStr">
        <x:is>
          <x:t xml:space="preserve">G10</x:t>
        </x:is>
      </x:c>
      <x:c r="M336" s="133" t="str">
        <x:v>PASS / MOTION &amp; ACCESSIBILITY REGRESSION — Evidence-only closeout. Representative authenticated surfaces passed reduced-motion, keyboard navigation, focus visibility, labels/semantics, observable contrast, and responsive accessibility checks with no P0/P1 accessibility defects.</x:v>
      </x:c>
      <x:c r="N336" s="249" t="n"/>
      <x:c r="O336" s="249" t="n">
        <x:v>46297</x:v>
      </x:c>
      <x:c r="P336" s="135" t="str">
        <x:v>Read-only audit on canonical HEAD 0c9663ba0f0826a5564e27dbe643941ba460f5cc using isolated clean worktree C:\Users\amirt\Documents\nexuspavilion-13i-06. prefers-reduced-motion: reduce was confirmed active; global globals.css guards suppress animation-name and transition-property under reduced motion. Executive Overview, Procurement Center, RFQ Drafting, Respondent RFQ Workspace, Quote/Proposal Preparation, Activity Center, Strategic Insights, and Workspace Settings all PASS across reduced motion, keyboard, focus, labels/semantics, contrast observation, and responsive accessibility. Closed Addendum accessibility regression PASS: Acknowledgement Status: Closed, explicit closed-window copy, historical Unacknowledged state retained, no Acknowledge control, and status is not color-only. No keyboard traps, unreachable critical controls, focus visibility defects, label/semantic defects, obvious contrast blockers, material reduced-motion defects, or mobile accessibility defects were found. One P2 remains: Analytics export cards retain hover:-translate-y-1 without a local motion-reduce utility, but global reduced-motion CSS suppresses transitions and no information is lost. CEO Action Center animate-ping is globally suppressed under reduced-motion and is not a current P0/P1. No files changed. Main dirty repository untouched. Next canonical task: 13I-07 — Run UI performance regression.</x:v>
      </x:c>
    </x:row>
    <x:row r="337">
      <x:c r="A337" s="133" t="str">
        <x:v>✓</x:v>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str">
        <x:v>Completed</x:v>
      </x:c>
      <x:c r="I337" s="133" t="str">
        <x:v>Project Owner / Product / Engineering</x:v>
      </x:c>
      <x:c r="J337" s="133" t="str"/>
      <x:c r="K337" s="133" t="inlineStr">
        <x:is>
          <x:t xml:space="preserve">13I-01</x:t>
        </x:is>
      </x:c>
      <x:c r="L337" s="133" t="inlineStr">
        <x:is>
          <x:t xml:space="preserve">G10</x:t>
        </x:is>
      </x:c>
      <x:c r="M337" s="133" t="str">
        <x:v>PASS / UI PERFORMANCE REGRESSION — Evidence-only closeout. Representative authenticated surfaces passed production-build load, interaction responsiveness, layout stability, motion/help impact, and responsive performance checks with no P0/P1 performance regressions.</x:v>
      </x:c>
      <x:c r="N337" s="249" t="n"/>
      <x:c r="O337" s="249" t="n">
        <x:v>46297</x:v>
      </x:c>
      <x:c r="P337" s="135" t="str">
        <x:v>Read-only audit on canonical HEAD f2f8f0e29d78bbcc0446bf17f23b774cfdec7781 using isolated clean worktree C:\Users\amirt\Documents\nexuspavilion-13i-07 and production next start on :3045. Executive Overview, Procurement Center, RFQ Drafting, Respondent RFQ Workspace, Quote/Proposal Preparation, Activity Center, Strategic Insights, and Workspace Settings all PASS at 1440/1024/390 for initial usability, interaction responsiveness, layout stability, and motion/help impact. No persistent UI freezes, material input lag, material scroll jank, repeated request loops, major content layout shifts, motion-related performance degradation, help-panel performance degradation, or console/runtime performance regressions were observed. Measured examples included DCL approximately 0.4–0.9s on Dashboard, short longtasks only (~83ms max observed), RFQ Drafting typing approximately 0–0.3ms/key, and Workspace Settings typing approximately 0.2ms average. Two P2 observations remain non-blocking: Strategic Insights is DOM-heavy (~2.2–2.4k nodes / ~22k scroll height) but showed zero longtasks during scroll; Next.js hover/link RSC prefetches produced short repeated fetches without responsiveness degradation. Sidebar/menu expansion can inflate CLS when intentionally toggled, but no major content instability was observed during normal route load. No files changed. Main dirty repository untouched. Next canonical task: 13I-08 — Verify logo/footer/brand consistency.</x:v>
      </x:c>
    </x:row>
    <x:row r="338">
      <x:c r="A338" s="133" t="str">
        <x:v>✓</x:v>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str">
        <x:v>Completed</x:v>
      </x:c>
      <x:c r="I338" s="133" t="str">
        <x:v>Project Owner / Product / Engineering</x:v>
      </x:c>
      <x:c r="J338" s="133" t="str"/>
      <x:c r="K338" s="133" t="inlineStr">
        <x:is>
          <x:t xml:space="preserve">13I-01</x:t>
        </x:is>
      </x:c>
      <x:c r="L338" s="133" t="str"/>
      <x:c r="M338" s="133" t="str">
        <x:v>PASS / LOGO, FOOTER &amp; BRAND CONSISTENCY — Evidence-only closeout. Canonical logo assets/components, authenticated sidebar/topbar, collapsed/mobile branding, footer attribution, and parent/product naming were verified across representative authenticated surfaces with no P0/P1/P2 brand inconsistencies.</x:v>
      </x:c>
      <x:c r="N338" s="249" t="n"/>
      <x:c r="O338" s="249" t="n">
        <x:v>46297</x:v>
      </x:c>
      <x:c r="P338" s="135" t="str">
        <x:v>Read-only audit on canonical HEAD 283f35e5031490652b4f644367694632f2f590bd using isolated clean worktree C:\Users\amirt\Documents\nexuspavilion-13i-08. Canonical branding uses src/components/branding/nexus-pavilion-logo.tsx with /public/branding/logo-horizontal-1024.png for expanded sidebar and /public/branding/logo-icon-512.png for collapsed/mobile/topbar. Authenticated attribution is provided by src/components/application-footer.tsx within src/components/app-shell.tsx. Executive Overview, Procurement Center, RFQ Drafting, Respondent RFQ Workspace, Activity Center, Strategic Insights, Project Portfolio, and Workspace Settings all PASS at desktop/tablet/mobile. Authenticated footer copy consistently presents 'Intelligent Procurement · A Nexus Pavilion Inc. product' with Privacy/Terms/Support. Corporate parent/product separation PASS; no rejected product-name references; no personal Gmail exposed in audited authenticated branding; no wrong/recreated logo, distortion, clipping, or footer inconsistency observed. A member profile may display a user's Gmail address, but this is user identity data rather than corporate/product branding attribution and is not a defect under this task. No files changed. Main dirty repository untouched. Next canonical task: 13I-09 — Capture final representative screenshots.</x:v>
      </x:c>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0ad699489bd4e9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b125f515290b47b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355</x:v>
      </x:c>
      <x:c r="D6" s="133" t="inlineStr">
        <x:is>
          <x:t xml:space="preserve">G0A — Corporate platform architecture ready</x:t>
        </x:is>
      </x:c>
      <x:c r="E6" s="32" t="str">
        <x:f>'03 Launch Gates'!D20</x:f>
        <x:v>Completed</x:v>
      </x:c>
      <x:c r="G6" t="inlineStr">
        <x:is>
          <x:t xml:space="preserve">UI Tasks Complete</x:t>
        </x:is>
      </x:c>
      <x:c r="H6" t="n">
        <x:f>SUM(B36:B46)</x:f>
        <x:v>133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0.9673024523160763</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0.9781818181818182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8</x:v>
      </x:c>
      <x:c r="C45" s="28" t="n">
        <x:f>COUNTIFS('01 Master Plan'!C$5:C$383,A45,'01 Master Plan'!H$5:H$383,"In Progress")</x:f>
        <x:v>0</x:v>
      </x:c>
      <x:c r="D45" s="28" t="n">
        <x:f>COUNTIFS('01 Master Plan'!C$5:C$383,A45,'01 Master Plan'!H$5:H$383,"Not Started")</x:f>
        <x:v>2</x:v>
      </x:c>
      <x:c r="E45" s="28" t="n">
        <x:f>COUNTIFS('01 Master Plan'!C$5:C$383,A45,'01 Master Plan'!H$5:H$383,"Blocked")</x:f>
        <x:v>0</x:v>
      </x:c>
      <x:c r="F45" s="28" t="n">
        <x:f>COUNTIFS('01 Master Plan'!C$5:C$383,A45,'01 Master Plan'!H$5:H$383,"Deferred")</x:f>
        <x:v>0</x:v>
      </x:c>
      <x:c r="G45" s="258" t="n">
        <x:f>IFERROR(B45/(B45+C45+D45+E45),0)</x:f>
        <x:v>0.8</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20be2f764b24bc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70ceec926a84ea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e41043de2b4444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eff658ca8385452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fe222308e0d24d5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918d561037fb48b6"/>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row r="1289">
      <x:c r="A1289" t="n">
        <x:v>46297</x:v>
      </x:c>
      <x:c r="B1289" t="str">
        <x:v>Phase 13I / 13I-01</x:v>
      </x:c>
      <x:c r="C1289" t="str">
        <x:v>13I-01 Partial Core UI Rescore + Acknowledgement Defect Remediation</x:v>
      </x:c>
      <x:c r="D1289" t="str">
        <x:v>executive-benchmark-engine</x:v>
      </x:c>
      <x:c r="E1289" t="str">
        <x:v>ffc784b7bc5c32e032ebc1888480667c78c2bb88</x:v>
      </x:c>
      <x:c r="F1289" t="str">
        <x:v>Recorded Batch 1–4 scoring, closed the launch-critical closed-addendum acknowledgement presentation defect, and preserved issuer-only surfaces as UNVERIFIED where no issuer-authenticated RFQ evidence exists.</x:v>
      </x:c>
      <x:c r="G1289" t="str">
        <x:v>Defect remediation remote-verified at ffc784b; focused tests/lint/build/diff-check PASS; affected surface revalidated at 9.3/10. Batch scoring then confirmed no verified core surface below 9.0.</x:v>
      </x:c>
      <x:c r="H1289" t="str">
        <x:v>13I-01 IN PROGRESS</x:v>
      </x:c>
      <x:c r="I1289" t="str">
        <x:v>Three issuer-only surfaces remain unscored by design: Market Engagement &amp; Publishing, Issuer RFI/Addenda Management, Evaluation &amp; Award. No synthetic RFQ/role/deadline/commercial state used.</x:v>
      </x:c>
      <x:c r="J1289" t="str">
        <x:v>Next action: obtain a legitimate issuer-authenticated workspace with existing issuer-owned RFQ evidence, then score only the three remaining issuer surfaces. Do not begin 13I-02 until 13I-01 is complete.</x:v>
      </x:c>
    </x:row>
    <x:row r="1290">
      <x:c r="A1290" t="n">
        <x:v>46297</x:v>
      </x:c>
      <x:c r="B1290" t="str">
        <x:v>Phase 13I / 13I-01</x:v>
      </x:c>
      <x:c r="C1290" t="str">
        <x:v>13I-01 Core UI Rescore Closed with Explicit Issuer-Surface Waiver</x:v>
      </x:c>
      <x:c r="D1290" t="str">
        <x:v>executive-benchmark-engine</x:v>
      </x:c>
      <x:c r="E1290" t="str">
        <x:v>1c82c3d38cb58dd8f2c650e1dade06df1c3093b4</x:v>
      </x:c>
      <x:c r="F1290" t="str">
        <x:v>Closed the core-page rescore after explicit user authorization to skip three issuer-only surfaces that lacked legitimate issuer-owned RFQ evidence.</x:v>
      </x:c>
      <x:c r="G1290" t="str">
        <x:v>17 core surfaces carry evidence-based scores; three issuer-only surfaces remain intentionally unscored. No synthetic RFQ, role, deadline, commercial-opening state, or fabricated score was used.</x:v>
      </x:c>
      <x:c r="H1290" t="str">
        <x:v>PASS / 13I-01 CLOSED WITH AUTHORIZED WAIVER</x:v>
      </x:c>
      <x:c r="I1290" t="str">
        <x:v>Waived surfaces: Market Engagement &amp; Publishing; Issuer RFI/Addenda Management; Evaluation &amp; Award. Waiver is an evidence exception only, not proof of quality threshold compliance.</x:v>
      </x:c>
      <x:c r="J1290" t="str">
        <x:v>Next canonical task: 13I-02 — Require no critical page below 9.0.</x:v>
      </x:c>
    </x:row>
    <x:row r="1291">
      <x:c r="A1291" t="n">
        <x:v>46297</x:v>
      </x:c>
      <x:c r="B1291" t="str">
        <x:v>Phase 13I / 13I-02</x:v>
      </x:c>
      <x:c r="C1291" t="str">
        <x:v>13I-02 No Critical Verified Page Below 9.0</x:v>
      </x:c>
      <x:c r="D1291" t="str">
        <x:v>executive-benchmark-engine</x:v>
      </x:c>
      <x:c r="E1291" t="str">
        <x:v>1c82c3d38cb58dd8f2c650e1dade06df1c3093b4</x:v>
      </x:c>
      <x:c r="F1291" t="str">
        <x:v>Evaluated the verified core-page score matrix against the 9.0 critical-page floor.</x:v>
      </x:c>
      <x:c r="G1291" t="str">
        <x:v>Minimum verified score is 9.1; no verified/scored page remains below 9.0. Three issuer-only surfaces remain explicitly waived/unscored and are not counted as passing evidence.</x:v>
      </x:c>
      <x:c r="H1291" t="str">
        <x:v>PASS / 13I-02 CLOSED</x:v>
      </x:c>
      <x:c r="I1291" t="str">
        <x:v>The 9.0 floor applies to the verified score matrix only; no fabricated scores were assigned to waived issuer surfaces.</x:v>
      </x:c>
      <x:c r="J1291" t="str">
        <x:v>Next canonical task: 13I-03 — Target overall core-page average ≥ 9.5.</x:v>
      </x:c>
    </x:row>
    <x:row r="1292">
      <x:c r="A1292" t="n">
        <x:v>46297</x:v>
      </x:c>
      <x:c r="B1292" t="str">
        <x:v>Phase 13I / 13I-03</x:v>
      </x:c>
      <x:c r="C1292" t="str">
        <x:v>13I-03 Overall UI Average Threshold Revised and Passed</x:v>
      </x:c>
      <x:c r="D1292" t="str">
        <x:v>executive-benchmark-engine</x:v>
      </x:c>
      <x:c r="E1292" t="str">
        <x:v>ea7bb51dbc07525d49924c24119c1a3522f91988</x:v>
      </x:c>
      <x:c r="F1292" t="str">
        <x:v>Recorded explicit user approval to revise the overall verified core-page average threshold from ≥9.5 to ≥9.4.</x:v>
      </x:c>
      <x:c r="G1292" t="str">
        <x:v>Verified 17-surface weighted average is approximately 9.41/10; no synthetic scores assigned to the three waived issuer-only surfaces.</x:v>
      </x:c>
      <x:c r="H1292" t="str">
        <x:v>PASS / 13I-03 CLOSED</x:v>
      </x:c>
      <x:c r="I1292" t="str">
        <x:v>13I-02 critical-page floor remains unchanged at 9.0. Waived issuer-only surfaces remain an evidence limitation and are excluded from the average.</x:v>
      </x:c>
      <x:c r="J1292" t="str">
        <x:v>Next canonical task: Phase 13I / 13I-04 — Run dark-mode consistency audit.</x:v>
      </x:c>
    </x:row>
    <x:row r="1293">
      <x:c r="A1293" t="n">
        <x:v>46297</x:v>
      </x:c>
      <x:c r="B1293" t="str">
        <x:v>Phase 13I / 13I-04</x:v>
      </x:c>
      <x:c r="C1293" t="str">
        <x:v>13I-04 Dark-Mode Consistency Audit Closed</x:v>
      </x:c>
      <x:c r="D1293" t="str">
        <x:v>executive-benchmark-engine</x:v>
      </x:c>
      <x:c r="E1293" t="str">
        <x:v>6781f1e59ce5a8885c3e32830e096860bc3ac1d7</x:v>
      </x:c>
      <x:c r="F1293" t="str">
        <x:v>Completed a read-only dark-mode consistency audit across eight representative authenticated product surfaces.</x:v>
      </x:c>
      <x:c r="G1293" t="str">
        <x:v>Desktop/tablet/mobile checks PASS on all audited routes; no P0/P1/actionable-P2 inconsistencies, no light-surface collisions, no visible status-color/CTA/typography conflicts, and no mobile dark-surface defects.</x:v>
      </x:c>
      <x:c r="H1293" t="str">
        <x:v>PASS / 13I-04 CLOSED / EVIDENCE-ONLY</x:v>
      </x:c>
      <x:c r="I1293" t="str">
        <x:v>No code changes. Closed pages remain closed; isolated token aliases without visible inconsistency were not treated as defects.</x:v>
      </x:c>
      <x:c r="J1293" t="str">
        <x:v>Next canonical task: Phase 13I / 13I-05 — Run motion consistency and annoyance audit.</x:v>
      </x:c>
    </x:row>
    <x:row r="1294">
      <x:c r="A1294" t="n">
        <x:v>46297</x:v>
      </x:c>
      <x:c r="B1294" t="str">
        <x:v>Phase 13I / 13I-05</x:v>
      </x:c>
      <x:c r="C1294" t="str">
        <x:v>13I-05 Motion Consistency and Annoyance Audit Closed</x:v>
      </x:c>
      <x:c r="D1294" t="str">
        <x:v>executive-benchmark-engine</x:v>
      </x:c>
      <x:c r="E1294" t="str">
        <x:v>86534b5c1442a654b39f5802578442d3f088901d</x:v>
      </x:c>
      <x:c r="F1294" t="str">
        <x:v>Completed a read-only motion consistency and annoyance audit across eight representative authenticated product surfaces.</x:v>
      </x:c>
      <x:c r="G1294" t="str">
        <x:v>Desktop/tablet/mobile checks PASS; zero infinite CSS animations observed in steady state; no repeated popup/toast annoyance, motion-related layout shifts, performance issues, or P0/P1 motion defects.</x:v>
      </x:c>
      <x:c r="H1294" t="str">
        <x:v>PASS / 13I-05 CLOSED / EVIDENCE-ONLY</x:v>
      </x:c>
      <x:c r="I1294" t="str">
        <x:v>One P2 hover-translate inconsistency and one latent reduced-motion risk remain for explicit validation in 13I-06; no closed surface reopened and no code changes were made.</x:v>
      </x:c>
      <x:c r="J1294" t="str">
        <x:v>Next canonical task: Phase 13I / 13I-06 — Run motion/accessibility regression.</x:v>
      </x:c>
    </x:row>
    <x:row r="1295">
      <x:c r="A1295" t="n">
        <x:v>46297</x:v>
      </x:c>
      <x:c r="B1295" t="str">
        <x:v>Phase 13I / 13I-06</x:v>
      </x:c>
      <x:c r="C1295" t="str">
        <x:v>13I-06 Motion and Accessibility Regression Closed</x:v>
      </x:c>
      <x:c r="D1295" t="str">
        <x:v>executive-benchmark-engine</x:v>
      </x:c>
      <x:c r="E1295" t="str">
        <x:v>0c9663ba0f0826a5564e27dbe643941ba460f5cc</x:v>
      </x:c>
      <x:c r="F1295" t="str">
        <x:v>Completed a read-only reduced-motion and accessibility regression audit across eight representative authenticated product surfaces.</x:v>
      </x:c>
      <x:c r="G1295" t="str">
        <x:v>All audited surfaces PASS reduced motion, keyboard, focus, labels/semantics, observable contrast, and responsive accessibility; closed Addendum accessibility regression also PASS.</x:v>
      </x:c>
      <x:c r="H1295" t="str">
        <x:v>PASS / 13I-06 CLOSED / EVIDENCE-ONLY</x:v>
      </x:c>
      <x:c r="I1295" t="str">
        <x:v>No P0/P1 findings. One P2 export-card hover translate remains non-blocking because the global reduced-motion guard suppresses transitions; no code changes were made.</x:v>
      </x:c>
      <x:c r="J1295" t="str">
        <x:v>Next canonical task: Phase 13I / 13I-07 — Run UI performance regression.</x:v>
      </x:c>
    </x:row>
    <x:row r="1296">
      <x:c r="A1296" t="n">
        <x:v>46297</x:v>
      </x:c>
      <x:c r="B1296" t="str">
        <x:v>Phase 13I / 13I-07</x:v>
      </x:c>
      <x:c r="C1296" t="str">
        <x:v>13I-07 UI Performance Regression Closed</x:v>
      </x:c>
      <x:c r="D1296" t="str">
        <x:v>executive-benchmark-engine</x:v>
      </x:c>
      <x:c r="E1296" t="str">
        <x:v>f2f8f0e29d78bbcc0446bf17f23b774cfdec7781</x:v>
      </x:c>
      <x:c r="F1296" t="str">
        <x:v>Completed a read-only production-build UI performance regression across eight representative authenticated product surfaces.</x:v>
      </x:c>
      <x:c r="G1296" t="str">
        <x:v>All audited routes PASS initial usability, interaction responsiveness, layout stability, and motion/help impact at desktop/tablet/mobile; no P0/P1 performance regressions, request loops, freezes, material input lag, or major content instability were found.</x:v>
      </x:c>
      <x:c r="H1296" t="str">
        <x:v>PASS / 13I-07 CLOSED / EVIDENCE-ONLY</x:v>
      </x:c>
      <x:c r="I1296" t="str">
        <x:v>Non-blocking P2 observations only: Analytics remains DOM-heavy without measured longtask/scroll degradation; normal Next.js hover/link prefetch requests do not materially affect responsiveness.</x:v>
      </x:c>
      <x:c r="J1296" t="str">
        <x:v>Next canonical task: Phase 13I / 13I-08 — Verify logo/footer/brand consistency.</x:v>
      </x:c>
    </x:row>
    <x:row r="1297">
      <x:c r="A1297" t="n">
        <x:v>46297</x:v>
      </x:c>
      <x:c r="B1297" t="str">
        <x:v>Phase 13I / 13I-08</x:v>
      </x:c>
      <x:c r="C1297" t="str">
        <x:v>13I-08 Logo Footer and Brand Consistency Audit Closed</x:v>
      </x:c>
      <x:c r="D1297" t="str">
        <x:v>executive-benchmark-engine</x:v>
      </x:c>
      <x:c r="E1297" t="str">
        <x:v>283f35e5031490652b4f644367694632f2f590bd</x:v>
      </x:c>
      <x:c r="F1297" t="str">
        <x:v>Completed a read-only authenticated logo, footer, and brand consistency audit across representative product surfaces and shared shell states.</x:v>
      </x:c>
      <x:c r="G1297" t="str">
        <x:v>Canonical logo assets/components, expanded/collapsed/mobile shell branding, footer attribution, and corporate-parent/product naming all PASS; no rejected product name or corporate-brand Gmail exposure found.</x:v>
      </x:c>
      <x:c r="H1297" t="str">
        <x:v>PASS / 13I-08 CLOSED / EVIDENCE-ONLY</x:v>
      </x:c>
      <x:c r="I1297" t="str">
        <x:v>No P0/P1/P2 brand findings. Member profile Gmail is user identity content and not treated as corporate/product branding attribution. No code changes were made.</x:v>
      </x:c>
      <x:c r="J1297" t="str">
        <x:v>Next canonical task: Phase 13I / 13I-09 — Capture final representative screenshots.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3252df1fd854c2e"/>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559155a240f4f7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str">
        <x:v>In Progress</x:v>
      </x:c>
      <x:c r="J13" s="133" t="str">
        <x:v>U8 / Phase 13I IN PROGRESS — 13I-01 through 13I-08 are PASS/CLOSED under approved evidence boundaries. 13I-08 logo/footer/brand consistency audit passed evidence-only with canonical logo usage, consistent authenticated footer attribution, and correct separation between Intelligent Procurement and Nexus Pavilion Inc. Next canonical task: 13I-09 — capture final representative screenshots.</x:v>
      </x:c>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ef4c5caf234494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571057cf94344f7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fd3c5ca00e744c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2f2103da7624b6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