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4e94d3233e4278" /></Relationships>
</file>

<file path=xl/workbook.xml><?xml version="1.0" encoding="utf-8"?>
<x:workbook xmlns:x="http://schemas.openxmlformats.org/spreadsheetml/2006/main">
  <x:sheets>
    <x:sheet xmlns:r="http://schemas.openxmlformats.org/officeDocument/2006/relationships" name="01 Master Plan" sheetId="1" r:id="R99fa0c92785440ca"/>
    <x:sheet xmlns:r="http://schemas.openxmlformats.org/officeDocument/2006/relationships" name="03 Launch Gates" sheetId="2" r:id="R72e1f2ef4a8c48fe"/>
    <x:sheet xmlns:r="http://schemas.openxmlformats.org/officeDocument/2006/relationships" name="00 Dashboard" sheetId="3" r:id="Re1ebe9fc8920416a"/>
    <x:sheet xmlns:r="http://schemas.openxmlformats.org/officeDocument/2006/relationships" name="04 Cursor Tasks" sheetId="4" r:id="Rac84334082244433"/>
    <x:sheet xmlns:r="http://schemas.openxmlformats.org/officeDocument/2006/relationships" name="05 UAT Matrix" sheetId="5" r:id="R5d451d2af1b743ea"/>
    <x:sheet xmlns:r="http://schemas.openxmlformats.org/officeDocument/2006/relationships" name="06 Security Matrix" sheetId="6" r:id="Rbd74ac95f78e4dfe"/>
    <x:sheet xmlns:r="http://schemas.openxmlformats.org/officeDocument/2006/relationships" name="07 Risks" sheetId="7" r:id="Rbcd52045dcd5407c"/>
    <x:sheet xmlns:r="http://schemas.openxmlformats.org/officeDocument/2006/relationships" name="08 Architecture" sheetId="8" r:id="R22f4d0e84c9d40d5"/>
    <x:sheet xmlns:r="http://schemas.openxmlformats.org/officeDocument/2006/relationships" name="09 Release Checklist" sheetId="9" r:id="R4e77b15845fa41de"/>
    <x:sheet xmlns:r="http://schemas.openxmlformats.org/officeDocument/2006/relationships" name="10 Change Log" sheetId="10" r:id="R4a9625a9ac9e4df8"/>
    <x:sheet xmlns:r="http://schemas.openxmlformats.org/officeDocument/2006/relationships" name="11 Scope &amp; Roadmap" sheetId="11" r:id="R334cef65fd6544be"/>
    <x:sheet xmlns:r="http://schemas.openxmlformats.org/officeDocument/2006/relationships" name="12 How to Use" sheetId="12" r:id="Re3ef9099711740e0"/>
    <x:sheet xmlns:r="http://schemas.openxmlformats.org/officeDocument/2006/relationships" name="13 UI Program" sheetId="13" r:id="R2c3496ed41cf425b"/>
    <x:sheet xmlns:r="http://schemas.openxmlformats.org/officeDocument/2006/relationships" name="14 UI Scorecard" sheetId="14" r:id="R0233ff29865e41bf"/>
    <x:sheet xmlns:r="http://schemas.openxmlformats.org/officeDocument/2006/relationships" name="15 Motion Guidance" sheetId="15" r:id="Rf25fe5293371463a"/>
    <x:sheet xmlns:r="http://schemas.openxmlformats.org/officeDocument/2006/relationships" name="16 Design Standards" sheetId="16" r:id="R071031e34e784ae0"/>
    <x:sheet xmlns:r="http://schemas.openxmlformats.org/officeDocument/2006/relationships" name="17 Corporate Platform" sheetId="17" r:id="R17d1173dc54d4333"/>
    <x:sheet xmlns:r="http://schemas.openxmlformats.org/officeDocument/2006/relationships" name="18 Analytics Reuse Map" sheetId="18" r:id="R83dde4eadbcb481a"/>
    <x:sheet xmlns:r="http://schemas.openxmlformats.org/officeDocument/2006/relationships" name="19 Executive Insights Discovery" sheetId="19" r:id="R5b4f22d0b2cc4e5d"/>
    <x:sheet xmlns:r="http://schemas.openxmlformats.org/officeDocument/2006/relationships" name="20 Procurement Insights Discovery" sheetId="20" r:id="R93aa213f46414506"/>
    <x:sheet xmlns:r="http://schemas.openxmlformats.org/officeDocument/2006/relationships" name="21 Commercial Insights Discovery" sheetId="21" r:id="R12095eb81c014339"/>
    <x:sheet xmlns:r="http://schemas.openxmlformats.org/officeDocument/2006/relationships" name="22 Project Insights Discovery" sheetId="22" r:id="Re832cfc9ed964e7f"/>
    <x:sheet xmlns:r="http://schemas.openxmlformats.org/officeDocument/2006/relationships" name="23 Performance Discovery" sheetId="23" r:id="R8231df87f7184067"/>
    <x:sheet xmlns:r="http://schemas.openxmlformats.org/officeDocument/2006/relationships" name="24 Risk Compliance Discovery" sheetId="24" r:id="Rb296d37027d84312"/>
    <x:sheet xmlns:r="http://schemas.openxmlformats.org/officeDocument/2006/relationships" name="25 Commercial Handoff" sheetId="25" r:id="R62fa45645e1348fd"/>
    <x:sheet xmlns:r="http://schemas.openxmlformats.org/officeDocument/2006/relationships" name="26 RFQ Governance" sheetId="26" r:id="Rac71c846f9054be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f1005d82a4d4a18" /><Relationship Type="http://schemas.openxmlformats.org/officeDocument/2006/relationships/theme" Target="/xl/theme/theme1.xml" Id="Rfb4184c6ef8f418a" /><Relationship Type="http://schemas.openxmlformats.org/officeDocument/2006/relationships/sharedStrings" Target="/xl/sharedStrings.xml" Id="R45ab7a9c9fb9484b" /><Relationship Type="http://schemas.openxmlformats.org/officeDocument/2006/relationships/worksheet" Target="/xl/worksheets/sheet1.xml" Id="R99fa0c92785440ca" /><Relationship Type="http://schemas.openxmlformats.org/officeDocument/2006/relationships/worksheet" Target="/xl/worksheets/sheet2.xml" Id="R72e1f2ef4a8c48fe" /><Relationship Type="http://schemas.openxmlformats.org/officeDocument/2006/relationships/worksheet" Target="/xl/worksheets/sheet3.xml" Id="Re1ebe9fc8920416a" /><Relationship Type="http://schemas.openxmlformats.org/officeDocument/2006/relationships/worksheet" Target="/xl/worksheets/sheet4.xml" Id="Rac84334082244433" /><Relationship Type="http://schemas.openxmlformats.org/officeDocument/2006/relationships/worksheet" Target="/xl/worksheets/sheet5.xml" Id="R5d451d2af1b743ea" /><Relationship Type="http://schemas.openxmlformats.org/officeDocument/2006/relationships/worksheet" Target="/xl/worksheets/sheet6.xml" Id="Rbd74ac95f78e4dfe" /><Relationship Type="http://schemas.openxmlformats.org/officeDocument/2006/relationships/worksheet" Target="/xl/worksheets/sheet7.xml" Id="Rbcd52045dcd5407c" /><Relationship Type="http://schemas.openxmlformats.org/officeDocument/2006/relationships/worksheet" Target="/xl/worksheets/sheet8.xml" Id="R22f4d0e84c9d40d5" /><Relationship Type="http://schemas.openxmlformats.org/officeDocument/2006/relationships/worksheet" Target="/xl/worksheets/sheet9.xml" Id="R4e77b15845fa41de" /><Relationship Type="http://schemas.openxmlformats.org/officeDocument/2006/relationships/worksheet" Target="/xl/worksheets/sheet10.xml" Id="R4a9625a9ac9e4df8" /><Relationship Type="http://schemas.openxmlformats.org/officeDocument/2006/relationships/worksheet" Target="/xl/worksheets/sheet11.xml" Id="R334cef65fd6544be" /><Relationship Type="http://schemas.openxmlformats.org/officeDocument/2006/relationships/worksheet" Target="/xl/worksheets/sheet12.xml" Id="Re3ef9099711740e0" /><Relationship Type="http://schemas.openxmlformats.org/officeDocument/2006/relationships/worksheet" Target="/xl/worksheets/sheet13.xml" Id="R2c3496ed41cf425b" /><Relationship Type="http://schemas.openxmlformats.org/officeDocument/2006/relationships/worksheet" Target="/xl/worksheets/sheet14.xml" Id="R0233ff29865e41bf" /><Relationship Type="http://schemas.openxmlformats.org/officeDocument/2006/relationships/worksheet" Target="/xl/worksheets/sheet15.xml" Id="Rf25fe5293371463a" /><Relationship Type="http://schemas.openxmlformats.org/officeDocument/2006/relationships/worksheet" Target="/xl/worksheets/sheet16.xml" Id="R071031e34e784ae0" /><Relationship Type="http://schemas.openxmlformats.org/officeDocument/2006/relationships/worksheet" Target="/xl/worksheets/sheet17.xml" Id="R17d1173dc54d4333" /><Relationship Type="http://schemas.openxmlformats.org/officeDocument/2006/relationships/worksheet" Target="/xl/worksheets/sheet18.xml" Id="R83dde4eadbcb481a" /><Relationship Type="http://schemas.openxmlformats.org/officeDocument/2006/relationships/worksheet" Target="/xl/worksheets/sheet19.xml" Id="R5b4f22d0b2cc4e5d" /><Relationship Type="http://schemas.openxmlformats.org/officeDocument/2006/relationships/worksheet" Target="/xl/worksheets/sheet20.xml" Id="R93aa213f46414506" /><Relationship Type="http://schemas.openxmlformats.org/officeDocument/2006/relationships/worksheet" Target="/xl/worksheets/sheet21.xml" Id="R12095eb81c014339" /><Relationship Type="http://schemas.openxmlformats.org/officeDocument/2006/relationships/worksheet" Target="/xl/worksheets/sheet22.xml" Id="Re832cfc9ed964e7f" /><Relationship Type="http://schemas.openxmlformats.org/officeDocument/2006/relationships/worksheet" Target="/xl/worksheets/sheet23.xml" Id="R8231df87f7184067" /><Relationship Type="http://schemas.openxmlformats.org/officeDocument/2006/relationships/worksheet" Target="/xl/worksheets/sheet24.xml" Id="Rb296d37027d84312" /><Relationship Type="http://schemas.openxmlformats.org/officeDocument/2006/relationships/worksheet" Target="/xl/worksheets/sheet25.xml" Id="R62fa45645e1348fd" /><Relationship Type="http://schemas.openxmlformats.org/officeDocument/2006/relationships/worksheet" Target="/xl/worksheets/sheet26.xml" Id="Rac71c846f9054be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825db2613a4b9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825db2613a4b9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af4f709f8f456a" /></Relationships>
</file>

<file path=xl/worksheets/_rels/sheet2.xml.rels>&#65279;<?xml version="1.0" encoding="utf-8"?><Relationships xmlns="http://schemas.openxmlformats.org/package/2006/relationships"><Relationship Type="http://schemas.openxmlformats.org/officeDocument/2006/relationships/table" Target="/xl/tables/table2.xml" Id="R645152d8d1ae4a81" /></Relationships>
</file>

<file path=xl/worksheets/_rels/sheet3.xml.rels>&#65279;<?xml version="1.0" encoding="utf-8"?><Relationships xmlns="http://schemas.openxmlformats.org/package/2006/relationships"><Relationship Type="http://schemas.openxmlformats.org/officeDocument/2006/relationships/drawing" Target="/xl/drawings/drawing1.xml" Id="Rfd95974c61f24ed8" /></Relationships>
</file>

<file path=xl/worksheets/_rels/sheet4.xml.rels>&#65279;<?xml version="1.0" encoding="utf-8"?><Relationships xmlns="http://schemas.openxmlformats.org/package/2006/relationships"><Relationship Type="http://schemas.openxmlformats.org/officeDocument/2006/relationships/table" Target="/xl/tables/table3.xml" Id="R2e98ead7f4b7406b" /></Relationships>
</file>

<file path=xl/worksheets/_rels/sheet5.xml.rels>&#65279;<?xml version="1.0" encoding="utf-8"?><Relationships xmlns="http://schemas.openxmlformats.org/package/2006/relationships"><Relationship Type="http://schemas.openxmlformats.org/officeDocument/2006/relationships/table" Target="/xl/tables/table4.xml" Id="R8c6f3f1335434cdb" /></Relationships>
</file>

<file path=xl/worksheets/_rels/sheet6.xml.rels>&#65279;<?xml version="1.0" encoding="utf-8"?><Relationships xmlns="http://schemas.openxmlformats.org/package/2006/relationships"><Relationship Type="http://schemas.openxmlformats.org/officeDocument/2006/relationships/table" Target="/xl/tables/table5.xml" Id="R9e4aeec3cff44222" /></Relationships>
</file>

<file path=xl/worksheets/_rels/sheet7.xml.rels>&#65279;<?xml version="1.0" encoding="utf-8"?><Relationships xmlns="http://schemas.openxmlformats.org/package/2006/relationships"><Relationship Type="http://schemas.openxmlformats.org/officeDocument/2006/relationships/table" Target="/xl/tables/table6.xml" Id="R031a22504535427d" /></Relationships>
</file>

<file path=xl/worksheets/_rels/sheet9.xml.rels>&#65279;<?xml version="1.0" encoding="utf-8"?><Relationships xmlns="http://schemas.openxmlformats.org/package/2006/relationships"><Relationship Type="http://schemas.openxmlformats.org/officeDocument/2006/relationships/table" Target="/xl/tables/table7.xml" Id="R48a59ef3e7094582" /></Relationships>
</file>

<file path=xl/worksheets/_rels/sheet10.xml.rels>&#65279;<?xml version="1.0" encoding="utf-8"?><Relationships xmlns="http://schemas.openxmlformats.org/package/2006/relationships"><Relationship Type="http://schemas.openxmlformats.org/officeDocument/2006/relationships/table" Target="/xl/tables/table8.xml" Id="R76937a3b7b9f4215" /></Relationships>
</file>

<file path=xl/worksheets/_rels/sheet11.xml.rels>&#65279;<?xml version="1.0" encoding="utf-8"?><Relationships xmlns="http://schemas.openxmlformats.org/package/2006/relationships"><Relationship Type="http://schemas.openxmlformats.org/officeDocument/2006/relationships/table" Target="/xl/tables/table9.xml" Id="R624764fb1d724200" /></Relationships>
</file>

<file path=xl/worksheets/_rels/sheet13.xml.rels>&#65279;<?xml version="1.0" encoding="utf-8"?><Relationships xmlns="http://schemas.openxmlformats.org/package/2006/relationships"><Relationship Type="http://schemas.openxmlformats.org/officeDocument/2006/relationships/table" Target="/xl/tables/table10.xml" Id="Rf9ddfb141d4844be" /></Relationships>
</file>

<file path=xl/worksheets/_rels/sheet14.xml.rels>&#65279;<?xml version="1.0" encoding="utf-8"?><Relationships xmlns="http://schemas.openxmlformats.org/package/2006/relationships"><Relationship Type="http://schemas.openxmlformats.org/officeDocument/2006/relationships/table" Target="/xl/tables/table11.xml" Id="Rb667733974b94eef" /></Relationships>
</file>

<file path=xl/worksheets/_rels/sheet15.xml.rels>&#65279;<?xml version="1.0" encoding="utf-8"?><Relationships xmlns="http://schemas.openxmlformats.org/package/2006/relationships"><Relationship Type="http://schemas.openxmlformats.org/officeDocument/2006/relationships/table" Target="/xl/tables/table12.xml" Id="R961d2d9caa334323" /></Relationships>
</file>

<file path=xl/worksheets/_rels/sheet16.xml.rels>&#65279;<?xml version="1.0" encoding="utf-8"?><Relationships xmlns="http://schemas.openxmlformats.org/package/2006/relationships"><Relationship Type="http://schemas.openxmlformats.org/officeDocument/2006/relationships/table" Target="/xl/tables/table13.xml" Id="R1caea5a97b7f497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9af4f709f8f456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45152d8d1ae4a8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270</x:v>
      </x:c>
      <x:c r="D6" s="133" t="inlineStr">
        <x:is>
          <x:t xml:space="preserve">G0A — Corporate platform architecture ready</x:t>
        </x:is>
      </x:c>
      <x:c r="E6" s="32" t="str">
        <x:f>'03 Launch Gates'!D20</x:f>
        <x:v>Completed</x:v>
      </x:c>
      <x:c r="G6" t="inlineStr">
        <x:is>
          <x:t xml:space="preserve">UI Tasks Complete</x:t>
        </x:is>
      </x:c>
      <x:c r="H6" t="n">
        <x:f>SUM(B36:B46)</x:f>
        <x:v>48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0.7356948228882834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x:v>
      </x:c>
      <x:c r="C38" s="133" t="n">
        <x:f>COUNTIFS('01 Master Plan'!C$5:C$383,A38,'01 Master Plan'!H$5:H$383,"In Progress")</x:f>
        <x:v>0</x:v>
      </x:c>
      <x:c r="D38" s="133" t="n">
        <x:f>COUNTIFS('01 Master Plan'!C$5:C$383,A38,'01 Master Plan'!H$5:H$383,"Not Started")</x:f>
        <x:v>16</x:v>
      </x:c>
      <x:c r="E38" s="133" t="n">
        <x:f>COUNTIFS('01 Master Plan'!C$5:C$383,A38,'01 Master Plan'!H$5:H$383,"Blocked")</x:f>
        <x:v>0</x:v>
      </x:c>
      <x:c r="F38" s="133" t="n">
        <x:f>COUNTIFS('01 Master Plan'!C$5:C$383,A38,'01 Master Plan'!H$5:H$383,"Deferred")</x:f>
        <x:v>0</x:v>
      </x:c>
      <x:c r="G38" s="255" t="n">
        <x:f>IFERROR(B38/(B38+C38+D38+E38),0)</x:f>
        <x:v>0.058823529411764705</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d95974c61f24ed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e98ead7f4b7406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c6f3f1335434cdb"/>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e4aeec3cff4422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31a22504535427d"/>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8a59ef3e709458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6937a3b7b9f421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24764fb1d72420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button system complete. Existing executive CTA contracts now cover primary/secondary/tertiary/destructive/icon plus loading/disabled behavior. Next: 13C-02 Standardize form controls.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9ddfb141d4844b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667733974b94ee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61d2d9caa33432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caea5a97b7f497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