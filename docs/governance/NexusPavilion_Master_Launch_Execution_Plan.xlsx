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1609ee779894019" /></Relationships>
</file>

<file path=xl/workbook.xml><?xml version="1.0" encoding="utf-8"?>
<x:workbook xmlns:x="http://schemas.openxmlformats.org/spreadsheetml/2006/main">
  <x:sheets>
    <x:sheet xmlns:r="http://schemas.openxmlformats.org/officeDocument/2006/relationships" name="01 Master Plan" sheetId="1" r:id="R3819f2d06f60434b"/>
    <x:sheet xmlns:r="http://schemas.openxmlformats.org/officeDocument/2006/relationships" name="03 Launch Gates" sheetId="2" r:id="R6331466d84ab4bc6"/>
    <x:sheet xmlns:r="http://schemas.openxmlformats.org/officeDocument/2006/relationships" name="00 Dashboard" sheetId="3" r:id="Ra8d4fdf647714612"/>
    <x:sheet xmlns:r="http://schemas.openxmlformats.org/officeDocument/2006/relationships" name="04 Cursor Tasks" sheetId="4" r:id="Rd887cf27864643ed"/>
    <x:sheet xmlns:r="http://schemas.openxmlformats.org/officeDocument/2006/relationships" name="05 UAT Matrix" sheetId="5" r:id="Re1a329a9f9ad4bdc"/>
    <x:sheet xmlns:r="http://schemas.openxmlformats.org/officeDocument/2006/relationships" name="06 Security Matrix" sheetId="6" r:id="R6f511a37fb3a4930"/>
    <x:sheet xmlns:r="http://schemas.openxmlformats.org/officeDocument/2006/relationships" name="07 Risks" sheetId="7" r:id="R66235cf16ad249dc"/>
    <x:sheet xmlns:r="http://schemas.openxmlformats.org/officeDocument/2006/relationships" name="08 Architecture" sheetId="8" r:id="R2d3b65240ea848c6"/>
    <x:sheet xmlns:r="http://schemas.openxmlformats.org/officeDocument/2006/relationships" name="09 Release Checklist" sheetId="9" r:id="Re5210efd7d814105"/>
    <x:sheet xmlns:r="http://schemas.openxmlformats.org/officeDocument/2006/relationships" name="10 Change Log" sheetId="10" r:id="R5d7321ff4f1f4749"/>
    <x:sheet xmlns:r="http://schemas.openxmlformats.org/officeDocument/2006/relationships" name="11 Scope &amp; Roadmap" sheetId="11" r:id="R1b62c3487c084172"/>
    <x:sheet xmlns:r="http://schemas.openxmlformats.org/officeDocument/2006/relationships" name="12 How to Use" sheetId="12" r:id="R7640a040ed274f5e"/>
    <x:sheet xmlns:r="http://schemas.openxmlformats.org/officeDocument/2006/relationships" name="13 UI Program" sheetId="13" r:id="R70774b201de84164"/>
    <x:sheet xmlns:r="http://schemas.openxmlformats.org/officeDocument/2006/relationships" name="14 UI Scorecard" sheetId="14" r:id="R633704c0487e4c0e"/>
    <x:sheet xmlns:r="http://schemas.openxmlformats.org/officeDocument/2006/relationships" name="15 Motion Guidance" sheetId="15" r:id="R129b4499f0264d88"/>
    <x:sheet xmlns:r="http://schemas.openxmlformats.org/officeDocument/2006/relationships" name="16 Design Standards" sheetId="16" r:id="R601dca1197534244"/>
    <x:sheet xmlns:r="http://schemas.openxmlformats.org/officeDocument/2006/relationships" name="17 Corporate Platform" sheetId="17" r:id="R4a113cce7ea44b29"/>
    <x:sheet xmlns:r="http://schemas.openxmlformats.org/officeDocument/2006/relationships" name="18 Analytics Reuse Map" sheetId="18" r:id="Rb8a6edd4d23e4965"/>
    <x:sheet xmlns:r="http://schemas.openxmlformats.org/officeDocument/2006/relationships" name="19 Executive Insights Discovery" sheetId="19" r:id="R43373b98f1b44227"/>
    <x:sheet xmlns:r="http://schemas.openxmlformats.org/officeDocument/2006/relationships" name="20 Procurement Insights Discovery" sheetId="20" r:id="Radaff665cc4f473a"/>
    <x:sheet xmlns:r="http://schemas.openxmlformats.org/officeDocument/2006/relationships" name="21 Commercial Insights Discovery" sheetId="21" r:id="R7163088cade948ee"/>
    <x:sheet xmlns:r="http://schemas.openxmlformats.org/officeDocument/2006/relationships" name="22 Project Insights Discovery" sheetId="22" r:id="Ra3899587a533476d"/>
    <x:sheet xmlns:r="http://schemas.openxmlformats.org/officeDocument/2006/relationships" name="23 Performance Discovery" sheetId="23" r:id="Rcc1d3a436b134a58"/>
    <x:sheet xmlns:r="http://schemas.openxmlformats.org/officeDocument/2006/relationships" name="24 Risk Compliance Discovery" sheetId="24" r:id="Re1f0790309534a6c"/>
    <x:sheet xmlns:r="http://schemas.openxmlformats.org/officeDocument/2006/relationships" name="25 Commercial Handoff" sheetId="25" r:id="Rad729c218c54442c"/>
    <x:sheet xmlns:r="http://schemas.openxmlformats.org/officeDocument/2006/relationships" name="26 RFQ Governance" sheetId="26" r:id="R54362ad343dd4b7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3b98fe6a1a64f8e" /><Relationship Type="http://schemas.openxmlformats.org/officeDocument/2006/relationships/theme" Target="/xl/theme/theme1.xml" Id="Rd21768ecea0f4ab0" /><Relationship Type="http://schemas.openxmlformats.org/officeDocument/2006/relationships/sharedStrings" Target="/xl/sharedStrings.xml" Id="R0f0acfdb2dc045c3" /><Relationship Type="http://schemas.openxmlformats.org/officeDocument/2006/relationships/worksheet" Target="/xl/worksheets/sheet1.xml" Id="R3819f2d06f60434b" /><Relationship Type="http://schemas.openxmlformats.org/officeDocument/2006/relationships/worksheet" Target="/xl/worksheets/sheet2.xml" Id="R6331466d84ab4bc6" /><Relationship Type="http://schemas.openxmlformats.org/officeDocument/2006/relationships/worksheet" Target="/xl/worksheets/sheet3.xml" Id="Ra8d4fdf647714612" /><Relationship Type="http://schemas.openxmlformats.org/officeDocument/2006/relationships/worksheet" Target="/xl/worksheets/sheet4.xml" Id="Rd887cf27864643ed" /><Relationship Type="http://schemas.openxmlformats.org/officeDocument/2006/relationships/worksheet" Target="/xl/worksheets/sheet5.xml" Id="Re1a329a9f9ad4bdc" /><Relationship Type="http://schemas.openxmlformats.org/officeDocument/2006/relationships/worksheet" Target="/xl/worksheets/sheet6.xml" Id="R6f511a37fb3a4930" /><Relationship Type="http://schemas.openxmlformats.org/officeDocument/2006/relationships/worksheet" Target="/xl/worksheets/sheet7.xml" Id="R66235cf16ad249dc" /><Relationship Type="http://schemas.openxmlformats.org/officeDocument/2006/relationships/worksheet" Target="/xl/worksheets/sheet8.xml" Id="R2d3b65240ea848c6" /><Relationship Type="http://schemas.openxmlformats.org/officeDocument/2006/relationships/worksheet" Target="/xl/worksheets/sheet9.xml" Id="Re5210efd7d814105" /><Relationship Type="http://schemas.openxmlformats.org/officeDocument/2006/relationships/worksheet" Target="/xl/worksheets/sheet10.xml" Id="R5d7321ff4f1f4749" /><Relationship Type="http://schemas.openxmlformats.org/officeDocument/2006/relationships/worksheet" Target="/xl/worksheets/sheet11.xml" Id="R1b62c3487c084172" /><Relationship Type="http://schemas.openxmlformats.org/officeDocument/2006/relationships/worksheet" Target="/xl/worksheets/sheet12.xml" Id="R7640a040ed274f5e" /><Relationship Type="http://schemas.openxmlformats.org/officeDocument/2006/relationships/worksheet" Target="/xl/worksheets/sheet13.xml" Id="R70774b201de84164" /><Relationship Type="http://schemas.openxmlformats.org/officeDocument/2006/relationships/worksheet" Target="/xl/worksheets/sheet14.xml" Id="R633704c0487e4c0e" /><Relationship Type="http://schemas.openxmlformats.org/officeDocument/2006/relationships/worksheet" Target="/xl/worksheets/sheet15.xml" Id="R129b4499f0264d88" /><Relationship Type="http://schemas.openxmlformats.org/officeDocument/2006/relationships/worksheet" Target="/xl/worksheets/sheet16.xml" Id="R601dca1197534244" /><Relationship Type="http://schemas.openxmlformats.org/officeDocument/2006/relationships/worksheet" Target="/xl/worksheets/sheet17.xml" Id="R4a113cce7ea44b29" /><Relationship Type="http://schemas.openxmlformats.org/officeDocument/2006/relationships/worksheet" Target="/xl/worksheets/sheet18.xml" Id="Rb8a6edd4d23e4965" /><Relationship Type="http://schemas.openxmlformats.org/officeDocument/2006/relationships/worksheet" Target="/xl/worksheets/sheet19.xml" Id="R43373b98f1b44227" /><Relationship Type="http://schemas.openxmlformats.org/officeDocument/2006/relationships/worksheet" Target="/xl/worksheets/sheet20.xml" Id="Radaff665cc4f473a" /><Relationship Type="http://schemas.openxmlformats.org/officeDocument/2006/relationships/worksheet" Target="/xl/worksheets/sheet21.xml" Id="R7163088cade948ee" /><Relationship Type="http://schemas.openxmlformats.org/officeDocument/2006/relationships/worksheet" Target="/xl/worksheets/sheet22.xml" Id="Ra3899587a533476d" /><Relationship Type="http://schemas.openxmlformats.org/officeDocument/2006/relationships/worksheet" Target="/xl/worksheets/sheet23.xml" Id="Rcc1d3a436b134a58" /><Relationship Type="http://schemas.openxmlformats.org/officeDocument/2006/relationships/worksheet" Target="/xl/worksheets/sheet24.xml" Id="Re1f0790309534a6c" /><Relationship Type="http://schemas.openxmlformats.org/officeDocument/2006/relationships/worksheet" Target="/xl/worksheets/sheet25.xml" Id="Rad729c218c54442c" /><Relationship Type="http://schemas.openxmlformats.org/officeDocument/2006/relationships/worksheet" Target="/xl/worksheets/sheet26.xml" Id="R54362ad343dd4b73" /></Relationships>
</file>

<file path=xl/drawings/_rels/drawing1.xml.rels>&#65279;<?xml version="1.0" encoding="utf-8"?><Relationships xmlns="http://schemas.openxmlformats.org/package/2006/relationships"><Relationship Type="http://schemas.openxmlformats.org/officeDocument/2006/relationships/chart" Target="/xl/drawings/charts/chart1.xml" Id="R9ea4fc4495f54fad"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ea4fc4495f54fad"/>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30f12372c442e0" /></Relationships>
</file>

<file path=xl/worksheets/_rels/sheet2.xml.rels>&#65279;<?xml version="1.0" encoding="utf-8"?><Relationships xmlns="http://schemas.openxmlformats.org/package/2006/relationships"><Relationship Type="http://schemas.openxmlformats.org/officeDocument/2006/relationships/table" Target="/xl/tables/table2.xml" Id="Raf722717ae6a47e4" /></Relationships>
</file>

<file path=xl/worksheets/_rels/sheet3.xml.rels>&#65279;<?xml version="1.0" encoding="utf-8"?><Relationships xmlns="http://schemas.openxmlformats.org/package/2006/relationships"><Relationship Type="http://schemas.openxmlformats.org/officeDocument/2006/relationships/drawing" Target="/xl/drawings/drawing1.xml" Id="R6590f2e3b2514254" /></Relationships>
</file>

<file path=xl/worksheets/_rels/sheet4.xml.rels>&#65279;<?xml version="1.0" encoding="utf-8"?><Relationships xmlns="http://schemas.openxmlformats.org/package/2006/relationships"><Relationship Type="http://schemas.openxmlformats.org/officeDocument/2006/relationships/table" Target="/xl/tables/table3.xml" Id="R5105681db9a04a81" /></Relationships>
</file>

<file path=xl/worksheets/_rels/sheet5.xml.rels>&#65279;<?xml version="1.0" encoding="utf-8"?><Relationships xmlns="http://schemas.openxmlformats.org/package/2006/relationships"><Relationship Type="http://schemas.openxmlformats.org/officeDocument/2006/relationships/table" Target="/xl/tables/table4.xml" Id="Rcf810b10dfc84cfa" /></Relationships>
</file>

<file path=xl/worksheets/_rels/sheet6.xml.rels>&#65279;<?xml version="1.0" encoding="utf-8"?><Relationships xmlns="http://schemas.openxmlformats.org/package/2006/relationships"><Relationship Type="http://schemas.openxmlformats.org/officeDocument/2006/relationships/table" Target="/xl/tables/table5.xml" Id="Rff82a9938d49492a" /></Relationships>
</file>

<file path=xl/worksheets/_rels/sheet7.xml.rels>&#65279;<?xml version="1.0" encoding="utf-8"?><Relationships xmlns="http://schemas.openxmlformats.org/package/2006/relationships"><Relationship Type="http://schemas.openxmlformats.org/officeDocument/2006/relationships/table" Target="/xl/tables/table6.xml" Id="R08c558d88aa040c3" /></Relationships>
</file>

<file path=xl/worksheets/_rels/sheet9.xml.rels>&#65279;<?xml version="1.0" encoding="utf-8"?><Relationships xmlns="http://schemas.openxmlformats.org/package/2006/relationships"><Relationship Type="http://schemas.openxmlformats.org/officeDocument/2006/relationships/table" Target="/xl/tables/table7.xml" Id="Rc2f35c536c3f4287" /></Relationships>
</file>

<file path=xl/worksheets/_rels/sheet10.xml.rels>&#65279;<?xml version="1.0" encoding="utf-8"?><Relationships xmlns="http://schemas.openxmlformats.org/package/2006/relationships"><Relationship Type="http://schemas.openxmlformats.org/officeDocument/2006/relationships/table" Target="/xl/tables/table8.xml" Id="Rdc0aa17e26954c6f" /></Relationships>
</file>

<file path=xl/worksheets/_rels/sheet11.xml.rels>&#65279;<?xml version="1.0" encoding="utf-8"?><Relationships xmlns="http://schemas.openxmlformats.org/package/2006/relationships"><Relationship Type="http://schemas.openxmlformats.org/officeDocument/2006/relationships/table" Target="/xl/tables/table9.xml" Id="Raddcd42d726943fe" /></Relationships>
</file>

<file path=xl/worksheets/_rels/sheet13.xml.rels>&#65279;<?xml version="1.0" encoding="utf-8"?><Relationships xmlns="http://schemas.openxmlformats.org/package/2006/relationships"><Relationship Type="http://schemas.openxmlformats.org/officeDocument/2006/relationships/table" Target="/xl/tables/table10.xml" Id="R8b6e4c5bedc24935" /></Relationships>
</file>

<file path=xl/worksheets/_rels/sheet14.xml.rels>&#65279;<?xml version="1.0" encoding="utf-8"?><Relationships xmlns="http://schemas.openxmlformats.org/package/2006/relationships"><Relationship Type="http://schemas.openxmlformats.org/officeDocument/2006/relationships/table" Target="/xl/tables/table11.xml" Id="R0efa34d5552d4d04" /></Relationships>
</file>

<file path=xl/worksheets/_rels/sheet15.xml.rels>&#65279;<?xml version="1.0" encoding="utf-8"?><Relationships xmlns="http://schemas.openxmlformats.org/package/2006/relationships"><Relationship Type="http://schemas.openxmlformats.org/officeDocument/2006/relationships/table" Target="/xl/tables/table12.xml" Id="Re4eeea631e554a0e" /></Relationships>
</file>

<file path=xl/worksheets/_rels/sheet16.xml.rels>&#65279;<?xml version="1.0" encoding="utf-8"?><Relationships xmlns="http://schemas.openxmlformats.org/package/2006/relationships"><Relationship Type="http://schemas.openxmlformats.org/officeDocument/2006/relationships/table" Target="/xl/tables/table13.xml" Id="R8df4d3c9edd34cc1"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dd30f12372c442e0"/>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af722717ae6a47e4"/>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275</x:v>
      </x:c>
      <x:c r="D6" s="133" t="inlineStr">
        <x:is>
          <x:t xml:space="preserve">G0A — Corporate platform architecture ready</x:t>
        </x:is>
      </x:c>
      <x:c r="E6" s="32" t="str">
        <x:f>'03 Launch Gates'!D20</x:f>
        <x:v>Completed</x:v>
      </x:c>
      <x:c r="G6" t="inlineStr">
        <x:is>
          <x:t xml:space="preserve">UI Tasks Complete</x:t>
        </x:is>
      </x:c>
      <x:c r="H6" t="n">
        <x:f>SUM(B36:B46)</x:f>
        <x:v>53</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0.7493188010899182</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0.7781818181818182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6</x:v>
      </x:c>
      <x:c r="C38" s="133" t="n">
        <x:f>COUNTIFS('01 Master Plan'!C$5:C$383,A38,'01 Master Plan'!H$5:H$383,"In Progress")</x:f>
        <x:v>0</x:v>
      </x:c>
      <x:c r="D38" s="133" t="n">
        <x:f>COUNTIFS('01 Master Plan'!C$5:C$383,A38,'01 Master Plan'!H$5:H$383,"Not Started")</x:f>
        <x:v>11</x:v>
      </x:c>
      <x:c r="E38" s="133" t="n">
        <x:f>COUNTIFS('01 Master Plan'!C$5:C$383,A38,'01 Master Plan'!H$5:H$383,"Blocked")</x:f>
        <x:v>0</x:v>
      </x:c>
      <x:c r="F38" s="133" t="n">
        <x:f>COUNTIFS('01 Master Plan'!C$5:C$383,A38,'01 Master Plan'!H$5:H$383,"Deferred")</x:f>
        <x:v>0</x:v>
      </x:c>
      <x:c r="G38" s="255" t="n">
        <x:f>IFERROR(B38/(B38+C38+D38+E38),0)</x:f>
        <x:v>0.35294117647058826</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590f2e3b2514254"/>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5105681db9a04a81"/>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cf810b10dfc84cfa"/>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ff82a9938d49492a"/>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08c558d88aa040c3"/>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c2f35c536c3f4287"/>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dc0aa17e26954c6f"/>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addcd42d726943f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IN PROGRESS — 13C-01 through 13C-06 complete: buttons, form controls, date/deadline controls, badges/status chips, card roles, and enterprise-table presentation contract. Next: 13C-07 Standardize dialogs and confirmation modals.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8b6e4c5bedc2493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0efa34d5552d4d04"/>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e4eeea631e554a0e"/>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8df4d3c9edd34cc1"/>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