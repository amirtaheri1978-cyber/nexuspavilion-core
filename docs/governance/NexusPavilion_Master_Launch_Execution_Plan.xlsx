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756d6f8f844958" /></Relationships>
</file>

<file path=xl/workbook.xml><?xml version="1.0" encoding="utf-8"?>
<x:workbook xmlns:x="http://schemas.openxmlformats.org/spreadsheetml/2006/main">
  <x:sheets>
    <x:sheet xmlns:r="http://schemas.openxmlformats.org/officeDocument/2006/relationships" name="01 Master Plan" sheetId="1" r:id="R5a1e29db080548f8"/>
    <x:sheet xmlns:r="http://schemas.openxmlformats.org/officeDocument/2006/relationships" name="03 Launch Gates" sheetId="2" r:id="R8d0d6a929fe0406c"/>
    <x:sheet xmlns:r="http://schemas.openxmlformats.org/officeDocument/2006/relationships" name="00 Dashboard" sheetId="3" r:id="R4d9d4ba9d4a74a56"/>
    <x:sheet xmlns:r="http://schemas.openxmlformats.org/officeDocument/2006/relationships" name="04 Cursor Tasks" sheetId="4" r:id="R619b8754eb24479d"/>
    <x:sheet xmlns:r="http://schemas.openxmlformats.org/officeDocument/2006/relationships" name="05 UAT Matrix" sheetId="5" r:id="R4ac1557235b74cf7"/>
    <x:sheet xmlns:r="http://schemas.openxmlformats.org/officeDocument/2006/relationships" name="06 Security Matrix" sheetId="6" r:id="R65e00e43f117483b"/>
    <x:sheet xmlns:r="http://schemas.openxmlformats.org/officeDocument/2006/relationships" name="07 Risks" sheetId="7" r:id="Rd4d288914ea44149"/>
    <x:sheet xmlns:r="http://schemas.openxmlformats.org/officeDocument/2006/relationships" name="08 Architecture" sheetId="8" r:id="R690bb31ae0be45e7"/>
    <x:sheet xmlns:r="http://schemas.openxmlformats.org/officeDocument/2006/relationships" name="09 Release Checklist" sheetId="9" r:id="R7c2d96da3de0469c"/>
    <x:sheet xmlns:r="http://schemas.openxmlformats.org/officeDocument/2006/relationships" name="10 Change Log" sheetId="10" r:id="R7fbfdf2a10394deb"/>
    <x:sheet xmlns:r="http://schemas.openxmlformats.org/officeDocument/2006/relationships" name="11 Scope &amp; Roadmap" sheetId="11" r:id="R4fd23fa4696e4d5c"/>
    <x:sheet xmlns:r="http://schemas.openxmlformats.org/officeDocument/2006/relationships" name="12 How to Use" sheetId="12" r:id="Rf2677a2d246d4dc8"/>
    <x:sheet xmlns:r="http://schemas.openxmlformats.org/officeDocument/2006/relationships" name="13 UI Program" sheetId="13" r:id="Ra03849b53b8d4bc3"/>
    <x:sheet xmlns:r="http://schemas.openxmlformats.org/officeDocument/2006/relationships" name="14 UI Scorecard" sheetId="14" r:id="R0aae509a702e47fa"/>
    <x:sheet xmlns:r="http://schemas.openxmlformats.org/officeDocument/2006/relationships" name="15 Motion Guidance" sheetId="15" r:id="R79477818bbf84469"/>
    <x:sheet xmlns:r="http://schemas.openxmlformats.org/officeDocument/2006/relationships" name="16 Design Standards" sheetId="16" r:id="Rc8c29bcf3c9641e8"/>
    <x:sheet xmlns:r="http://schemas.openxmlformats.org/officeDocument/2006/relationships" name="17 Corporate Platform" sheetId="17" r:id="R0e7d054219204818"/>
    <x:sheet xmlns:r="http://schemas.openxmlformats.org/officeDocument/2006/relationships" name="18 Analytics Reuse Map" sheetId="18" r:id="Rd227e71ae7c24ceb"/>
    <x:sheet xmlns:r="http://schemas.openxmlformats.org/officeDocument/2006/relationships" name="19 Executive Insights Discovery" sheetId="19" r:id="Ra56fac12fbef44eb"/>
    <x:sheet xmlns:r="http://schemas.openxmlformats.org/officeDocument/2006/relationships" name="20 Procurement Insights Discovery" sheetId="20" r:id="R2623d42da68e4d41"/>
    <x:sheet xmlns:r="http://schemas.openxmlformats.org/officeDocument/2006/relationships" name="21 Commercial Insights Discovery" sheetId="21" r:id="Rc45e401d58eb407b"/>
    <x:sheet xmlns:r="http://schemas.openxmlformats.org/officeDocument/2006/relationships" name="22 Project Insights Discovery" sheetId="22" r:id="R94fb8bbb81cd4b6e"/>
    <x:sheet xmlns:r="http://schemas.openxmlformats.org/officeDocument/2006/relationships" name="23 Performance Discovery" sheetId="23" r:id="R5cdcdf82f0fc4e8f"/>
    <x:sheet xmlns:r="http://schemas.openxmlformats.org/officeDocument/2006/relationships" name="24 Risk Compliance Discovery" sheetId="24" r:id="R5c1d5342a1dc48f6"/>
    <x:sheet xmlns:r="http://schemas.openxmlformats.org/officeDocument/2006/relationships" name="25 Commercial Handoff" sheetId="25" r:id="R622b598970ea40f1"/>
    <x:sheet xmlns:r="http://schemas.openxmlformats.org/officeDocument/2006/relationships" name="26 RFQ Governance" sheetId="26" r:id="R1bd2950215fa490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2579077ba0a4847" /><Relationship Type="http://schemas.openxmlformats.org/officeDocument/2006/relationships/theme" Target="/xl/theme/theme1.xml" Id="Rb99fec4c0e934ea1" /><Relationship Type="http://schemas.openxmlformats.org/officeDocument/2006/relationships/sharedStrings" Target="/xl/sharedStrings.xml" Id="Reae31cb2991345fe" /><Relationship Type="http://schemas.openxmlformats.org/officeDocument/2006/relationships/worksheet" Target="/xl/worksheets/sheet1.xml" Id="R5a1e29db080548f8" /><Relationship Type="http://schemas.openxmlformats.org/officeDocument/2006/relationships/worksheet" Target="/xl/worksheets/sheet2.xml" Id="R8d0d6a929fe0406c" /><Relationship Type="http://schemas.openxmlformats.org/officeDocument/2006/relationships/worksheet" Target="/xl/worksheets/sheet3.xml" Id="R4d9d4ba9d4a74a56" /><Relationship Type="http://schemas.openxmlformats.org/officeDocument/2006/relationships/worksheet" Target="/xl/worksheets/sheet4.xml" Id="R619b8754eb24479d" /><Relationship Type="http://schemas.openxmlformats.org/officeDocument/2006/relationships/worksheet" Target="/xl/worksheets/sheet5.xml" Id="R4ac1557235b74cf7" /><Relationship Type="http://schemas.openxmlformats.org/officeDocument/2006/relationships/worksheet" Target="/xl/worksheets/sheet6.xml" Id="R65e00e43f117483b" /><Relationship Type="http://schemas.openxmlformats.org/officeDocument/2006/relationships/worksheet" Target="/xl/worksheets/sheet7.xml" Id="Rd4d288914ea44149" /><Relationship Type="http://schemas.openxmlformats.org/officeDocument/2006/relationships/worksheet" Target="/xl/worksheets/sheet8.xml" Id="R690bb31ae0be45e7" /><Relationship Type="http://schemas.openxmlformats.org/officeDocument/2006/relationships/worksheet" Target="/xl/worksheets/sheet9.xml" Id="R7c2d96da3de0469c" /><Relationship Type="http://schemas.openxmlformats.org/officeDocument/2006/relationships/worksheet" Target="/xl/worksheets/sheet10.xml" Id="R7fbfdf2a10394deb" /><Relationship Type="http://schemas.openxmlformats.org/officeDocument/2006/relationships/worksheet" Target="/xl/worksheets/sheet11.xml" Id="R4fd23fa4696e4d5c" /><Relationship Type="http://schemas.openxmlformats.org/officeDocument/2006/relationships/worksheet" Target="/xl/worksheets/sheet12.xml" Id="Rf2677a2d246d4dc8" /><Relationship Type="http://schemas.openxmlformats.org/officeDocument/2006/relationships/worksheet" Target="/xl/worksheets/sheet13.xml" Id="Ra03849b53b8d4bc3" /><Relationship Type="http://schemas.openxmlformats.org/officeDocument/2006/relationships/worksheet" Target="/xl/worksheets/sheet14.xml" Id="R0aae509a702e47fa" /><Relationship Type="http://schemas.openxmlformats.org/officeDocument/2006/relationships/worksheet" Target="/xl/worksheets/sheet15.xml" Id="R79477818bbf84469" /><Relationship Type="http://schemas.openxmlformats.org/officeDocument/2006/relationships/worksheet" Target="/xl/worksheets/sheet16.xml" Id="Rc8c29bcf3c9641e8" /><Relationship Type="http://schemas.openxmlformats.org/officeDocument/2006/relationships/worksheet" Target="/xl/worksheets/sheet17.xml" Id="R0e7d054219204818" /><Relationship Type="http://schemas.openxmlformats.org/officeDocument/2006/relationships/worksheet" Target="/xl/worksheets/sheet18.xml" Id="Rd227e71ae7c24ceb" /><Relationship Type="http://schemas.openxmlformats.org/officeDocument/2006/relationships/worksheet" Target="/xl/worksheets/sheet19.xml" Id="Ra56fac12fbef44eb" /><Relationship Type="http://schemas.openxmlformats.org/officeDocument/2006/relationships/worksheet" Target="/xl/worksheets/sheet20.xml" Id="R2623d42da68e4d41" /><Relationship Type="http://schemas.openxmlformats.org/officeDocument/2006/relationships/worksheet" Target="/xl/worksheets/sheet21.xml" Id="Rc45e401d58eb407b" /><Relationship Type="http://schemas.openxmlformats.org/officeDocument/2006/relationships/worksheet" Target="/xl/worksheets/sheet22.xml" Id="R94fb8bbb81cd4b6e" /><Relationship Type="http://schemas.openxmlformats.org/officeDocument/2006/relationships/worksheet" Target="/xl/worksheets/sheet23.xml" Id="R5cdcdf82f0fc4e8f" /><Relationship Type="http://schemas.openxmlformats.org/officeDocument/2006/relationships/worksheet" Target="/xl/worksheets/sheet24.xml" Id="R5c1d5342a1dc48f6" /><Relationship Type="http://schemas.openxmlformats.org/officeDocument/2006/relationships/worksheet" Target="/xl/worksheets/sheet25.xml" Id="R622b598970ea40f1" /><Relationship Type="http://schemas.openxmlformats.org/officeDocument/2006/relationships/worksheet" Target="/xl/worksheets/sheet26.xml" Id="R1bd2950215fa490d"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4a7a49c5a342d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4a7a49c5a342d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988c7c0f76e4e44" /></Relationships>
</file>

<file path=xl/worksheets/_rels/sheet2.xml.rels>&#65279;<?xml version="1.0" encoding="utf-8"?><Relationships xmlns="http://schemas.openxmlformats.org/package/2006/relationships"><Relationship Type="http://schemas.openxmlformats.org/officeDocument/2006/relationships/table" Target="/xl/tables/table2.xml" Id="Rdcb7658fa67242c8" /></Relationships>
</file>

<file path=xl/worksheets/_rels/sheet3.xml.rels>&#65279;<?xml version="1.0" encoding="utf-8"?><Relationships xmlns="http://schemas.openxmlformats.org/package/2006/relationships"><Relationship Type="http://schemas.openxmlformats.org/officeDocument/2006/relationships/drawing" Target="/xl/drawings/drawing1.xml" Id="Rab405f85672148d0" /></Relationships>
</file>

<file path=xl/worksheets/_rels/sheet4.xml.rels>&#65279;<?xml version="1.0" encoding="utf-8"?><Relationships xmlns="http://schemas.openxmlformats.org/package/2006/relationships"><Relationship Type="http://schemas.openxmlformats.org/officeDocument/2006/relationships/table" Target="/xl/tables/table3.xml" Id="Rf03c5d4dcd564218" /></Relationships>
</file>

<file path=xl/worksheets/_rels/sheet5.xml.rels>&#65279;<?xml version="1.0" encoding="utf-8"?><Relationships xmlns="http://schemas.openxmlformats.org/package/2006/relationships"><Relationship Type="http://schemas.openxmlformats.org/officeDocument/2006/relationships/table" Target="/xl/tables/table4.xml" Id="R5776d9482ede4dde" /></Relationships>
</file>

<file path=xl/worksheets/_rels/sheet6.xml.rels>&#65279;<?xml version="1.0" encoding="utf-8"?><Relationships xmlns="http://schemas.openxmlformats.org/package/2006/relationships"><Relationship Type="http://schemas.openxmlformats.org/officeDocument/2006/relationships/table" Target="/xl/tables/table5.xml" Id="Rca56a1e1ef4b49fb" /></Relationships>
</file>

<file path=xl/worksheets/_rels/sheet7.xml.rels>&#65279;<?xml version="1.0" encoding="utf-8"?><Relationships xmlns="http://schemas.openxmlformats.org/package/2006/relationships"><Relationship Type="http://schemas.openxmlformats.org/officeDocument/2006/relationships/table" Target="/xl/tables/table6.xml" Id="R098b2263cc344093" /></Relationships>
</file>

<file path=xl/worksheets/_rels/sheet9.xml.rels>&#65279;<?xml version="1.0" encoding="utf-8"?><Relationships xmlns="http://schemas.openxmlformats.org/package/2006/relationships"><Relationship Type="http://schemas.openxmlformats.org/officeDocument/2006/relationships/table" Target="/xl/tables/table7.xml" Id="Re067aba008a14a9e" /></Relationships>
</file>

<file path=xl/worksheets/_rels/sheet10.xml.rels>&#65279;<?xml version="1.0" encoding="utf-8"?><Relationships xmlns="http://schemas.openxmlformats.org/package/2006/relationships"><Relationship Type="http://schemas.openxmlformats.org/officeDocument/2006/relationships/table" Target="/xl/tables/table8.xml" Id="R799cb8c24d6c48b0" /></Relationships>
</file>

<file path=xl/worksheets/_rels/sheet11.xml.rels>&#65279;<?xml version="1.0" encoding="utf-8"?><Relationships xmlns="http://schemas.openxmlformats.org/package/2006/relationships"><Relationship Type="http://schemas.openxmlformats.org/officeDocument/2006/relationships/table" Target="/xl/tables/table9.xml" Id="R191ca25eaea84e62" /></Relationships>
</file>

<file path=xl/worksheets/_rels/sheet13.xml.rels>&#65279;<?xml version="1.0" encoding="utf-8"?><Relationships xmlns="http://schemas.openxmlformats.org/package/2006/relationships"><Relationship Type="http://schemas.openxmlformats.org/officeDocument/2006/relationships/table" Target="/xl/tables/table10.xml" Id="Rbf9274e02d334cea" /></Relationships>
</file>

<file path=xl/worksheets/_rels/sheet14.xml.rels>&#65279;<?xml version="1.0" encoding="utf-8"?><Relationships xmlns="http://schemas.openxmlformats.org/package/2006/relationships"><Relationship Type="http://schemas.openxmlformats.org/officeDocument/2006/relationships/table" Target="/xl/tables/table11.xml" Id="Ra4b4818b8e9e420e" /></Relationships>
</file>

<file path=xl/worksheets/_rels/sheet15.xml.rels>&#65279;<?xml version="1.0" encoding="utf-8"?><Relationships xmlns="http://schemas.openxmlformats.org/package/2006/relationships"><Relationship Type="http://schemas.openxmlformats.org/officeDocument/2006/relationships/table" Target="/xl/tables/table12.xml" Id="R4990e74560114868" /></Relationships>
</file>

<file path=xl/worksheets/_rels/sheet16.xml.rels>&#65279;<?xml version="1.0" encoding="utf-8"?><Relationships xmlns="http://schemas.openxmlformats.org/package/2006/relationships"><Relationship Type="http://schemas.openxmlformats.org/officeDocument/2006/relationships/table" Target="/xl/tables/table13.xml" Id="R95309c21b906422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0988c7c0f76e4e44"/>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through 20-10 are published and closed. Documentation now covers the governed procurement journey through RFQ Award plus the authoritative Company Workspace / RFQ access model and role boundaries. G11 remains open pending 20-11 FAQ &amp; Support and 20-12 Privacy/Security Overview.</x:v>
      </x:c>
      <x:c r="G16" s="249" t="n">
        <x:v>46295</x:v>
      </x:c>
      <x:c r="H16" s="32" t="str">
        <x:v>Do not mark G11 complete until 20-11 and 20-12 are complete and the Phase 20 documentation set has received its final internal-consistency review.</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cb7658fa67242c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242</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0.659400544959128</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0.6654545454545454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10</x:v>
      </x:c>
      <x:c r="C53" s="28" t="n">
        <x:f>COUNTIFS('01 Master Plan'!C$5:C$383,A53,'01 Master Plan'!H$5:H$383,"In Progress")</x:f>
        <x:v>0</x:v>
      </x:c>
      <x:c r="D53" s="28" t="n">
        <x:f>COUNTIFS('01 Master Plan'!C$5:C$383,A53,'01 Master Plan'!H$5:H$383,"Not Started")</x:f>
        <x:v>2</x:v>
      </x:c>
      <x:c r="E53" s="28" t="n">
        <x:f>COUNTIFS('01 Master Plan'!C$5:C$383,A53,'01 Master Plan'!H$5:H$383,"Blocked")</x:f>
        <x:v>0</x:v>
      </x:c>
      <x:c r="F53" s="28" t="n">
        <x:f>COUNTIFS('01 Master Plan'!C$5:C$383,A53,'01 Master Plan'!H$5:H$383,"Deferred")</x:f>
        <x:v>0</x:v>
      </x:c>
      <x:c r="G53" s="258" t="n">
        <x:f>IFERROR(B53/(B53+C53+D53+E53),0)</x:f>
        <x:v>0.8333333333333334</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b405f85672148d0"/>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03c5d4dcd56421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776d9482ede4dd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a56a1e1ef4b49f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98b2263cc34409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e067aba008a14a9e"/>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99cb8c24d6c48b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91ca25eaea84e6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f9274e02d334ce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4b4818b8e9e420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990e74560114868"/>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5309c21b906422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