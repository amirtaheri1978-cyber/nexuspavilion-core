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1b1c14d0c954dcc" /></Relationships>
</file>

<file path=xl/workbook.xml><?xml version="1.0" encoding="utf-8"?>
<x:workbook xmlns:x="http://schemas.openxmlformats.org/spreadsheetml/2006/main">
  <x:sheets>
    <x:sheet xmlns:r="http://schemas.openxmlformats.org/officeDocument/2006/relationships" name="01 Master Plan" sheetId="1" r:id="R09977731d53c4940"/>
    <x:sheet xmlns:r="http://schemas.openxmlformats.org/officeDocument/2006/relationships" name="03 Launch Gates" sheetId="2" r:id="R1eef47080f1f480d"/>
    <x:sheet xmlns:r="http://schemas.openxmlformats.org/officeDocument/2006/relationships" name="00 Dashboard" sheetId="3" r:id="Ra2a9ed9f84fb47db"/>
    <x:sheet xmlns:r="http://schemas.openxmlformats.org/officeDocument/2006/relationships" name="04 Cursor Tasks" sheetId="4" r:id="R48a19a53772341ab"/>
    <x:sheet xmlns:r="http://schemas.openxmlformats.org/officeDocument/2006/relationships" name="05 UAT Matrix" sheetId="5" r:id="R772f868b96e443e6"/>
    <x:sheet xmlns:r="http://schemas.openxmlformats.org/officeDocument/2006/relationships" name="06 Security Matrix" sheetId="6" r:id="R8abe563dd91f4e86"/>
    <x:sheet xmlns:r="http://schemas.openxmlformats.org/officeDocument/2006/relationships" name="07 Risks" sheetId="7" r:id="R528da0618e3340c6"/>
    <x:sheet xmlns:r="http://schemas.openxmlformats.org/officeDocument/2006/relationships" name="08 Architecture" sheetId="8" r:id="Re9185be52e484330"/>
    <x:sheet xmlns:r="http://schemas.openxmlformats.org/officeDocument/2006/relationships" name="09 Release Checklist" sheetId="9" r:id="R284e8bf4309a4d9f"/>
    <x:sheet xmlns:r="http://schemas.openxmlformats.org/officeDocument/2006/relationships" name="10 Change Log" sheetId="10" r:id="Rf0064506a71b4e38"/>
    <x:sheet xmlns:r="http://schemas.openxmlformats.org/officeDocument/2006/relationships" name="11 Scope &amp; Roadmap" sheetId="11" r:id="Rd31d9e8a7f6c4e47"/>
    <x:sheet xmlns:r="http://schemas.openxmlformats.org/officeDocument/2006/relationships" name="12 How to Use" sheetId="12" r:id="Rf8d77f7c500440a0"/>
    <x:sheet xmlns:r="http://schemas.openxmlformats.org/officeDocument/2006/relationships" name="13 UI Program" sheetId="13" r:id="Rcba4447eea504277"/>
    <x:sheet xmlns:r="http://schemas.openxmlformats.org/officeDocument/2006/relationships" name="14 UI Scorecard" sheetId="14" r:id="R10a8a84542f042cf"/>
    <x:sheet xmlns:r="http://schemas.openxmlformats.org/officeDocument/2006/relationships" name="15 Motion Guidance" sheetId="15" r:id="R5282a53da5b741e9"/>
    <x:sheet xmlns:r="http://schemas.openxmlformats.org/officeDocument/2006/relationships" name="16 Design Standards" sheetId="16" r:id="R19744a4c865848de"/>
    <x:sheet xmlns:r="http://schemas.openxmlformats.org/officeDocument/2006/relationships" name="17 Corporate Platform" sheetId="17" r:id="R15413475373f43b4"/>
    <x:sheet xmlns:r="http://schemas.openxmlformats.org/officeDocument/2006/relationships" name="18 Analytics Reuse Map" sheetId="18" r:id="Rb4a2bea60f7a477a"/>
    <x:sheet xmlns:r="http://schemas.openxmlformats.org/officeDocument/2006/relationships" name="19 Executive Insights Discovery" sheetId="19" r:id="R7d5d2833e912407a"/>
    <x:sheet xmlns:r="http://schemas.openxmlformats.org/officeDocument/2006/relationships" name="20 Procurement Insights Discovery" sheetId="20" r:id="Rd992b1a0658b458f"/>
    <x:sheet xmlns:r="http://schemas.openxmlformats.org/officeDocument/2006/relationships" name="21 Commercial Insights Discovery" sheetId="21" r:id="R5023d78115c0403d"/>
    <x:sheet xmlns:r="http://schemas.openxmlformats.org/officeDocument/2006/relationships" name="22 Project Insights Discovery" sheetId="22" r:id="R3c7256ef553d4474"/>
    <x:sheet xmlns:r="http://schemas.openxmlformats.org/officeDocument/2006/relationships" name="23 Performance Discovery" sheetId="23" r:id="R051b4906baf8486e"/>
    <x:sheet xmlns:r="http://schemas.openxmlformats.org/officeDocument/2006/relationships" name="24 Risk Compliance Discovery" sheetId="24" r:id="Rd3d4e15bf70e47ce"/>
    <x:sheet xmlns:r="http://schemas.openxmlformats.org/officeDocument/2006/relationships" name="25 Commercial Handoff" sheetId="25" r:id="Ra4febb192a8a43e0"/>
    <x:sheet xmlns:r="http://schemas.openxmlformats.org/officeDocument/2006/relationships" name="26 RFQ Governance" sheetId="26" r:id="Ra158ad6b6f98402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140a343e842441e" /><Relationship Type="http://schemas.openxmlformats.org/officeDocument/2006/relationships/theme" Target="/xl/theme/theme1.xml" Id="R1509dcd34eb24109" /><Relationship Type="http://schemas.openxmlformats.org/officeDocument/2006/relationships/sharedStrings" Target="/xl/sharedStrings.xml" Id="R18518001ae54430d" /><Relationship Type="http://schemas.openxmlformats.org/officeDocument/2006/relationships/worksheet" Target="/xl/worksheets/sheet1.xml" Id="R09977731d53c4940" /><Relationship Type="http://schemas.openxmlformats.org/officeDocument/2006/relationships/worksheet" Target="/xl/worksheets/sheet2.xml" Id="R1eef47080f1f480d" /><Relationship Type="http://schemas.openxmlformats.org/officeDocument/2006/relationships/worksheet" Target="/xl/worksheets/sheet3.xml" Id="Ra2a9ed9f84fb47db" /><Relationship Type="http://schemas.openxmlformats.org/officeDocument/2006/relationships/worksheet" Target="/xl/worksheets/sheet4.xml" Id="R48a19a53772341ab" /><Relationship Type="http://schemas.openxmlformats.org/officeDocument/2006/relationships/worksheet" Target="/xl/worksheets/sheet5.xml" Id="R772f868b96e443e6" /><Relationship Type="http://schemas.openxmlformats.org/officeDocument/2006/relationships/worksheet" Target="/xl/worksheets/sheet6.xml" Id="R8abe563dd91f4e86" /><Relationship Type="http://schemas.openxmlformats.org/officeDocument/2006/relationships/worksheet" Target="/xl/worksheets/sheet7.xml" Id="R528da0618e3340c6" /><Relationship Type="http://schemas.openxmlformats.org/officeDocument/2006/relationships/worksheet" Target="/xl/worksheets/sheet8.xml" Id="Re9185be52e484330" /><Relationship Type="http://schemas.openxmlformats.org/officeDocument/2006/relationships/worksheet" Target="/xl/worksheets/sheet9.xml" Id="R284e8bf4309a4d9f" /><Relationship Type="http://schemas.openxmlformats.org/officeDocument/2006/relationships/worksheet" Target="/xl/worksheets/sheet10.xml" Id="Rf0064506a71b4e38" /><Relationship Type="http://schemas.openxmlformats.org/officeDocument/2006/relationships/worksheet" Target="/xl/worksheets/sheet11.xml" Id="Rd31d9e8a7f6c4e47" /><Relationship Type="http://schemas.openxmlformats.org/officeDocument/2006/relationships/worksheet" Target="/xl/worksheets/sheet12.xml" Id="Rf8d77f7c500440a0" /><Relationship Type="http://schemas.openxmlformats.org/officeDocument/2006/relationships/worksheet" Target="/xl/worksheets/sheet13.xml" Id="Rcba4447eea504277" /><Relationship Type="http://schemas.openxmlformats.org/officeDocument/2006/relationships/worksheet" Target="/xl/worksheets/sheet14.xml" Id="R10a8a84542f042cf" /><Relationship Type="http://schemas.openxmlformats.org/officeDocument/2006/relationships/worksheet" Target="/xl/worksheets/sheet15.xml" Id="R5282a53da5b741e9" /><Relationship Type="http://schemas.openxmlformats.org/officeDocument/2006/relationships/worksheet" Target="/xl/worksheets/sheet16.xml" Id="R19744a4c865848de" /><Relationship Type="http://schemas.openxmlformats.org/officeDocument/2006/relationships/worksheet" Target="/xl/worksheets/sheet17.xml" Id="R15413475373f43b4" /><Relationship Type="http://schemas.openxmlformats.org/officeDocument/2006/relationships/worksheet" Target="/xl/worksheets/sheet18.xml" Id="Rb4a2bea60f7a477a" /><Relationship Type="http://schemas.openxmlformats.org/officeDocument/2006/relationships/worksheet" Target="/xl/worksheets/sheet19.xml" Id="R7d5d2833e912407a" /><Relationship Type="http://schemas.openxmlformats.org/officeDocument/2006/relationships/worksheet" Target="/xl/worksheets/sheet20.xml" Id="Rd992b1a0658b458f" /><Relationship Type="http://schemas.openxmlformats.org/officeDocument/2006/relationships/worksheet" Target="/xl/worksheets/sheet21.xml" Id="R5023d78115c0403d" /><Relationship Type="http://schemas.openxmlformats.org/officeDocument/2006/relationships/worksheet" Target="/xl/worksheets/sheet22.xml" Id="R3c7256ef553d4474" /><Relationship Type="http://schemas.openxmlformats.org/officeDocument/2006/relationships/worksheet" Target="/xl/worksheets/sheet23.xml" Id="R051b4906baf8486e" /><Relationship Type="http://schemas.openxmlformats.org/officeDocument/2006/relationships/worksheet" Target="/xl/worksheets/sheet24.xml" Id="Rd3d4e15bf70e47ce" /><Relationship Type="http://schemas.openxmlformats.org/officeDocument/2006/relationships/worksheet" Target="/xl/worksheets/sheet25.xml" Id="Ra4febb192a8a43e0" /><Relationship Type="http://schemas.openxmlformats.org/officeDocument/2006/relationships/worksheet" Target="/xl/worksheets/sheet26.xml" Id="Ra158ad6b6f98402a" /></Relationships>
</file>

<file path=xl/drawings/_rels/drawing1.xml.rels>&#65279;<?xml version="1.0" encoding="utf-8"?><Relationships xmlns="http://schemas.openxmlformats.org/package/2006/relationships"><Relationship Type="http://schemas.openxmlformats.org/officeDocument/2006/relationships/chart" Target="/xl/drawings/charts/chart1.xml" Id="R7ca62a16a4ad4461"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ca62a16a4ad4461"/>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6819b0c1db542a3" /></Relationships>
</file>

<file path=xl/worksheets/_rels/sheet2.xml.rels>&#65279;<?xml version="1.0" encoding="utf-8"?><Relationships xmlns="http://schemas.openxmlformats.org/package/2006/relationships"><Relationship Type="http://schemas.openxmlformats.org/officeDocument/2006/relationships/table" Target="/xl/tables/table2.xml" Id="Rb4902e8aaf684f30" /></Relationships>
</file>

<file path=xl/worksheets/_rels/sheet3.xml.rels>&#65279;<?xml version="1.0" encoding="utf-8"?><Relationships xmlns="http://schemas.openxmlformats.org/package/2006/relationships"><Relationship Type="http://schemas.openxmlformats.org/officeDocument/2006/relationships/drawing" Target="/xl/drawings/drawing1.xml" Id="R01416e202c9f4f99" /></Relationships>
</file>

<file path=xl/worksheets/_rels/sheet4.xml.rels>&#65279;<?xml version="1.0" encoding="utf-8"?><Relationships xmlns="http://schemas.openxmlformats.org/package/2006/relationships"><Relationship Type="http://schemas.openxmlformats.org/officeDocument/2006/relationships/table" Target="/xl/tables/table3.xml" Id="R3fc7a91c54f64618" /></Relationships>
</file>

<file path=xl/worksheets/_rels/sheet5.xml.rels>&#65279;<?xml version="1.0" encoding="utf-8"?><Relationships xmlns="http://schemas.openxmlformats.org/package/2006/relationships"><Relationship Type="http://schemas.openxmlformats.org/officeDocument/2006/relationships/table" Target="/xl/tables/table4.xml" Id="R05fdbdfca9ad482e" /></Relationships>
</file>

<file path=xl/worksheets/_rels/sheet6.xml.rels>&#65279;<?xml version="1.0" encoding="utf-8"?><Relationships xmlns="http://schemas.openxmlformats.org/package/2006/relationships"><Relationship Type="http://schemas.openxmlformats.org/officeDocument/2006/relationships/table" Target="/xl/tables/table5.xml" Id="R02365cb685cb4ed5" /></Relationships>
</file>

<file path=xl/worksheets/_rels/sheet7.xml.rels>&#65279;<?xml version="1.0" encoding="utf-8"?><Relationships xmlns="http://schemas.openxmlformats.org/package/2006/relationships"><Relationship Type="http://schemas.openxmlformats.org/officeDocument/2006/relationships/table" Target="/xl/tables/table6.xml" Id="Rf81dc90a1f744900" /></Relationships>
</file>

<file path=xl/worksheets/_rels/sheet9.xml.rels>&#65279;<?xml version="1.0" encoding="utf-8"?><Relationships xmlns="http://schemas.openxmlformats.org/package/2006/relationships"><Relationship Type="http://schemas.openxmlformats.org/officeDocument/2006/relationships/table" Target="/xl/tables/table7.xml" Id="R298d751a36c243dc" /></Relationships>
</file>

<file path=xl/worksheets/_rels/sheet10.xml.rels>&#65279;<?xml version="1.0" encoding="utf-8"?><Relationships xmlns="http://schemas.openxmlformats.org/package/2006/relationships"><Relationship Type="http://schemas.openxmlformats.org/officeDocument/2006/relationships/table" Target="/xl/tables/table8.xml" Id="R433305b977834b79" /></Relationships>
</file>

<file path=xl/worksheets/_rels/sheet11.xml.rels>&#65279;<?xml version="1.0" encoding="utf-8"?><Relationships xmlns="http://schemas.openxmlformats.org/package/2006/relationships"><Relationship Type="http://schemas.openxmlformats.org/officeDocument/2006/relationships/table" Target="/xl/tables/table9.xml" Id="R3ca29b43f1114efe" /></Relationships>
</file>

<file path=xl/worksheets/_rels/sheet13.xml.rels>&#65279;<?xml version="1.0" encoding="utf-8"?><Relationships xmlns="http://schemas.openxmlformats.org/package/2006/relationships"><Relationship Type="http://schemas.openxmlformats.org/officeDocument/2006/relationships/table" Target="/xl/tables/table10.xml" Id="Rb648a02a3e984a57" /></Relationships>
</file>

<file path=xl/worksheets/_rels/sheet14.xml.rels>&#65279;<?xml version="1.0" encoding="utf-8"?><Relationships xmlns="http://schemas.openxmlformats.org/package/2006/relationships"><Relationship Type="http://schemas.openxmlformats.org/officeDocument/2006/relationships/table" Target="/xl/tables/table11.xml" Id="Rc40db4aceab74c1c" /></Relationships>
</file>

<file path=xl/worksheets/_rels/sheet15.xml.rels>&#65279;<?xml version="1.0" encoding="utf-8"?><Relationships xmlns="http://schemas.openxmlformats.org/package/2006/relationships"><Relationship Type="http://schemas.openxmlformats.org/officeDocument/2006/relationships/table" Target="/xl/tables/table12.xml" Id="R031f9ffaa5ac4dc8" /></Relationships>
</file>

<file path=xl/worksheets/_rels/sheet16.xml.rels>&#65279;<?xml version="1.0" encoding="utf-8"?><Relationships xmlns="http://schemas.openxmlformats.org/package/2006/relationships"><Relationship Type="http://schemas.openxmlformats.org/officeDocument/2006/relationships/table" Target="/xl/tables/table13.xml" Id="R38cd999a10cb4e74"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a6819b0c1db542a3"/>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b4902e8aaf684f30"/>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248</x:v>
      </x:c>
      <x:c r="D6" s="133" t="inlineStr">
        <x:is>
          <x:t xml:space="preserve">G0A — Corporate platform architecture ready</x:t>
        </x:is>
      </x:c>
      <x:c r="E6" s="32" t="str">
        <x:f>'03 Launch Gates'!D20</x:f>
        <x:v>Completed</x:v>
      </x:c>
      <x:c r="G6" t="inlineStr">
        <x:is>
          <x:t xml:space="preserve">UI Tasks Complete</x:t>
        </x:is>
      </x:c>
      <x:c r="H6" t="n">
        <x:f>SUM(B36:B46)</x:f>
        <x:v>26</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0.6757493188010899</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0.6872727272727273</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x:v>
      </x:c>
      <x:c r="C36" s="133" t="n">
        <x:f>COUNTIFS('01 Master Plan'!C$5:C$383,A36,'01 Master Plan'!H$5:H$383,"In Progress")</x:f>
        <x:v>0</x:v>
      </x:c>
      <x:c r="D36" s="133" t="n">
        <x:f>COUNTIFS('01 Master Plan'!C$5:C$383,A36,'01 Master Plan'!H$5:H$383,"Not Started")</x:f>
        <x:v>9</x:v>
      </x:c>
      <x:c r="E36" s="133" t="n">
        <x:f>COUNTIFS('01 Master Plan'!C$5:C$383,A36,'01 Master Plan'!H$5:H$383,"Blocked")</x:f>
        <x:v>0</x:v>
      </x:c>
      <x:c r="F36" s="133" t="n">
        <x:f>COUNTIFS('01 Master Plan'!C$5:C$383,A36,'01 Master Plan'!H$5:H$383,"Deferred")</x:f>
        <x:v>0</x:v>
      </x:c>
      <x:c r="G36" s="255" t="n">
        <x:f>IFERROR(B36/(B36+C36+D36+E36),0)</x:f>
        <x:v>0.1</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01416e202c9f4f99"/>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3fc7a91c54f64618"/>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05fdbdfca9ad482e"/>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02365cb685cb4ed5"/>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f81dc90a1f744900"/>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298d751a36c243dc"/>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433305b977834b79"/>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3ca29b43f1114ef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b648a02a3e984a57"/>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c40db4aceab74c1c"/>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031f9ffaa5ac4dc8"/>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38cd999a10cb4e74"/>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