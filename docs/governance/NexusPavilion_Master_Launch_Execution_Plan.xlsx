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aa5c5e69f3c4e80" /></Relationships>
</file>

<file path=xl/workbook.xml><?xml version="1.0" encoding="utf-8"?>
<x:workbook xmlns:x="http://schemas.openxmlformats.org/spreadsheetml/2006/main">
  <x:sheets>
    <x:sheet xmlns:r="http://schemas.openxmlformats.org/officeDocument/2006/relationships" name="01 Master Plan" sheetId="1" r:id="Rb403c863e311427f"/>
    <x:sheet xmlns:r="http://schemas.openxmlformats.org/officeDocument/2006/relationships" name="03 Launch Gates" sheetId="2" r:id="R2dd0bf6e8d7e4acb"/>
    <x:sheet xmlns:r="http://schemas.openxmlformats.org/officeDocument/2006/relationships" name="00 Dashboard" sheetId="3" r:id="R2734adac873e4393"/>
    <x:sheet xmlns:r="http://schemas.openxmlformats.org/officeDocument/2006/relationships" name="04 Cursor Tasks" sheetId="4" r:id="R96788879dd614197"/>
    <x:sheet xmlns:r="http://schemas.openxmlformats.org/officeDocument/2006/relationships" name="05 UAT Matrix" sheetId="5" r:id="Ra6fc9ebb22644dde"/>
    <x:sheet xmlns:r="http://schemas.openxmlformats.org/officeDocument/2006/relationships" name="06 Security Matrix" sheetId="6" r:id="R600935fa465942df"/>
    <x:sheet xmlns:r="http://schemas.openxmlformats.org/officeDocument/2006/relationships" name="07 Risks" sheetId="7" r:id="R6ea90c8864c14b04"/>
    <x:sheet xmlns:r="http://schemas.openxmlformats.org/officeDocument/2006/relationships" name="08 Architecture" sheetId="8" r:id="Ra1898d57eca84f75"/>
    <x:sheet xmlns:r="http://schemas.openxmlformats.org/officeDocument/2006/relationships" name="09 Release Checklist" sheetId="9" r:id="Rc8313804af044d91"/>
    <x:sheet xmlns:r="http://schemas.openxmlformats.org/officeDocument/2006/relationships" name="10 Change Log" sheetId="10" r:id="R3197f961640c4b72"/>
    <x:sheet xmlns:r="http://schemas.openxmlformats.org/officeDocument/2006/relationships" name="11 Scope &amp; Roadmap" sheetId="11" r:id="R409da432641e4f7b"/>
    <x:sheet xmlns:r="http://schemas.openxmlformats.org/officeDocument/2006/relationships" name="12 How to Use" sheetId="12" r:id="R2b222694597b4a51"/>
    <x:sheet xmlns:r="http://schemas.openxmlformats.org/officeDocument/2006/relationships" name="13 UI Program" sheetId="13" r:id="R4658799d35364f9b"/>
    <x:sheet xmlns:r="http://schemas.openxmlformats.org/officeDocument/2006/relationships" name="14 UI Scorecard" sheetId="14" r:id="Rc9f8f5b9f32d478c"/>
    <x:sheet xmlns:r="http://schemas.openxmlformats.org/officeDocument/2006/relationships" name="15 Motion Guidance" sheetId="15" r:id="R34ff0a3d891f4dd2"/>
    <x:sheet xmlns:r="http://schemas.openxmlformats.org/officeDocument/2006/relationships" name="16 Design Standards" sheetId="16" r:id="Ra8033848ec2a4ab5"/>
    <x:sheet xmlns:r="http://schemas.openxmlformats.org/officeDocument/2006/relationships" name="17 Corporate Platform" sheetId="17" r:id="R43565a9789834e84"/>
    <x:sheet xmlns:r="http://schemas.openxmlformats.org/officeDocument/2006/relationships" name="18 Analytics Reuse Map" sheetId="18" r:id="R82d362b365cd4130"/>
    <x:sheet xmlns:r="http://schemas.openxmlformats.org/officeDocument/2006/relationships" name="19 Executive Insights Discovery" sheetId="19" r:id="Re6763a7e9d3d4c7f"/>
    <x:sheet xmlns:r="http://schemas.openxmlformats.org/officeDocument/2006/relationships" name="20 Procurement Insights Discovery" sheetId="20" r:id="Re8fccaef62b944de"/>
    <x:sheet xmlns:r="http://schemas.openxmlformats.org/officeDocument/2006/relationships" name="21 Commercial Insights Discovery" sheetId="21" r:id="R2ea3358e4fda4e37"/>
    <x:sheet xmlns:r="http://schemas.openxmlformats.org/officeDocument/2006/relationships" name="22 Project Insights Discovery" sheetId="22" r:id="R1f2eac5505474814"/>
    <x:sheet xmlns:r="http://schemas.openxmlformats.org/officeDocument/2006/relationships" name="23 Performance Discovery" sheetId="23" r:id="R6b5af2f91579450a"/>
    <x:sheet xmlns:r="http://schemas.openxmlformats.org/officeDocument/2006/relationships" name="24 Risk Compliance Discovery" sheetId="24" r:id="Rd8c2c0ce6bba4f0e"/>
    <x:sheet xmlns:r="http://schemas.openxmlformats.org/officeDocument/2006/relationships" name="25 Commercial Handoff" sheetId="25" r:id="Reb0b8af97ced494b"/>
    <x:sheet xmlns:r="http://schemas.openxmlformats.org/officeDocument/2006/relationships" name="26 RFQ Governance" sheetId="26" r:id="R58697f6d2d6945a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7e25b42d13d4b28" /><Relationship Type="http://schemas.openxmlformats.org/officeDocument/2006/relationships/theme" Target="/xl/theme/theme1.xml" Id="Rc0bece7d50344103" /><Relationship Type="http://schemas.openxmlformats.org/officeDocument/2006/relationships/sharedStrings" Target="/xl/sharedStrings.xml" Id="R89c6dbc9cefc4b5a" /><Relationship Type="http://schemas.openxmlformats.org/officeDocument/2006/relationships/worksheet" Target="/xl/worksheets/sheet1.xml" Id="Rb403c863e311427f" /><Relationship Type="http://schemas.openxmlformats.org/officeDocument/2006/relationships/worksheet" Target="/xl/worksheets/sheet2.xml" Id="R2dd0bf6e8d7e4acb" /><Relationship Type="http://schemas.openxmlformats.org/officeDocument/2006/relationships/worksheet" Target="/xl/worksheets/sheet3.xml" Id="R2734adac873e4393" /><Relationship Type="http://schemas.openxmlformats.org/officeDocument/2006/relationships/worksheet" Target="/xl/worksheets/sheet4.xml" Id="R96788879dd614197" /><Relationship Type="http://schemas.openxmlformats.org/officeDocument/2006/relationships/worksheet" Target="/xl/worksheets/sheet5.xml" Id="Ra6fc9ebb22644dde" /><Relationship Type="http://schemas.openxmlformats.org/officeDocument/2006/relationships/worksheet" Target="/xl/worksheets/sheet6.xml" Id="R600935fa465942df" /><Relationship Type="http://schemas.openxmlformats.org/officeDocument/2006/relationships/worksheet" Target="/xl/worksheets/sheet7.xml" Id="R6ea90c8864c14b04" /><Relationship Type="http://schemas.openxmlformats.org/officeDocument/2006/relationships/worksheet" Target="/xl/worksheets/sheet8.xml" Id="Ra1898d57eca84f75" /><Relationship Type="http://schemas.openxmlformats.org/officeDocument/2006/relationships/worksheet" Target="/xl/worksheets/sheet9.xml" Id="Rc8313804af044d91" /><Relationship Type="http://schemas.openxmlformats.org/officeDocument/2006/relationships/worksheet" Target="/xl/worksheets/sheet10.xml" Id="R3197f961640c4b72" /><Relationship Type="http://schemas.openxmlformats.org/officeDocument/2006/relationships/worksheet" Target="/xl/worksheets/sheet11.xml" Id="R409da432641e4f7b" /><Relationship Type="http://schemas.openxmlformats.org/officeDocument/2006/relationships/worksheet" Target="/xl/worksheets/sheet12.xml" Id="R2b222694597b4a51" /><Relationship Type="http://schemas.openxmlformats.org/officeDocument/2006/relationships/worksheet" Target="/xl/worksheets/sheet13.xml" Id="R4658799d35364f9b" /><Relationship Type="http://schemas.openxmlformats.org/officeDocument/2006/relationships/worksheet" Target="/xl/worksheets/sheet14.xml" Id="Rc9f8f5b9f32d478c" /><Relationship Type="http://schemas.openxmlformats.org/officeDocument/2006/relationships/worksheet" Target="/xl/worksheets/sheet15.xml" Id="R34ff0a3d891f4dd2" /><Relationship Type="http://schemas.openxmlformats.org/officeDocument/2006/relationships/worksheet" Target="/xl/worksheets/sheet16.xml" Id="Ra8033848ec2a4ab5" /><Relationship Type="http://schemas.openxmlformats.org/officeDocument/2006/relationships/worksheet" Target="/xl/worksheets/sheet17.xml" Id="R43565a9789834e84" /><Relationship Type="http://schemas.openxmlformats.org/officeDocument/2006/relationships/worksheet" Target="/xl/worksheets/sheet18.xml" Id="R82d362b365cd4130" /><Relationship Type="http://schemas.openxmlformats.org/officeDocument/2006/relationships/worksheet" Target="/xl/worksheets/sheet19.xml" Id="Re6763a7e9d3d4c7f" /><Relationship Type="http://schemas.openxmlformats.org/officeDocument/2006/relationships/worksheet" Target="/xl/worksheets/sheet20.xml" Id="Re8fccaef62b944de" /><Relationship Type="http://schemas.openxmlformats.org/officeDocument/2006/relationships/worksheet" Target="/xl/worksheets/sheet21.xml" Id="R2ea3358e4fda4e37" /><Relationship Type="http://schemas.openxmlformats.org/officeDocument/2006/relationships/worksheet" Target="/xl/worksheets/sheet22.xml" Id="R1f2eac5505474814" /><Relationship Type="http://schemas.openxmlformats.org/officeDocument/2006/relationships/worksheet" Target="/xl/worksheets/sheet23.xml" Id="R6b5af2f91579450a" /><Relationship Type="http://schemas.openxmlformats.org/officeDocument/2006/relationships/worksheet" Target="/xl/worksheets/sheet24.xml" Id="Rd8c2c0ce6bba4f0e" /><Relationship Type="http://schemas.openxmlformats.org/officeDocument/2006/relationships/worksheet" Target="/xl/worksheets/sheet25.xml" Id="Reb0b8af97ced494b" /><Relationship Type="http://schemas.openxmlformats.org/officeDocument/2006/relationships/worksheet" Target="/xl/worksheets/sheet26.xml" Id="R58697f6d2d6945aa" /></Relationships>
</file>

<file path=xl/drawings/_rels/drawing1.xml.rels>&#65279;<?xml version="1.0" encoding="utf-8"?><Relationships xmlns="http://schemas.openxmlformats.org/package/2006/relationships"><Relationship Type="http://schemas.openxmlformats.org/officeDocument/2006/relationships/chart" Target="/xl/drawings/charts/chart1.xml" Id="R0eda51d9fa1f49e9"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eda51d9fa1f49e9"/>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3c226fffeba4dea" /></Relationships>
</file>

<file path=xl/worksheets/_rels/sheet2.xml.rels>&#65279;<?xml version="1.0" encoding="utf-8"?><Relationships xmlns="http://schemas.openxmlformats.org/package/2006/relationships"><Relationship Type="http://schemas.openxmlformats.org/officeDocument/2006/relationships/table" Target="/xl/tables/table2.xml" Id="R3cf52e47bd2f45dd" /></Relationships>
</file>

<file path=xl/worksheets/_rels/sheet3.xml.rels>&#65279;<?xml version="1.0" encoding="utf-8"?><Relationships xmlns="http://schemas.openxmlformats.org/package/2006/relationships"><Relationship Type="http://schemas.openxmlformats.org/officeDocument/2006/relationships/drawing" Target="/xl/drawings/drawing1.xml" Id="R854f436eaa4542b9" /></Relationships>
</file>

<file path=xl/worksheets/_rels/sheet4.xml.rels>&#65279;<?xml version="1.0" encoding="utf-8"?><Relationships xmlns="http://schemas.openxmlformats.org/package/2006/relationships"><Relationship Type="http://schemas.openxmlformats.org/officeDocument/2006/relationships/table" Target="/xl/tables/table3.xml" Id="R46ff67a0ea394c4b" /></Relationships>
</file>

<file path=xl/worksheets/_rels/sheet5.xml.rels>&#65279;<?xml version="1.0" encoding="utf-8"?><Relationships xmlns="http://schemas.openxmlformats.org/package/2006/relationships"><Relationship Type="http://schemas.openxmlformats.org/officeDocument/2006/relationships/table" Target="/xl/tables/table4.xml" Id="R596a769847754f26" /></Relationships>
</file>

<file path=xl/worksheets/_rels/sheet6.xml.rels>&#65279;<?xml version="1.0" encoding="utf-8"?><Relationships xmlns="http://schemas.openxmlformats.org/package/2006/relationships"><Relationship Type="http://schemas.openxmlformats.org/officeDocument/2006/relationships/table" Target="/xl/tables/table5.xml" Id="Rc9bd273948644cd5" /></Relationships>
</file>

<file path=xl/worksheets/_rels/sheet7.xml.rels>&#65279;<?xml version="1.0" encoding="utf-8"?><Relationships xmlns="http://schemas.openxmlformats.org/package/2006/relationships"><Relationship Type="http://schemas.openxmlformats.org/officeDocument/2006/relationships/table" Target="/xl/tables/table6.xml" Id="R63a64ccb8b8541cb" /></Relationships>
</file>

<file path=xl/worksheets/_rels/sheet9.xml.rels>&#65279;<?xml version="1.0" encoding="utf-8"?><Relationships xmlns="http://schemas.openxmlformats.org/package/2006/relationships"><Relationship Type="http://schemas.openxmlformats.org/officeDocument/2006/relationships/table" Target="/xl/tables/table7.xml" Id="R87b7022d4dff4603" /></Relationships>
</file>

<file path=xl/worksheets/_rels/sheet10.xml.rels>&#65279;<?xml version="1.0" encoding="utf-8"?><Relationships xmlns="http://schemas.openxmlformats.org/package/2006/relationships"><Relationship Type="http://schemas.openxmlformats.org/officeDocument/2006/relationships/table" Target="/xl/tables/table8.xml" Id="R39f5133f74d8469d" /></Relationships>
</file>

<file path=xl/worksheets/_rels/sheet11.xml.rels>&#65279;<?xml version="1.0" encoding="utf-8"?><Relationships xmlns="http://schemas.openxmlformats.org/package/2006/relationships"><Relationship Type="http://schemas.openxmlformats.org/officeDocument/2006/relationships/table" Target="/xl/tables/table9.xml" Id="Rf4a843a81f834565" /></Relationships>
</file>

<file path=xl/worksheets/_rels/sheet13.xml.rels>&#65279;<?xml version="1.0" encoding="utf-8"?><Relationships xmlns="http://schemas.openxmlformats.org/package/2006/relationships"><Relationship Type="http://schemas.openxmlformats.org/officeDocument/2006/relationships/table" Target="/xl/tables/table10.xml" Id="R00845ece1dee4488" /></Relationships>
</file>

<file path=xl/worksheets/_rels/sheet14.xml.rels>&#65279;<?xml version="1.0" encoding="utf-8"?><Relationships xmlns="http://schemas.openxmlformats.org/package/2006/relationships"><Relationship Type="http://schemas.openxmlformats.org/officeDocument/2006/relationships/table" Target="/xl/tables/table11.xml" Id="R424670f7532645a0" /></Relationships>
</file>

<file path=xl/worksheets/_rels/sheet15.xml.rels>&#65279;<?xml version="1.0" encoding="utf-8"?><Relationships xmlns="http://schemas.openxmlformats.org/package/2006/relationships"><Relationship Type="http://schemas.openxmlformats.org/officeDocument/2006/relationships/table" Target="/xl/tables/table12.xml" Id="R750b688a96324971" /></Relationships>
</file>

<file path=xl/worksheets/_rels/sheet16.xml.rels>&#65279;<?xml version="1.0" encoding="utf-8"?><Relationships xmlns="http://schemas.openxmlformats.org/package/2006/relationships"><Relationship Type="http://schemas.openxmlformats.org/officeDocument/2006/relationships/table" Target="/xl/tables/table13.xml" Id="R8935d4d19f5441b5"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v>✓</x:v>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Completed</x:v>
      </x:c>
      <x:c r="I321" s="133" t="str">
        <x:v>Project Owner / Product / Engineering</x:v>
      </x:c>
      <x:c r="J321" s="133" t="str"/>
      <x:c r="K321" s="133" t="inlineStr">
        <x:is>
          <x:t xml:space="preserve">13G-10</x:t>
        </x:is>
      </x:c>
      <x:c r="L321" s="133" t="str"/>
      <x:c r="M321" s="133" t="str">
        <x:v>PASS / ACTIVITY CENTER RECONCILED CLOSEOUT — No code change required. The legacy My Tasks acceptance conflict was formally reconciled to the canonical launch contract: Needs Attention / Updates / History only. The existing Activity Center already satisfies the approved launch information architecture and presentation standard.</x:v>
      </x:c>
      <x:c r="N321" s="249" t="n"/>
      <x:c r="O321" s="249" t="n">
        <x:v>46297</x:v>
      </x:c>
      <x:c r="P321" s="135" t="str">
        <x:v>Evidence-only closeout on canonical remote HEAD 9ba925fa38e00de75ec4ca00767ec917bf7db1aa using an isolated clean worktree. Authenticated desktop/tablet/mobile QA PASS; accessibility PASS; no horizontal overflow; no console errors introduced; visual score 9.4/10. Needs Attention taxonomy remains quote, rfi, rfi_response, addendum_action_required with priority ordering addendum_action_required → rfi → rfi_response → quote and newest-first tie-breaker; source list remains copied before sort. Updates keeps award informational; Workspace Invitation actions are not present; authorized RFQ source resolution remains slug-based and access-safe; user-facing Unread/Urgent/Overdue semantics remain absent. Focused prioritization + guidance tests PASS 12/12. procurement-activity-event-writers-contract.test.ts has one independently verified pre-existing stale route-string assertion: rfq-addenda/route.ts delegates through recordAndDeliverAddendumCommunication, and that helper still invokes recordTrustedProcurementActivity with addendum_published. Lint PASS, build PASS, git diff --check PASS; no files changed. Phase 13H is now complete. Next canonical task: 13I-01 — Rescore all core pages after implementation.</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v>✓</x:v>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Completed</x:v>
      </x:c>
      <x:c r="I324" s="133" t="str">
        <x:v>Project Owner / Product / Engineering</x:v>
      </x:c>
      <x:c r="J324" s="133" t="str"/>
      <x:c r="K324" s="133" t="inlineStr">
        <x:is>
          <x:t xml:space="preserve">13G-10</x:t>
        </x:is>
      </x:c>
      <x:c r="L324" s="133" t="str"/>
      <x:c r="M324" s="133" t="str">
        <x:v>PASS / STRATEGIC INSIGHTS LIMITED-EXCEPTION UPGRADE PUBLISHED — Commit 6a412c36425d3ad6c50d53b4804c0370dc766000 changes exactly one authorized file: src/app/analytics/page.tsx. The work was executed from an isolated clean worktree based on 1650ac06d4829b9217b18aa83456a44e69d1ebb4 so the main repository's unrelated dirty analytics/M4 WIP remained untouched.</x:v>
      </x:c>
      <x:c r="N324" s="249" t="n"/>
      <x:c r="O324" s="249" t="n">
        <x:v>46297</x:v>
      </x:c>
      <x:c r="P324" s="135" t="str">
        <x:v>Validation: presentation-only boundary PASS; authenticated desktop/tablet/mobile real-route QA PASS; accessibility PASS; no horizontal overflow; no console errors introduced; visual rescore 9.3/10. analytics-permission-inheritance.test.ts PASS 22/22. analytics-decision-evidence-truthfulness.test.ts had exactly three independently reproduced pre-existing baseline failures on clean HEAD: one CRLF-sensitive Board Readiness string assertion and two stale public-company assertions superseded by the closed 13H-13 Company Network confidentiality remediation; no new test failures were introduced. Lint PASS, build PASS, git diff --check PASS. Remote verification confirmed branch commit 6a412c36425d3ad6c50d53b4804c0370dc766000 and exactly one file. No analytics business logic, source-loader, commercial confidentiality/gating, score/readiness calculation, report/export/narrative/M4 consumer, section-id/href, API/RLS/database, or child analytics component changes were included. The pre-existing main-worktree analytics rewrite cluster remains intentionally untouched and is not adopted into 13H-14. Phase 13H remains BLOCKED only by 13H-11 — Activity Center / My Tasks data-model contract.</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v>✓</x:v>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str">
        <x:v>Completed</x:v>
      </x:c>
      <x:c r="I330" s="133" t="str">
        <x:v>Project Owner / Product / Engineering</x:v>
      </x:c>
      <x:c r="J330" s="133" t="str"/>
      <x:c r="K330" s="133" t="inlineStr">
        <x:is>
          <x:t xml:space="preserve">13G-10</x:t>
        </x:is>
      </x:c>
      <x:c r="L330" s="133" t="str"/>
      <x:c r="M330" s="133" t="str">
        <x:v>PASS / INTEGRATIONS &amp; SETTINGS UPGRADE PUBLISHED — Commit 0e577c1cbf442c89b4459775ced89c3c0f86cca6 changes exactly one authorized file: src/app/company/settings/page.tsx. Workspace Settings is presentation-standardized as a utility/configuration surface without inventing integration management, operational KPIs, or new configuration capabilities.</x:v>
      </x:c>
      <x:c r="N330" s="249" t="n"/>
      <x:c r="O330" s="249" t="n">
        <x:v>46297</x:v>
      </x:c>
      <x:c r="P330" s="135" t="str">
        <x:v>Validation before publication: focused settings/navigation/integration-boundary tests PASS, lint PASS, build PASS, git diff --check PASS; authenticated desktop/tablet/mobile real-route QA PASS; accessibility PASS; no horizontal overflow; no console errors introduced; visual rescore 9.3/10. Remote verification confirmed branch commit 0e577c1cbf442c89b4459775ced89c3c0f86cca6 and exactly one authorized file. Workspace Settings remains a utility/configuration surface; no fake integrations, connector cards, operational KPI/dashboard content, RFQ/Analytics hero CTAs, environment/provider settings or closed-section redesigns were introduced. Approved section navigation/hash targets, getPublicSiteUrl usage, authorization/data/API/RLS/database contracts and the pre-existing fail-closed unauthenticated identity behavior remain unchanged. Next execution decision requires Phase 13H blocker reconciliation before 13I-01: 13H-11 My Tasks remains BLOCKED pending an approved task ownership/data contract; 13H-14 Strategic Insights remains BLOCKED by the frozen direct /analytics surface.</x:v>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33c226fffeba4de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3cf52e47bd2f45d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347</x:v>
      </x:c>
      <x:c r="D6" s="133" t="inlineStr">
        <x:is>
          <x:t xml:space="preserve">G0A — Corporate platform architecture ready</x:t>
        </x:is>
      </x:c>
      <x:c r="E6" s="32" t="str">
        <x:f>'03 Launch Gates'!D20</x:f>
        <x:v>Completed</x:v>
      </x:c>
      <x:c r="G6" t="inlineStr">
        <x:is>
          <x:t xml:space="preserve">UI Tasks Complete</x:t>
        </x:is>
      </x:c>
      <x:c r="H6" t="n">
        <x:f>SUM(B36:B46)</x:f>
        <x:v>125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0.9455040871934605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20</x:v>
      </x:c>
      <x:c r="C44" s="28" t="n">
        <x:f>COUNTIFS('01 Master Plan'!C$5:C$383,A44,'01 Master Plan'!H$5:H$383,"In Progress")</x:f>
        <x:v>0</x:v>
      </x:c>
      <x:c r="D44" s="28" t="n">
        <x:f>COUNTIFS('01 Master Plan'!C$5:C$383,A44,'01 Master Plan'!H$5:H$383,"Not Started")</x:f>
        <x:v>0</x:v>
      </x:c>
      <x:c r="E44" s="28" t="n">
        <x:f>COUNTIFS('01 Master Plan'!C$5:C$383,A44,'01 Master Plan'!H$5:H$383,"Blocked")</x:f>
        <x:v>0</x:v>
      </x:c>
      <x:c r="F44" s="28" t="n">
        <x:f>COUNTIFS('01 Master Plan'!C$5:C$383,A44,'01 Master Plan'!H$5:H$383,"Deferred")</x:f>
        <x:v>0</x:v>
      </x:c>
      <x:c r="G44" s="258" t="n">
        <x:f>IFERROR(B44/(B44+C44+D44+E44),0)</x:f>
        <x:v>1</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854f436eaa4542b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46ff67a0ea394c4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596a769847754f2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9bd273948644cd5"/>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63a64ccb8b8541cb"/>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7b7022d4dff4603"/>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row r="1286">
      <x:c r="A1286" t="n">
        <x:v>46297</x:v>
      </x:c>
      <x:c r="B1286" t="str">
        <x:v>Phase 13H / 13H-20</x:v>
      </x:c>
      <x:c r="C1286" t="str">
        <x:v>13H-20 Integrations &amp; Settings Upgrade Published</x:v>
      </x:c>
      <x:c r="D1286" t="str">
        <x:v>executive-benchmark-engine</x:v>
      </x:c>
      <x:c r="E1286" t="str">
        <x:v>0e577c1cbf442c89b4459775ced89c3c0f86cca6</x:v>
      </x:c>
      <x:c r="F1286" t="str">
        <x:v>Published a one-file presentation-only Workspace Settings utility/configuration shell upgrade.</x:v>
      </x:c>
      <x:c r="G1286" t="str">
        <x:v>Focused tests/lint/build/diff-check PASS; authenticated real-route desktop/tablet/mobile/accessibility verification PASS; no horizontal overflow; no introduced console errors; visual rescore 9.3/10.</x:v>
      </x:c>
      <x:c r="H1286" t="str">
        <x:v>PASS / 13H-20 CLOSED / PUBLISHED</x:v>
      </x:c>
      <x:c r="I1286" t="str">
        <x:v>No fake integration surface, operational KPI/dashboard content, environment/provider configuration, auth/data/authorization/API/RLS/database or closed-section-internal changes. Existing fail-closed unauthenticated identity behavior unchanged.</x:v>
      </x:c>
      <x:c r="J1286" t="str">
        <x:v>Phase 13H has no remaining Not Started tasks but remains BLOCKED by 13H-11 and 13H-14. Reconcile those blockers before 13I-01.</x:v>
      </x:c>
    </x:row>
    <x:row r="1287">
      <x:c r="A1287" t="n">
        <x:v>46297</x:v>
      </x:c>
      <x:c r="B1287" t="str">
        <x:v>Phase 13H / 13H-14</x:v>
      </x:c>
      <x:c r="C1287" t="str">
        <x:v>13H-14 Strategic Insights Limited Exception Published</x:v>
      </x:c>
      <x:c r="D1287" t="str">
        <x:v>executive-benchmark-engine</x:v>
      </x:c>
      <x:c r="E1287" t="str">
        <x:v>6a412c36425d3ad6c50d53b4804c0370dc766000</x:v>
      </x:c>
      <x:c r="F1287" t="str">
        <x:v>Published a one-file presentation-only Strategic Insights upgrade from an isolated clean worktree, preserving the unrelated dirty analytics/M4 main-worktree cluster.</x:v>
      </x:c>
      <x:c r="G1287" t="str">
        <x:v>Authenticated desktop/tablet/mobile/accessibility QA PASS; lint/build/diff-check PASS; analytics permission test PASS 22/22; three truthfulness-test failures independently reproduced on clean HEAD and classified as pre-existing baseline defects; no new failures introduced.</x:v>
      </x:c>
      <x:c r="H1287" t="str">
        <x:v>PASS / 13H-14 CLOSED / PUBLISHED</x:v>
      </x:c>
      <x:c r="I1287" t="str">
        <x:v>Analytics business logic, source loader, commercial gating/confidentiality, score/readiness logic, report/export/narrative/M4 consumers, section IDs/hrefs, API/RLS/database and child analytics components unchanged.</x:v>
      </x:c>
      <x:c r="J1287" t="str">
        <x:v>Phase 13H remains BLOCKED only by 13H-11 Activity Center / My Tasks data-model contract. Do not start 13I-01 until that blocker is formally dispositioned.</x:v>
      </x:c>
    </x:row>
    <x:row r="1288">
      <x:c r="A1288" t="n">
        <x:v>46297</x:v>
      </x:c>
      <x:c r="B1288" t="str">
        <x:v>Phase 13H / 13H-11</x:v>
      </x:c>
      <x:c r="C1288" t="str">
        <x:v>13H-11 Activity Center Reconciled Closeout</x:v>
      </x:c>
      <x:c r="D1288" t="str">
        <x:v>executive-benchmark-engine</x:v>
      </x:c>
      <x:c r="E1288" t="str">
        <x:v>9ba925fa38e00de75ec4ca00767ec917bf7db1aa</x:v>
      </x:c>
      <x:c r="F1288" t="str">
        <x:v>Closed Activity Center evidence-only after formal acceptance reconciliation removed the conflicting legacy My Tasks requirement and retained the canonical Needs Attention / Updates / History launch scope.</x:v>
      </x:c>
      <x:c r="G1288" t="str">
        <x:v>Authenticated desktop/tablet/mobile/accessibility QA PASS; visual score 9.4/10; prioritization + guidance tests PASS 12/12; lint/build/diff-check PASS; one unrelated stale addenda route-string contract assertion independently verified as pre-existing with trusted activity recording still preserved through recordAndDeliverAddendumCommunication.</x:v>
      </x:c>
      <x:c r="H1288" t="str">
        <x:v>PASS / 13H-11 CLOSED / EVIDENCE-ONLY</x:v>
      </x:c>
      <x:c r="I1288" t="str">
        <x:v>No code changes. No My Tasks/personal assignment model introduced. Needs Attention taxonomy and ordering, Updates-only Award semantics, Workspace/RFQ invitation separation, authorized RFQ source resolution, and no Unread/Urgent/Overdue UI semantics preserved.</x:v>
      </x:c>
      <x:c r="J1288" t="str">
        <x:v>Phase 13H COMPLETE — 20/20 closed. Next canonical task: Phase 13I / 13I-01 — Rescore all core pages after implementation.</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39f5133f74d8469d"/>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f4a843a81f83456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Completed</x:v>
      </x:c>
      <x:c r="J12" s="133" t="str">
        <x:v>U7 / Phase 13H COMPLETE — 20 of 20 page-upgrade tasks are PASS/CLOSED/PUBLISHED or evidence-closed under the approved launch contract. 13H-11 closed evidence-only after formal reconciliation removed the conflicting legacy My Tasks requirement and confirmed the canonical Activity Center scope as Needs Attention / Updates / History. 13H-14 Strategic Insights closed via isolated one-file presentation-only limited exception while preserving the unrelated dirty analytics/M4 main-worktree cluster. Next canonical task: 13I-01 — UI 9.5 Quality Gate / rescore all core pages using the shared 10-dimension scorecard.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00845ece1dee448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424670f7532645a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750b688a96324971"/>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8935d4d19f5441b5"/>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