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b126b43e7894f3a" /></Relationships>
</file>

<file path=xl/workbook.xml><?xml version="1.0" encoding="utf-8"?>
<x:workbook xmlns:x="http://schemas.openxmlformats.org/spreadsheetml/2006/main">
  <x:sheets>
    <x:sheet xmlns:r="http://schemas.openxmlformats.org/officeDocument/2006/relationships" name="01 Master Plan" sheetId="1" r:id="R7de5c73c8a334612"/>
    <x:sheet xmlns:r="http://schemas.openxmlformats.org/officeDocument/2006/relationships" name="03 Launch Gates" sheetId="2" r:id="Rf88723ae02014d11"/>
    <x:sheet xmlns:r="http://schemas.openxmlformats.org/officeDocument/2006/relationships" name="00 Dashboard" sheetId="3" r:id="Ra19f9e72f8614777"/>
    <x:sheet xmlns:r="http://schemas.openxmlformats.org/officeDocument/2006/relationships" name="04 Cursor Tasks" sheetId="4" r:id="Rbd27ffa7152d4167"/>
    <x:sheet xmlns:r="http://schemas.openxmlformats.org/officeDocument/2006/relationships" name="05 UAT Matrix" sheetId="5" r:id="R6b2f4f54788340fe"/>
    <x:sheet xmlns:r="http://schemas.openxmlformats.org/officeDocument/2006/relationships" name="06 Security Matrix" sheetId="6" r:id="R98a7efdc0c7c4246"/>
    <x:sheet xmlns:r="http://schemas.openxmlformats.org/officeDocument/2006/relationships" name="07 Risks" sheetId="7" r:id="R6baba91f8b2a4b8a"/>
    <x:sheet xmlns:r="http://schemas.openxmlformats.org/officeDocument/2006/relationships" name="08 Architecture" sheetId="8" r:id="R66ba655d40ac4c83"/>
    <x:sheet xmlns:r="http://schemas.openxmlformats.org/officeDocument/2006/relationships" name="09 Release Checklist" sheetId="9" r:id="Rfe0e43bf9d604a74"/>
    <x:sheet xmlns:r="http://schemas.openxmlformats.org/officeDocument/2006/relationships" name="10 Change Log" sheetId="10" r:id="Rf69c443df61a4e57"/>
    <x:sheet xmlns:r="http://schemas.openxmlformats.org/officeDocument/2006/relationships" name="11 Scope &amp; Roadmap" sheetId="11" r:id="R27ba5dcf66d64194"/>
    <x:sheet xmlns:r="http://schemas.openxmlformats.org/officeDocument/2006/relationships" name="12 How to Use" sheetId="12" r:id="R4e4c0ade26e441f9"/>
    <x:sheet xmlns:r="http://schemas.openxmlformats.org/officeDocument/2006/relationships" name="13 UI Program" sheetId="13" r:id="Rf2eb2a0be5d94852"/>
    <x:sheet xmlns:r="http://schemas.openxmlformats.org/officeDocument/2006/relationships" name="14 UI Scorecard" sheetId="14" r:id="R4f5367cacdee4083"/>
    <x:sheet xmlns:r="http://schemas.openxmlformats.org/officeDocument/2006/relationships" name="15 Motion Guidance" sheetId="15" r:id="R8f174c0de5da4bbe"/>
    <x:sheet xmlns:r="http://schemas.openxmlformats.org/officeDocument/2006/relationships" name="16 Design Standards" sheetId="16" r:id="R0b91a5362b2948d5"/>
    <x:sheet xmlns:r="http://schemas.openxmlformats.org/officeDocument/2006/relationships" name="17 Corporate Platform" sheetId="17" r:id="R67c842dc59c14159"/>
    <x:sheet xmlns:r="http://schemas.openxmlformats.org/officeDocument/2006/relationships" name="18 Analytics Reuse Map" sheetId="18" r:id="R8c4e9ca46d3c4997"/>
    <x:sheet xmlns:r="http://schemas.openxmlformats.org/officeDocument/2006/relationships" name="19 Executive Insights Discovery" sheetId="19" r:id="Rc2a00a36b7cd42cb"/>
    <x:sheet xmlns:r="http://schemas.openxmlformats.org/officeDocument/2006/relationships" name="20 Procurement Insights Discovery" sheetId="20" r:id="Rad804f269ca64243"/>
    <x:sheet xmlns:r="http://schemas.openxmlformats.org/officeDocument/2006/relationships" name="21 Commercial Insights Discovery" sheetId="21" r:id="Re39e779050284db2"/>
    <x:sheet xmlns:r="http://schemas.openxmlformats.org/officeDocument/2006/relationships" name="22 Project Insights Discovery" sheetId="22" r:id="R8599761f389d4e3d"/>
    <x:sheet xmlns:r="http://schemas.openxmlformats.org/officeDocument/2006/relationships" name="23 Performance Discovery" sheetId="23" r:id="R374d5b5207974ea8"/>
    <x:sheet xmlns:r="http://schemas.openxmlformats.org/officeDocument/2006/relationships" name="24 Risk Compliance Discovery" sheetId="24" r:id="R7a15d8394ec64422"/>
    <x:sheet xmlns:r="http://schemas.openxmlformats.org/officeDocument/2006/relationships" name="25 Commercial Handoff" sheetId="25" r:id="R3c12ea69671b4f73"/>
    <x:sheet xmlns:r="http://schemas.openxmlformats.org/officeDocument/2006/relationships" name="26 RFQ Governance" sheetId="26" r:id="Rd0a8a996c8fc4e5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fb821e4563a4689" /><Relationship Type="http://schemas.openxmlformats.org/officeDocument/2006/relationships/theme" Target="/xl/theme/theme1.xml" Id="R5ad5adbeb02a406e" /><Relationship Type="http://schemas.openxmlformats.org/officeDocument/2006/relationships/sharedStrings" Target="/xl/sharedStrings.xml" Id="Rbaf2f322d967429e" /><Relationship Type="http://schemas.openxmlformats.org/officeDocument/2006/relationships/worksheet" Target="/xl/worksheets/sheet1.xml" Id="R7de5c73c8a334612" /><Relationship Type="http://schemas.openxmlformats.org/officeDocument/2006/relationships/worksheet" Target="/xl/worksheets/sheet2.xml" Id="Rf88723ae02014d11" /><Relationship Type="http://schemas.openxmlformats.org/officeDocument/2006/relationships/worksheet" Target="/xl/worksheets/sheet3.xml" Id="Ra19f9e72f8614777" /><Relationship Type="http://schemas.openxmlformats.org/officeDocument/2006/relationships/worksheet" Target="/xl/worksheets/sheet4.xml" Id="Rbd27ffa7152d4167" /><Relationship Type="http://schemas.openxmlformats.org/officeDocument/2006/relationships/worksheet" Target="/xl/worksheets/sheet5.xml" Id="R6b2f4f54788340fe" /><Relationship Type="http://schemas.openxmlformats.org/officeDocument/2006/relationships/worksheet" Target="/xl/worksheets/sheet6.xml" Id="R98a7efdc0c7c4246" /><Relationship Type="http://schemas.openxmlformats.org/officeDocument/2006/relationships/worksheet" Target="/xl/worksheets/sheet7.xml" Id="R6baba91f8b2a4b8a" /><Relationship Type="http://schemas.openxmlformats.org/officeDocument/2006/relationships/worksheet" Target="/xl/worksheets/sheet8.xml" Id="R66ba655d40ac4c83" /><Relationship Type="http://schemas.openxmlformats.org/officeDocument/2006/relationships/worksheet" Target="/xl/worksheets/sheet9.xml" Id="Rfe0e43bf9d604a74" /><Relationship Type="http://schemas.openxmlformats.org/officeDocument/2006/relationships/worksheet" Target="/xl/worksheets/sheet10.xml" Id="Rf69c443df61a4e57" /><Relationship Type="http://schemas.openxmlformats.org/officeDocument/2006/relationships/worksheet" Target="/xl/worksheets/sheet11.xml" Id="R27ba5dcf66d64194" /><Relationship Type="http://schemas.openxmlformats.org/officeDocument/2006/relationships/worksheet" Target="/xl/worksheets/sheet12.xml" Id="R4e4c0ade26e441f9" /><Relationship Type="http://schemas.openxmlformats.org/officeDocument/2006/relationships/worksheet" Target="/xl/worksheets/sheet13.xml" Id="Rf2eb2a0be5d94852" /><Relationship Type="http://schemas.openxmlformats.org/officeDocument/2006/relationships/worksheet" Target="/xl/worksheets/sheet14.xml" Id="R4f5367cacdee4083" /><Relationship Type="http://schemas.openxmlformats.org/officeDocument/2006/relationships/worksheet" Target="/xl/worksheets/sheet15.xml" Id="R8f174c0de5da4bbe" /><Relationship Type="http://schemas.openxmlformats.org/officeDocument/2006/relationships/worksheet" Target="/xl/worksheets/sheet16.xml" Id="R0b91a5362b2948d5" /><Relationship Type="http://schemas.openxmlformats.org/officeDocument/2006/relationships/worksheet" Target="/xl/worksheets/sheet17.xml" Id="R67c842dc59c14159" /><Relationship Type="http://schemas.openxmlformats.org/officeDocument/2006/relationships/worksheet" Target="/xl/worksheets/sheet18.xml" Id="R8c4e9ca46d3c4997" /><Relationship Type="http://schemas.openxmlformats.org/officeDocument/2006/relationships/worksheet" Target="/xl/worksheets/sheet19.xml" Id="Rc2a00a36b7cd42cb" /><Relationship Type="http://schemas.openxmlformats.org/officeDocument/2006/relationships/worksheet" Target="/xl/worksheets/sheet20.xml" Id="Rad804f269ca64243" /><Relationship Type="http://schemas.openxmlformats.org/officeDocument/2006/relationships/worksheet" Target="/xl/worksheets/sheet21.xml" Id="Re39e779050284db2" /><Relationship Type="http://schemas.openxmlformats.org/officeDocument/2006/relationships/worksheet" Target="/xl/worksheets/sheet22.xml" Id="R8599761f389d4e3d" /><Relationship Type="http://schemas.openxmlformats.org/officeDocument/2006/relationships/worksheet" Target="/xl/worksheets/sheet23.xml" Id="R374d5b5207974ea8" /><Relationship Type="http://schemas.openxmlformats.org/officeDocument/2006/relationships/worksheet" Target="/xl/worksheets/sheet24.xml" Id="R7a15d8394ec64422" /><Relationship Type="http://schemas.openxmlformats.org/officeDocument/2006/relationships/worksheet" Target="/xl/worksheets/sheet25.xml" Id="R3c12ea69671b4f73" /><Relationship Type="http://schemas.openxmlformats.org/officeDocument/2006/relationships/worksheet" Target="/xl/worksheets/sheet26.xml" Id="Rd0a8a996c8fc4e52" /></Relationships>
</file>

<file path=xl/drawings/_rels/drawing1.xml.rels>&#65279;<?xml version="1.0" encoding="utf-8"?><Relationships xmlns="http://schemas.openxmlformats.org/package/2006/relationships"><Relationship Type="http://schemas.openxmlformats.org/officeDocument/2006/relationships/chart" Target="/xl/drawings/charts/chart1.xml" Id="Rc341b60e637d423b"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41b60e637d423b"/>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68e69d5e5cc4aaf" /></Relationships>
</file>

<file path=xl/worksheets/_rels/sheet2.xml.rels>&#65279;<?xml version="1.0" encoding="utf-8"?><Relationships xmlns="http://schemas.openxmlformats.org/package/2006/relationships"><Relationship Type="http://schemas.openxmlformats.org/officeDocument/2006/relationships/table" Target="/xl/tables/table2.xml" Id="R414af556aec84f10" /></Relationships>
</file>

<file path=xl/worksheets/_rels/sheet3.xml.rels>&#65279;<?xml version="1.0" encoding="utf-8"?><Relationships xmlns="http://schemas.openxmlformats.org/package/2006/relationships"><Relationship Type="http://schemas.openxmlformats.org/officeDocument/2006/relationships/drawing" Target="/xl/drawings/drawing1.xml" Id="R6a560438d00b491f" /></Relationships>
</file>

<file path=xl/worksheets/_rels/sheet4.xml.rels>&#65279;<?xml version="1.0" encoding="utf-8"?><Relationships xmlns="http://schemas.openxmlformats.org/package/2006/relationships"><Relationship Type="http://schemas.openxmlformats.org/officeDocument/2006/relationships/table" Target="/xl/tables/table3.xml" Id="R1ce46f992c7b4b8c" /></Relationships>
</file>

<file path=xl/worksheets/_rels/sheet5.xml.rels>&#65279;<?xml version="1.0" encoding="utf-8"?><Relationships xmlns="http://schemas.openxmlformats.org/package/2006/relationships"><Relationship Type="http://schemas.openxmlformats.org/officeDocument/2006/relationships/table" Target="/xl/tables/table4.xml" Id="R54898460c1dc4475" /></Relationships>
</file>

<file path=xl/worksheets/_rels/sheet6.xml.rels>&#65279;<?xml version="1.0" encoding="utf-8"?><Relationships xmlns="http://schemas.openxmlformats.org/package/2006/relationships"><Relationship Type="http://schemas.openxmlformats.org/officeDocument/2006/relationships/table" Target="/xl/tables/table5.xml" Id="Rf9eefb61592744e7" /></Relationships>
</file>

<file path=xl/worksheets/_rels/sheet7.xml.rels>&#65279;<?xml version="1.0" encoding="utf-8"?><Relationships xmlns="http://schemas.openxmlformats.org/package/2006/relationships"><Relationship Type="http://schemas.openxmlformats.org/officeDocument/2006/relationships/table" Target="/xl/tables/table6.xml" Id="Rf9ac5599cdbc4a4f" /></Relationships>
</file>

<file path=xl/worksheets/_rels/sheet9.xml.rels>&#65279;<?xml version="1.0" encoding="utf-8"?><Relationships xmlns="http://schemas.openxmlformats.org/package/2006/relationships"><Relationship Type="http://schemas.openxmlformats.org/officeDocument/2006/relationships/table" Target="/xl/tables/table7.xml" Id="R932e582da0a14499" /></Relationships>
</file>

<file path=xl/worksheets/_rels/sheet10.xml.rels>&#65279;<?xml version="1.0" encoding="utf-8"?><Relationships xmlns="http://schemas.openxmlformats.org/package/2006/relationships"><Relationship Type="http://schemas.openxmlformats.org/officeDocument/2006/relationships/table" Target="/xl/tables/table8.xml" Id="R84b8cfc1459d4a14" /></Relationships>
</file>

<file path=xl/worksheets/_rels/sheet11.xml.rels>&#65279;<?xml version="1.0" encoding="utf-8"?><Relationships xmlns="http://schemas.openxmlformats.org/package/2006/relationships"><Relationship Type="http://schemas.openxmlformats.org/officeDocument/2006/relationships/table" Target="/xl/tables/table9.xml" Id="Rb0fa7631f1cc4612" /></Relationships>
</file>

<file path=xl/worksheets/_rels/sheet13.xml.rels>&#65279;<?xml version="1.0" encoding="utf-8"?><Relationships xmlns="http://schemas.openxmlformats.org/package/2006/relationships"><Relationship Type="http://schemas.openxmlformats.org/officeDocument/2006/relationships/table" Target="/xl/tables/table10.xml" Id="R242061b79ac549af" /></Relationships>
</file>

<file path=xl/worksheets/_rels/sheet14.xml.rels>&#65279;<?xml version="1.0" encoding="utf-8"?><Relationships xmlns="http://schemas.openxmlformats.org/package/2006/relationships"><Relationship Type="http://schemas.openxmlformats.org/officeDocument/2006/relationships/table" Target="/xl/tables/table11.xml" Id="R96951a6adfd84f1a" /></Relationships>
</file>

<file path=xl/worksheets/_rels/sheet15.xml.rels>&#65279;<?xml version="1.0" encoding="utf-8"?><Relationships xmlns="http://schemas.openxmlformats.org/package/2006/relationships"><Relationship Type="http://schemas.openxmlformats.org/officeDocument/2006/relationships/table" Target="/xl/tables/table12.xml" Id="Rd57f89902be84736" /></Relationships>
</file>

<file path=xl/worksheets/_rels/sheet16.xml.rels>&#65279;<?xml version="1.0" encoding="utf-8"?><Relationships xmlns="http://schemas.openxmlformats.org/package/2006/relationships"><Relationship Type="http://schemas.openxmlformats.org/officeDocument/2006/relationships/table" Target="/xl/tables/table13.xml" Id="R5f93a82a474a40b3"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f>IF(H210="Completed","✓",IF(H210="Blocked","!",""))</x:f>
      </x:c>
      <x:c r="B210" s="133" t="inlineStr">
        <x:is>
          <x:t xml:space="preserve">20-04</x:t>
        </x:is>
      </x:c>
      <x:c r="C210" s="133" t="inlineStr">
        <x:is>
          <x:t xml:space="preserve">20 Launch Documentation</x:t>
        </x:is>
      </x:c>
      <x:c r="D210" s="133" t="inlineStr">
        <x:is>
          <x:t xml:space="preserve">Documentation</x:t>
        </x:is>
      </x:c>
      <x:c r="E210" s="133" t="inlineStr">
        <x:is>
          <x:t xml:space="preserve">Invite Companies</x:t>
        </x:is>
      </x:c>
      <x:c r="F210" s="133" t="inlineStr">
        <x:is>
          <x:t xml:space="preserve">Invitation lifecycle and troubleshooting documented.</x:t>
        </x:is>
      </x:c>
      <x:c r="G210" s="133" t="inlineStr">
        <x:is>
          <x:t xml:space="preserve">P0</x:t>
        </x:is>
      </x:c>
      <x:c r="H210" s="133" t="inlineStr">
        <x:is>
          <x:t xml:space="preserve">Not Started</x:t>
        </x:is>
      </x:c>
      <x:c r="I210" s="133" t="str"/>
      <x:c r="J210" s="133" t="str"/>
      <x:c r="K210" s="133" t="str"/>
      <x:c r="L210" s="133" t="inlineStr">
        <x:is>
          <x:t xml:space="preserve">G11</x:t>
        </x:is>
      </x:c>
      <x:c r="M210" s="133" t="str"/>
      <x:c r="N210" s="249" t="n"/>
      <x:c r="O210" s="249" t="n"/>
      <x:c r="P210" s="32" t="str"/>
    </x:row>
    <x:row r="211">
      <x:c r="A211" s="42" t="str">
        <x:f>IF(H211="Completed","✓",IF(H211="Blocked","!",""))</x:f>
      </x:c>
      <x:c r="B211" s="133" t="inlineStr">
        <x:is>
          <x:t xml:space="preserve">20-05</x:t>
        </x:is>
      </x:c>
      <x:c r="C211" s="133" t="inlineStr">
        <x:is>
          <x:t xml:space="preserve">20 Launch Documentation</x:t>
        </x:is>
      </x:c>
      <x:c r="D211" s="133" t="inlineStr">
        <x:is>
          <x:t xml:space="preserve">Documentation</x:t>
        </x:is>
      </x:c>
      <x:c r="E211" s="133" t="inlineStr">
        <x:is>
          <x:t xml:space="preserve">Respond to RFQ</x:t>
        </x:is>
      </x:c>
      <x:c r="F211" s="133" t="inlineStr">
        <x:is>
          <x:t xml:space="preserve">Respondent access/review flow documented.</x:t>
        </x:is>
      </x:c>
      <x:c r="G211" s="133" t="inlineStr">
        <x:is>
          <x:t xml:space="preserve">P0</x:t>
        </x:is>
      </x:c>
      <x:c r="H211" s="133" t="inlineStr">
        <x:is>
          <x:t xml:space="preserve">Not Started</x:t>
        </x:is>
      </x:c>
      <x:c r="I211" s="133" t="str"/>
      <x:c r="J211" s="133" t="str"/>
      <x:c r="K211" s="133" t="str"/>
      <x:c r="L211" s="133" t="inlineStr">
        <x:is>
          <x:t xml:space="preserve">G11</x:t>
        </x:is>
      </x:c>
      <x:c r="M211" s="133" t="str"/>
      <x:c r="N211" s="249" t="n"/>
      <x:c r="O211" s="249" t="n"/>
      <x:c r="P211" s="32" t="str"/>
    </x:row>
    <x:row r="212">
      <x:c r="A212" s="42" t="str">
        <x:f>IF(H212="Completed","✓",IF(H212="Blocked","!",""))</x:f>
      </x:c>
      <x:c r="B212" s="133" t="inlineStr">
        <x:is>
          <x:t xml:space="preserve">20-06</x:t>
        </x:is>
      </x:c>
      <x:c r="C212" s="133" t="inlineStr">
        <x:is>
          <x:t xml:space="preserve">20 Launch Documentation</x:t>
        </x:is>
      </x:c>
      <x:c r="D212" s="133" t="inlineStr">
        <x:is>
          <x:t xml:space="preserve">Documentation</x:t>
        </x:is>
      </x:c>
      <x:c r="E212" s="133" t="inlineStr">
        <x:is>
          <x:t xml:space="preserve">Submit RFI</x:t>
        </x:is>
      </x:c>
      <x:c r="F212" s="133" t="inlineStr">
        <x:is>
          <x:t xml:space="preserve">RFI/clarification rules and deadline documented.</x:t>
        </x:is>
      </x:c>
      <x:c r="G212" s="133" t="inlineStr">
        <x:is>
          <x:t xml:space="preserve">P0</x:t>
        </x:is>
      </x:c>
      <x:c r="H212" s="133" t="inlineStr">
        <x:is>
          <x:t xml:space="preserve">Not Started</x:t>
        </x:is>
      </x:c>
      <x:c r="I212" s="133" t="str"/>
      <x:c r="J212" s="133" t="str"/>
      <x:c r="K212" s="133" t="str"/>
      <x:c r="L212" s="133" t="inlineStr">
        <x:is>
          <x:t xml:space="preserve">G11</x:t>
        </x:is>
      </x:c>
      <x:c r="M212" s="133" t="str"/>
      <x:c r="N212" s="249" t="n"/>
      <x:c r="O212" s="249" t="n"/>
      <x:c r="P212" s="32" t="str"/>
    </x:row>
    <x:row r="213">
      <x:c r="A213" s="42" t="str">
        <x:f>IF(H213="Completed","✓",IF(H213="Blocked","!",""))</x:f>
      </x:c>
      <x:c r="B213" s="133" t="inlineStr">
        <x:is>
          <x:t xml:space="preserve">20-07</x:t>
        </x:is>
      </x:c>
      <x:c r="C213" s="133" t="inlineStr">
        <x:is>
          <x:t xml:space="preserve">20 Launch Documentation</x:t>
        </x:is>
      </x:c>
      <x:c r="D213" s="133" t="inlineStr">
        <x:is>
          <x:t xml:space="preserve">Documentation</x:t>
        </x:is>
      </x:c>
      <x:c r="E213" s="133" t="inlineStr">
        <x:is>
          <x:t xml:space="preserve">Submit Quote</x:t>
        </x:is>
      </x:c>
      <x:c r="F213" s="133" t="inlineStr">
        <x:is>
          <x:t xml:space="preserve">Quote/proposal preparation and submission documented.</x:t>
        </x:is>
      </x:c>
      <x:c r="G213" s="133" t="inlineStr">
        <x:is>
          <x:t xml:space="preserve">P0</x:t>
        </x:is>
      </x:c>
      <x:c r="H213" s="133" t="inlineStr">
        <x:is>
          <x:t xml:space="preserve">Not Started</x:t>
        </x:is>
      </x:c>
      <x:c r="I213" s="133" t="str"/>
      <x:c r="J213" s="133" t="str"/>
      <x:c r="K213" s="133" t="str"/>
      <x:c r="L213" s="133" t="inlineStr">
        <x:is>
          <x:t xml:space="preserve">G11</x:t>
        </x:is>
      </x:c>
      <x:c r="M213" s="133" t="str"/>
      <x:c r="N213" s="249" t="n"/>
      <x:c r="O213" s="249" t="n"/>
      <x:c r="P213" s="32" t="str"/>
    </x:row>
    <x:row r="214">
      <x:c r="A214" s="42" t="str">
        <x:f>IF(H214="Completed","✓",IF(H214="Blocked","!",""))</x:f>
      </x:c>
      <x:c r="B214" s="133" t="inlineStr">
        <x:is>
          <x:t xml:space="preserve">20-08</x:t>
        </x:is>
      </x:c>
      <x:c r="C214" s="133" t="inlineStr">
        <x:is>
          <x:t xml:space="preserve">20 Launch Documentation</x:t>
        </x:is>
      </x:c>
      <x:c r="D214" s="133" t="inlineStr">
        <x:is>
          <x:t xml:space="preserve">Documentation</x:t>
        </x:is>
      </x:c>
      <x:c r="E214" s="133" t="inlineStr">
        <x:is>
          <x:t xml:space="preserve">Evaluate Responses</x:t>
        </x:is>
      </x:c>
      <x:c r="F214" s="133" t="inlineStr">
        <x:is>
          <x:t xml:space="preserve">Issuer evaluation visibility/rules documented.</x:t>
        </x:is>
      </x:c>
      <x:c r="G214" s="133" t="inlineStr">
        <x:is>
          <x:t xml:space="preserve">P0</x:t>
        </x:is>
      </x:c>
      <x:c r="H214" s="133" t="inlineStr">
        <x:is>
          <x:t xml:space="preserve">Not Started</x:t>
        </x:is>
      </x:c>
      <x:c r="I214" s="133" t="str"/>
      <x:c r="J214" s="133" t="str"/>
      <x:c r="K214" s="133" t="str"/>
      <x:c r="L214" s="133" t="inlineStr">
        <x:is>
          <x:t xml:space="preserve">G11</x:t>
        </x:is>
      </x:c>
      <x:c r="M214" s="133" t="str"/>
      <x:c r="N214" s="249" t="n"/>
      <x:c r="O214" s="249" t="n"/>
      <x:c r="P214" s="32" t="str"/>
    </x:row>
    <x:row r="215">
      <x:c r="A215" s="42" t="str">
        <x:f>IF(H215="Completed","✓",IF(H215="Blocked","!",""))</x:f>
      </x:c>
      <x:c r="B215" s="133" t="inlineStr">
        <x:is>
          <x:t xml:space="preserve">20-09</x:t>
        </x:is>
      </x:c>
      <x:c r="C215" s="133" t="inlineStr">
        <x:is>
          <x:t xml:space="preserve">20 Launch Documentation</x:t>
        </x:is>
      </x:c>
      <x:c r="D215" s="133" t="inlineStr">
        <x:is>
          <x:t xml:space="preserve">Documentation</x:t>
        </x:is>
      </x:c>
      <x:c r="E215" s="133" t="inlineStr">
        <x:is>
          <x:t xml:space="preserve">Award</x:t>
        </x:is>
      </x:c>
      <x:c r="F215" s="133" t="inlineStr">
        <x:is>
          <x:t xml:space="preserve">Award outcome and next step documented.</x:t>
        </x:is>
      </x:c>
      <x:c r="G215" s="133" t="inlineStr">
        <x:is>
          <x:t xml:space="preserve">P0</x:t>
        </x:is>
      </x:c>
      <x:c r="H215" s="133" t="inlineStr">
        <x:is>
          <x:t xml:space="preserve">Not Started</x:t>
        </x:is>
      </x:c>
      <x:c r="I215" s="133" t="str"/>
      <x:c r="J215" s="133" t="str"/>
      <x:c r="K215" s="133" t="str"/>
      <x:c r="L215" s="133" t="inlineStr">
        <x:is>
          <x:t xml:space="preserve">G11</x:t>
        </x:is>
      </x:c>
      <x:c r="M215" s="133" t="str"/>
      <x:c r="N215" s="249" t="n"/>
      <x:c r="O215" s="249" t="n"/>
      <x:c r="P215" s="32" t="str"/>
    </x:row>
    <x:row r="216">
      <x:c r="A216" s="42" t="str">
        <x:f>IF(H216="Completed","✓",IF(H216="Blocked","!",""))</x:f>
      </x:c>
      <x:c r="B216" s="133" t="inlineStr">
        <x:is>
          <x:t xml:space="preserve">20-10</x:t>
        </x:is>
      </x:c>
      <x:c r="C216" s="133" t="inlineStr">
        <x:is>
          <x:t xml:space="preserve">20 Launch Documentation</x:t>
        </x:is>
      </x:c>
      <x:c r="D216" s="133" t="inlineStr">
        <x:is>
          <x:t xml:space="preserve">Documentation</x:t>
        </x:is>
      </x:c>
      <x:c r="E216" s="133" t="inlineStr">
        <x:is>
          <x:t xml:space="preserve">Roles &amp; Permissions</x:t>
        </x:is>
      </x:c>
      <x:c r="F216" s="133" t="inlineStr">
        <x:is>
          <x:t xml:space="preserve">Company membership and RFQ relationship model explained.</x:t>
        </x:is>
      </x:c>
      <x:c r="G216" s="133" t="inlineStr">
        <x:is>
          <x:t xml:space="preserve">P0</x:t>
        </x:is>
      </x:c>
      <x:c r="H216" s="133" t="inlineStr">
        <x:is>
          <x:t xml:space="preserve">Not Started</x:t>
        </x:is>
      </x:c>
      <x:c r="I216" s="133" t="str"/>
      <x:c r="J216" s="133" t="str"/>
      <x:c r="K216" s="133" t="str"/>
      <x:c r="L216" s="133" t="inlineStr">
        <x:is>
          <x:t xml:space="preserve">G11</x:t>
        </x:is>
      </x:c>
      <x:c r="M216" s="133" t="str"/>
      <x:c r="N216" s="249" t="n"/>
      <x:c r="O216" s="249" t="n"/>
      <x:c r="P216" s="32" t="str"/>
    </x:row>
    <x:row r="217">
      <x:c r="A217" s="42" t="str">
        <x:f>IF(H217="Completed","✓",IF(H217="Blocked","!",""))</x:f>
      </x:c>
      <x:c r="B217" s="133" t="inlineStr">
        <x:is>
          <x:t xml:space="preserve">20-11</x:t>
        </x:is>
      </x:c>
      <x:c r="C217" s="133" t="inlineStr">
        <x:is>
          <x:t xml:space="preserve">20 Launch Documentation</x:t>
        </x:is>
      </x:c>
      <x:c r="D217" s="133" t="inlineStr">
        <x:is>
          <x:t xml:space="preserve">Documentation</x:t>
        </x:is>
      </x:c>
      <x:c r="E217" s="133" t="inlineStr">
        <x:is>
          <x:t xml:space="preserve">FAQ &amp; Support</x:t>
        </x:is>
      </x:c>
      <x:c r="F217" s="133" t="inlineStr">
        <x:is>
          <x:t xml:space="preserve">Common issues and support path documented.</x:t>
        </x:is>
      </x:c>
      <x:c r="G217" s="133" t="inlineStr">
        <x:is>
          <x:t xml:space="preserve">P0</x:t>
        </x:is>
      </x:c>
      <x:c r="H217" s="133" t="inlineStr">
        <x:is>
          <x:t xml:space="preserve">Not Started</x:t>
        </x:is>
      </x:c>
      <x:c r="I217" s="133" t="str"/>
      <x:c r="J217" s="133" t="str"/>
      <x:c r="K217" s="133" t="str"/>
      <x:c r="L217" s="133" t="inlineStr">
        <x:is>
          <x:t xml:space="preserve">G11</x:t>
        </x:is>
      </x:c>
      <x:c r="M217" s="133" t="str"/>
      <x:c r="N217" s="249" t="n"/>
      <x:c r="O217" s="249" t="n"/>
      <x:c r="P217" s="32" t="str"/>
    </x:row>
    <x:row r="218">
      <x:c r="A218" s="42" t="str">
        <x:f>IF(H218="Completed","✓",IF(H218="Blocked","!",""))</x:f>
      </x:c>
      <x:c r="B218" s="133" t="inlineStr">
        <x:is>
          <x:t xml:space="preserve">20-12</x:t>
        </x:is>
      </x:c>
      <x:c r="C218" s="133" t="inlineStr">
        <x:is>
          <x:t xml:space="preserve">20 Launch Documentation</x:t>
        </x:is>
      </x:c>
      <x:c r="D218" s="133" t="inlineStr">
        <x:is>
          <x:t xml:space="preserve">Documentation</x:t>
        </x:is>
      </x:c>
      <x:c r="E218" s="133" t="inlineStr">
        <x:is>
          <x:t xml:space="preserve">Privacy/Security Overview</x:t>
        </x:is>
      </x:c>
      <x:c r="F218" s="133" t="inlineStr">
        <x:is>
          <x:t xml:space="preserve">High-level confidentiality and access model documented.</x:t>
        </x:is>
      </x:c>
      <x:c r="G218" s="133" t="inlineStr">
        <x:is>
          <x:t xml:space="preserve">P0</x:t>
        </x:is>
      </x:c>
      <x:c r="H218" s="133" t="inlineStr">
        <x:is>
          <x:t xml:space="preserve">Not Started</x:t>
        </x:is>
      </x:c>
      <x:c r="I218" s="133" t="str"/>
      <x:c r="J218" s="133" t="str"/>
      <x:c r="K218" s="133" t="str"/>
      <x:c r="L218" s="133" t="inlineStr">
        <x:is>
          <x:t xml:space="preserve">G11</x:t>
        </x:is>
      </x:c>
      <x:c r="M218" s="133" t="str"/>
      <x:c r="N218" s="249" t="n"/>
      <x:c r="O218" s="249" t="n"/>
      <x:c r="P218" s="32" t="str"/>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968e69d5e5cc4aaf"/>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In Progress</x:v>
      </x:c>
      <x:c r="E16" s="133" t="str">
        <x:v>Project Owner / Engineering</x:v>
      </x:c>
      <x:c r="F16" s="133" t="str">
        <x:v>G11 IN PROGRESS — Phase 20 Launch Documentation is underway. 20-01 Getting Started, 20-02 Create Company, and 20-03 Create RFQ are published and closed. Documentation now covers workspace orientation, governed company onboarding/recovery, and issuer RFQ creation/publication including deadline-controlled commercial opening. G11 remains open pending 20-04 through 20-12.</x:v>
      </x:c>
      <x:c r="G16" s="249" t="n">
        <x:v>46295</x:v>
      </x:c>
      <x:c r="H16" s="32" t="str">
        <x:v>Do not mark G11 complete until all launch documentation and support-path tasks 20-01 through 20-12 are complete, internally consistent, and reviewed.</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414af556aec84f10"/>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235</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0.6403269754768393</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10</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In Progress</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3</x:v>
      </x:c>
      <x:c r="C53" s="28" t="n">
        <x:f>COUNTIFS('01 Master Plan'!C$5:C$383,A53,'01 Master Plan'!H$5:H$383,"In Progress")</x:f>
        <x:v>0</x:v>
      </x:c>
      <x:c r="D53" s="28" t="n">
        <x:f>COUNTIFS('01 Master Plan'!C$5:C$383,A53,'01 Master Plan'!H$5:H$383,"Not Started")</x:f>
        <x:v>9</x:v>
      </x:c>
      <x:c r="E53" s="28" t="n">
        <x:f>COUNTIFS('01 Master Plan'!C$5:C$383,A53,'01 Master Plan'!H$5:H$383,"Blocked")</x:f>
        <x:v>0</x:v>
      </x:c>
      <x:c r="F53" s="28" t="n">
        <x:f>COUNTIFS('01 Master Plan'!C$5:C$383,A53,'01 Master Plan'!H$5:H$383,"Deferred")</x:f>
        <x:v>0</x:v>
      </x:c>
      <x:c r="G53" s="258" t="n">
        <x:f>IFERROR(B53/(B53+C53+D53+E53),0)</x:f>
        <x:v>0.25</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6a560438d00b491f"/>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1ce46f992c7b4b8c"/>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54898460c1dc4475"/>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f9eefb61592744e7"/>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f9ac5599cdbc4a4f"/>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932e582da0a14499"/>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84b8cfc1459d4a14"/>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b0fa7631f1cc4612"/>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242061b79ac549af"/>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96951a6adfd84f1a"/>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d57f89902be84736"/>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5f93a82a474a40b3"/>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