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385018d03c8489c" /></Relationships>
</file>

<file path=xl/workbook.xml><?xml version="1.0" encoding="utf-8"?>
<x:workbook xmlns:x="http://schemas.openxmlformats.org/spreadsheetml/2006/main">
  <x:sheets>
    <x:sheet xmlns:r="http://schemas.openxmlformats.org/officeDocument/2006/relationships" name="01 Master Plan" sheetId="1" r:id="R2987cbaa3ba94601"/>
    <x:sheet xmlns:r="http://schemas.openxmlformats.org/officeDocument/2006/relationships" name="03 Launch Gates" sheetId="2" r:id="R020593634a984484"/>
    <x:sheet xmlns:r="http://schemas.openxmlformats.org/officeDocument/2006/relationships" name="00 Dashboard" sheetId="3" r:id="Ra0d1b78fe0fb4b97"/>
    <x:sheet xmlns:r="http://schemas.openxmlformats.org/officeDocument/2006/relationships" name="04 Cursor Tasks" sheetId="4" r:id="R757bdea012c04a5c"/>
    <x:sheet xmlns:r="http://schemas.openxmlformats.org/officeDocument/2006/relationships" name="05 UAT Matrix" sheetId="5" r:id="Rb18d5e233f644c31"/>
    <x:sheet xmlns:r="http://schemas.openxmlformats.org/officeDocument/2006/relationships" name="06 Security Matrix" sheetId="6" r:id="R1e83b5b967754d4f"/>
    <x:sheet xmlns:r="http://schemas.openxmlformats.org/officeDocument/2006/relationships" name="07 Risks" sheetId="7" r:id="Rb65246414f364f1f"/>
    <x:sheet xmlns:r="http://schemas.openxmlformats.org/officeDocument/2006/relationships" name="08 Architecture" sheetId="8" r:id="R9473aaa336de496a"/>
    <x:sheet xmlns:r="http://schemas.openxmlformats.org/officeDocument/2006/relationships" name="09 Release Checklist" sheetId="9" r:id="R31a08e63b7f2473d"/>
    <x:sheet xmlns:r="http://schemas.openxmlformats.org/officeDocument/2006/relationships" name="10 Change Log" sheetId="10" r:id="R4bfed3424e604467"/>
    <x:sheet xmlns:r="http://schemas.openxmlformats.org/officeDocument/2006/relationships" name="11 Scope &amp; Roadmap" sheetId="11" r:id="Rfce0bab321c84957"/>
    <x:sheet xmlns:r="http://schemas.openxmlformats.org/officeDocument/2006/relationships" name="12 How to Use" sheetId="12" r:id="Rc700cddf5d024c81"/>
    <x:sheet xmlns:r="http://schemas.openxmlformats.org/officeDocument/2006/relationships" name="13 UI Program" sheetId="13" r:id="Rb988df7bf44941e6"/>
    <x:sheet xmlns:r="http://schemas.openxmlformats.org/officeDocument/2006/relationships" name="14 UI Scorecard" sheetId="14" r:id="R89eba3483244494a"/>
    <x:sheet xmlns:r="http://schemas.openxmlformats.org/officeDocument/2006/relationships" name="15 Motion Guidance" sheetId="15" r:id="Rfebd140dba36409c"/>
    <x:sheet xmlns:r="http://schemas.openxmlformats.org/officeDocument/2006/relationships" name="16 Design Standards" sheetId="16" r:id="Rd4cacf43e8a24dad"/>
    <x:sheet xmlns:r="http://schemas.openxmlformats.org/officeDocument/2006/relationships" name="17 Corporate Platform" sheetId="17" r:id="R1dc1dc9c00044efd"/>
    <x:sheet xmlns:r="http://schemas.openxmlformats.org/officeDocument/2006/relationships" name="18 Analytics Reuse Map" sheetId="18" r:id="R277030a91134408d"/>
    <x:sheet xmlns:r="http://schemas.openxmlformats.org/officeDocument/2006/relationships" name="19 Executive Insights Discovery" sheetId="19" r:id="Rb0d8755421564797"/>
    <x:sheet xmlns:r="http://schemas.openxmlformats.org/officeDocument/2006/relationships" name="20 Procurement Insights Discovery" sheetId="20" r:id="R67e7b88ae85d4c45"/>
    <x:sheet xmlns:r="http://schemas.openxmlformats.org/officeDocument/2006/relationships" name="21 Commercial Insights Discovery" sheetId="21" r:id="R0a2269480704416b"/>
    <x:sheet xmlns:r="http://schemas.openxmlformats.org/officeDocument/2006/relationships" name="22 Project Insights Discovery" sheetId="22" r:id="Re12bcb1772814c56"/>
    <x:sheet xmlns:r="http://schemas.openxmlformats.org/officeDocument/2006/relationships" name="23 Performance Discovery" sheetId="23" r:id="R56d5d6b4af134e3f"/>
    <x:sheet xmlns:r="http://schemas.openxmlformats.org/officeDocument/2006/relationships" name="24 Risk Compliance Discovery" sheetId="24" r:id="R04403e571b724d63"/>
    <x:sheet xmlns:r="http://schemas.openxmlformats.org/officeDocument/2006/relationships" name="25 Commercial Handoff" sheetId="25" r:id="R6d76d3f4c75e4c62"/>
    <x:sheet xmlns:r="http://schemas.openxmlformats.org/officeDocument/2006/relationships" name="26 RFQ Governance" sheetId="26" r:id="R0a38371b65de48b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ad9103a7ea348c8" /><Relationship Type="http://schemas.openxmlformats.org/officeDocument/2006/relationships/theme" Target="/xl/theme/theme1.xml" Id="R54d5fe690eea4106" /><Relationship Type="http://schemas.openxmlformats.org/officeDocument/2006/relationships/sharedStrings" Target="/xl/sharedStrings.xml" Id="R45879caef6b44ce6" /><Relationship Type="http://schemas.openxmlformats.org/officeDocument/2006/relationships/worksheet" Target="/xl/worksheets/sheet1.xml" Id="R2987cbaa3ba94601" /><Relationship Type="http://schemas.openxmlformats.org/officeDocument/2006/relationships/worksheet" Target="/xl/worksheets/sheet2.xml" Id="R020593634a984484" /><Relationship Type="http://schemas.openxmlformats.org/officeDocument/2006/relationships/worksheet" Target="/xl/worksheets/sheet3.xml" Id="Ra0d1b78fe0fb4b97" /><Relationship Type="http://schemas.openxmlformats.org/officeDocument/2006/relationships/worksheet" Target="/xl/worksheets/sheet4.xml" Id="R757bdea012c04a5c" /><Relationship Type="http://schemas.openxmlformats.org/officeDocument/2006/relationships/worksheet" Target="/xl/worksheets/sheet5.xml" Id="Rb18d5e233f644c31" /><Relationship Type="http://schemas.openxmlformats.org/officeDocument/2006/relationships/worksheet" Target="/xl/worksheets/sheet6.xml" Id="R1e83b5b967754d4f" /><Relationship Type="http://schemas.openxmlformats.org/officeDocument/2006/relationships/worksheet" Target="/xl/worksheets/sheet7.xml" Id="Rb65246414f364f1f" /><Relationship Type="http://schemas.openxmlformats.org/officeDocument/2006/relationships/worksheet" Target="/xl/worksheets/sheet8.xml" Id="R9473aaa336de496a" /><Relationship Type="http://schemas.openxmlformats.org/officeDocument/2006/relationships/worksheet" Target="/xl/worksheets/sheet9.xml" Id="R31a08e63b7f2473d" /><Relationship Type="http://schemas.openxmlformats.org/officeDocument/2006/relationships/worksheet" Target="/xl/worksheets/sheet10.xml" Id="R4bfed3424e604467" /><Relationship Type="http://schemas.openxmlformats.org/officeDocument/2006/relationships/worksheet" Target="/xl/worksheets/sheet11.xml" Id="Rfce0bab321c84957" /><Relationship Type="http://schemas.openxmlformats.org/officeDocument/2006/relationships/worksheet" Target="/xl/worksheets/sheet12.xml" Id="Rc700cddf5d024c81" /><Relationship Type="http://schemas.openxmlformats.org/officeDocument/2006/relationships/worksheet" Target="/xl/worksheets/sheet13.xml" Id="Rb988df7bf44941e6" /><Relationship Type="http://schemas.openxmlformats.org/officeDocument/2006/relationships/worksheet" Target="/xl/worksheets/sheet14.xml" Id="R89eba3483244494a" /><Relationship Type="http://schemas.openxmlformats.org/officeDocument/2006/relationships/worksheet" Target="/xl/worksheets/sheet15.xml" Id="Rfebd140dba36409c" /><Relationship Type="http://schemas.openxmlformats.org/officeDocument/2006/relationships/worksheet" Target="/xl/worksheets/sheet16.xml" Id="Rd4cacf43e8a24dad" /><Relationship Type="http://schemas.openxmlformats.org/officeDocument/2006/relationships/worksheet" Target="/xl/worksheets/sheet17.xml" Id="R1dc1dc9c00044efd" /><Relationship Type="http://schemas.openxmlformats.org/officeDocument/2006/relationships/worksheet" Target="/xl/worksheets/sheet18.xml" Id="R277030a91134408d" /><Relationship Type="http://schemas.openxmlformats.org/officeDocument/2006/relationships/worksheet" Target="/xl/worksheets/sheet19.xml" Id="Rb0d8755421564797" /><Relationship Type="http://schemas.openxmlformats.org/officeDocument/2006/relationships/worksheet" Target="/xl/worksheets/sheet20.xml" Id="R67e7b88ae85d4c45" /><Relationship Type="http://schemas.openxmlformats.org/officeDocument/2006/relationships/worksheet" Target="/xl/worksheets/sheet21.xml" Id="R0a2269480704416b" /><Relationship Type="http://schemas.openxmlformats.org/officeDocument/2006/relationships/worksheet" Target="/xl/worksheets/sheet22.xml" Id="Re12bcb1772814c56" /><Relationship Type="http://schemas.openxmlformats.org/officeDocument/2006/relationships/worksheet" Target="/xl/worksheets/sheet23.xml" Id="R56d5d6b4af134e3f" /><Relationship Type="http://schemas.openxmlformats.org/officeDocument/2006/relationships/worksheet" Target="/xl/worksheets/sheet24.xml" Id="R04403e571b724d63" /><Relationship Type="http://schemas.openxmlformats.org/officeDocument/2006/relationships/worksheet" Target="/xl/worksheets/sheet25.xml" Id="R6d76d3f4c75e4c62" /><Relationship Type="http://schemas.openxmlformats.org/officeDocument/2006/relationships/worksheet" Target="/xl/worksheets/sheet26.xml" Id="R0a38371b65de48bb" /></Relationships>
</file>

<file path=xl/drawings/_rels/drawing1.xml.rels>&#65279;<?xml version="1.0" encoding="utf-8"?><Relationships xmlns="http://schemas.openxmlformats.org/package/2006/relationships"><Relationship Type="http://schemas.openxmlformats.org/officeDocument/2006/relationships/chart" Target="/xl/drawings/charts/chart1.xml" Id="R42a9a82e2a544fe5"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2a9a82e2a544fe5"/>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c2af44e0d294eba" /></Relationships>
</file>

<file path=xl/worksheets/_rels/sheet2.xml.rels>&#65279;<?xml version="1.0" encoding="utf-8"?><Relationships xmlns="http://schemas.openxmlformats.org/package/2006/relationships"><Relationship Type="http://schemas.openxmlformats.org/officeDocument/2006/relationships/table" Target="/xl/tables/table2.xml" Id="R24aca0faabb6483f" /></Relationships>
</file>

<file path=xl/worksheets/_rels/sheet3.xml.rels>&#65279;<?xml version="1.0" encoding="utf-8"?><Relationships xmlns="http://schemas.openxmlformats.org/package/2006/relationships"><Relationship Type="http://schemas.openxmlformats.org/officeDocument/2006/relationships/drawing" Target="/xl/drawings/drawing1.xml" Id="R142677420b1f49bd" /></Relationships>
</file>

<file path=xl/worksheets/_rels/sheet4.xml.rels>&#65279;<?xml version="1.0" encoding="utf-8"?><Relationships xmlns="http://schemas.openxmlformats.org/package/2006/relationships"><Relationship Type="http://schemas.openxmlformats.org/officeDocument/2006/relationships/table" Target="/xl/tables/table3.xml" Id="R9bc28f87058a442c" /></Relationships>
</file>

<file path=xl/worksheets/_rels/sheet5.xml.rels>&#65279;<?xml version="1.0" encoding="utf-8"?><Relationships xmlns="http://schemas.openxmlformats.org/package/2006/relationships"><Relationship Type="http://schemas.openxmlformats.org/officeDocument/2006/relationships/table" Target="/xl/tables/table4.xml" Id="Rdac129f27f594a43" /></Relationships>
</file>

<file path=xl/worksheets/_rels/sheet6.xml.rels>&#65279;<?xml version="1.0" encoding="utf-8"?><Relationships xmlns="http://schemas.openxmlformats.org/package/2006/relationships"><Relationship Type="http://schemas.openxmlformats.org/officeDocument/2006/relationships/table" Target="/xl/tables/table5.xml" Id="Rb73abd2da4554c10" /></Relationships>
</file>

<file path=xl/worksheets/_rels/sheet7.xml.rels>&#65279;<?xml version="1.0" encoding="utf-8"?><Relationships xmlns="http://schemas.openxmlformats.org/package/2006/relationships"><Relationship Type="http://schemas.openxmlformats.org/officeDocument/2006/relationships/table" Target="/xl/tables/table6.xml" Id="R21d8970680f24481" /></Relationships>
</file>

<file path=xl/worksheets/_rels/sheet9.xml.rels>&#65279;<?xml version="1.0" encoding="utf-8"?><Relationships xmlns="http://schemas.openxmlformats.org/package/2006/relationships"><Relationship Type="http://schemas.openxmlformats.org/officeDocument/2006/relationships/table" Target="/xl/tables/table7.xml" Id="Rfb89da952a9c4e90" /></Relationships>
</file>

<file path=xl/worksheets/_rels/sheet10.xml.rels>&#65279;<?xml version="1.0" encoding="utf-8"?><Relationships xmlns="http://schemas.openxmlformats.org/package/2006/relationships"><Relationship Type="http://schemas.openxmlformats.org/officeDocument/2006/relationships/table" Target="/xl/tables/table8.xml" Id="R96277a81916e4ae4" /></Relationships>
</file>

<file path=xl/worksheets/_rels/sheet11.xml.rels>&#65279;<?xml version="1.0" encoding="utf-8"?><Relationships xmlns="http://schemas.openxmlformats.org/package/2006/relationships"><Relationship Type="http://schemas.openxmlformats.org/officeDocument/2006/relationships/table" Target="/xl/tables/table9.xml" Id="R3335a7cef1284192" /></Relationships>
</file>

<file path=xl/worksheets/_rels/sheet13.xml.rels>&#65279;<?xml version="1.0" encoding="utf-8"?><Relationships xmlns="http://schemas.openxmlformats.org/package/2006/relationships"><Relationship Type="http://schemas.openxmlformats.org/officeDocument/2006/relationships/table" Target="/xl/tables/table10.xml" Id="Reae17da861504155" /></Relationships>
</file>

<file path=xl/worksheets/_rels/sheet14.xml.rels>&#65279;<?xml version="1.0" encoding="utf-8"?><Relationships xmlns="http://schemas.openxmlformats.org/package/2006/relationships"><Relationship Type="http://schemas.openxmlformats.org/officeDocument/2006/relationships/table" Target="/xl/tables/table11.xml" Id="R8a95a99a1842426f" /></Relationships>
</file>

<file path=xl/worksheets/_rels/sheet15.xml.rels>&#65279;<?xml version="1.0" encoding="utf-8"?><Relationships xmlns="http://schemas.openxmlformats.org/package/2006/relationships"><Relationship Type="http://schemas.openxmlformats.org/officeDocument/2006/relationships/table" Target="/xl/tables/table12.xml" Id="R06cf4e49c2bf4ace" /></Relationships>
</file>

<file path=xl/worksheets/_rels/sheet16.xml.rels>&#65279;<?xml version="1.0" encoding="utf-8"?><Relationships xmlns="http://schemas.openxmlformats.org/package/2006/relationships"><Relationship Type="http://schemas.openxmlformats.org/officeDocument/2006/relationships/table" Target="/xl/tables/table13.xml" Id="R01823425c9034668"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0c2af44e0d294eb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4aca0faabb6483f"/>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295</x:v>
      </x:c>
      <x:c r="D6" s="133" t="inlineStr">
        <x:is>
          <x:t xml:space="preserve">G0A — Corporate platform architecture ready</x:t>
        </x:is>
      </x:c>
      <x:c r="E6" s="32" t="str">
        <x:f>'03 Launch Gates'!D20</x:f>
        <x:v>Completed</x:v>
      </x:c>
      <x:c r="G6" t="inlineStr">
        <x:is>
          <x:t xml:space="preserve">UI Tasks Complete</x:t>
        </x:is>
      </x:c>
      <x:c r="H6" t="n">
        <x:f>SUM(B36:B46)</x:f>
        <x:v>73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4</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0.8038147138964578</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1</x:v>
      </x:c>
      <x:c r="C41" s="133" t="n">
        <x:f>COUNTIFS('01 Master Plan'!C$5:C$383,A41,'01 Master Plan'!H$5:H$383,"In Progress")</x:f>
        <x:v>0</x:v>
      </x:c>
      <x:c r="D41" s="133" t="n">
        <x:f>COUNTIFS('01 Master Plan'!C$5:C$383,A41,'01 Master Plan'!H$5:H$383,"Not Started")</x:f>
        <x:v>10</x:v>
      </x:c>
      <x:c r="E41" s="133" t="n">
        <x:f>COUNTIFS('01 Master Plan'!C$5:C$383,A41,'01 Master Plan'!H$5:H$383,"Blocked")</x:f>
        <x:v>2</x:v>
      </x:c>
      <x:c r="F41" s="133" t="n">
        <x:f>COUNTIFS('01 Master Plan'!C$5:C$383,A41,'01 Master Plan'!H$5:H$383,"Deferred")</x:f>
        <x:v>0</x:v>
      </x:c>
      <x:c r="G41" s="255" t="n">
        <x:f>IFERROR(B41/(B41+C41+D41+E41),0)</x:f>
        <x:v>0.07692307692307693</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142677420b1f49bd"/>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bc28f87058a442c"/>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ac129f27f594a43"/>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b73abd2da4554c10"/>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1d8970680f24481"/>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fb89da952a9c4e9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96277a81916e4ae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3335a7cef128419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PASS/CLOSED. 13E-02 and 13E-03 remain BLOCKED/Open because RFQ create/publish success flows auto-navigate to /rfq/{slug} after about two seconds and expose no stable completion surface without changing navigation/state semantics. 13D-04 and 13D-05 remain BLOCKED/Open under their prior unblock criteria. Next executable canonical task: 13E-04 Implement invitation sent feedback.</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ae17da861504155"/>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8a95a99a1842426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06cf4e49c2bf4ace"/>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1823425c9034668"/>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