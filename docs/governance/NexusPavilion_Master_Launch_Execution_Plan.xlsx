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b96c3816bc943b3" /></Relationships>
</file>

<file path=xl/workbook.xml><?xml version="1.0" encoding="utf-8"?>
<x:workbook xmlns:x="http://schemas.openxmlformats.org/spreadsheetml/2006/main">
  <x:sheets>
    <x:sheet xmlns:r="http://schemas.openxmlformats.org/officeDocument/2006/relationships" name="01 Master Plan" sheetId="1" r:id="R319c5f80ca66440a"/>
    <x:sheet xmlns:r="http://schemas.openxmlformats.org/officeDocument/2006/relationships" name="03 Launch Gates" sheetId="2" r:id="Ra761ab574ef94f1c"/>
    <x:sheet xmlns:r="http://schemas.openxmlformats.org/officeDocument/2006/relationships" name="00 Dashboard" sheetId="3" r:id="Rbc868fb340d5456b"/>
    <x:sheet xmlns:r="http://schemas.openxmlformats.org/officeDocument/2006/relationships" name="04 Cursor Tasks" sheetId="4" r:id="Rc60ab0676a14412e"/>
    <x:sheet xmlns:r="http://schemas.openxmlformats.org/officeDocument/2006/relationships" name="05 UAT Matrix" sheetId="5" r:id="R8c178e3b80994f11"/>
    <x:sheet xmlns:r="http://schemas.openxmlformats.org/officeDocument/2006/relationships" name="06 Security Matrix" sheetId="6" r:id="R27a62ed3ca314801"/>
    <x:sheet xmlns:r="http://schemas.openxmlformats.org/officeDocument/2006/relationships" name="07 Risks" sheetId="7" r:id="R1cef385784854ba2"/>
    <x:sheet xmlns:r="http://schemas.openxmlformats.org/officeDocument/2006/relationships" name="08 Architecture" sheetId="8" r:id="R9d9f7d9705954633"/>
    <x:sheet xmlns:r="http://schemas.openxmlformats.org/officeDocument/2006/relationships" name="09 Release Checklist" sheetId="9" r:id="R9d0d43c509c94b5c"/>
    <x:sheet xmlns:r="http://schemas.openxmlformats.org/officeDocument/2006/relationships" name="10 Change Log" sheetId="10" r:id="R4894c7cd201e4b73"/>
    <x:sheet xmlns:r="http://schemas.openxmlformats.org/officeDocument/2006/relationships" name="11 Scope &amp; Roadmap" sheetId="11" r:id="Rfd60ffc42ecd45a8"/>
    <x:sheet xmlns:r="http://schemas.openxmlformats.org/officeDocument/2006/relationships" name="12 How to Use" sheetId="12" r:id="Ra7563ba7e5f24ebd"/>
    <x:sheet xmlns:r="http://schemas.openxmlformats.org/officeDocument/2006/relationships" name="13 UI Program" sheetId="13" r:id="R185384c880f9448c"/>
    <x:sheet xmlns:r="http://schemas.openxmlformats.org/officeDocument/2006/relationships" name="14 UI Scorecard" sheetId="14" r:id="Rfae6b0b6dd8749ca"/>
    <x:sheet xmlns:r="http://schemas.openxmlformats.org/officeDocument/2006/relationships" name="15 Motion Guidance" sheetId="15" r:id="R8cf9a34d34f840f6"/>
    <x:sheet xmlns:r="http://schemas.openxmlformats.org/officeDocument/2006/relationships" name="16 Design Standards" sheetId="16" r:id="Rb0a6b80861694d44"/>
    <x:sheet xmlns:r="http://schemas.openxmlformats.org/officeDocument/2006/relationships" name="17 Corporate Platform" sheetId="17" r:id="Rf53fc60d59704ec8"/>
    <x:sheet xmlns:r="http://schemas.openxmlformats.org/officeDocument/2006/relationships" name="18 Analytics Reuse Map" sheetId="18" r:id="Rc7dc669c46204e47"/>
    <x:sheet xmlns:r="http://schemas.openxmlformats.org/officeDocument/2006/relationships" name="19 Executive Insights Discovery" sheetId="19" r:id="R769408d3c8714035"/>
    <x:sheet xmlns:r="http://schemas.openxmlformats.org/officeDocument/2006/relationships" name="20 Procurement Insights Discovery" sheetId="20" r:id="Rb6d6ecdcbfea4047"/>
    <x:sheet xmlns:r="http://schemas.openxmlformats.org/officeDocument/2006/relationships" name="21 Commercial Insights Discovery" sheetId="21" r:id="R4f64e7e626914b8a"/>
    <x:sheet xmlns:r="http://schemas.openxmlformats.org/officeDocument/2006/relationships" name="22 Project Insights Discovery" sheetId="22" r:id="Rbb6c421759254a2c"/>
    <x:sheet xmlns:r="http://schemas.openxmlformats.org/officeDocument/2006/relationships" name="23 Performance Discovery" sheetId="23" r:id="Rf17f58bff20b43aa"/>
    <x:sheet xmlns:r="http://schemas.openxmlformats.org/officeDocument/2006/relationships" name="24 Risk Compliance Discovery" sheetId="24" r:id="R2cdcfaaec8d94261"/>
    <x:sheet xmlns:r="http://schemas.openxmlformats.org/officeDocument/2006/relationships" name="25 Commercial Handoff" sheetId="25" r:id="R1989d32b33724144"/>
    <x:sheet xmlns:r="http://schemas.openxmlformats.org/officeDocument/2006/relationships" name="26 RFQ Governance" sheetId="26" r:id="R0e5e07d50f4645e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f8064699e9e4188" /><Relationship Type="http://schemas.openxmlformats.org/officeDocument/2006/relationships/theme" Target="/xl/theme/theme1.xml" Id="Rb630e8681f234d84" /><Relationship Type="http://schemas.openxmlformats.org/officeDocument/2006/relationships/sharedStrings" Target="/xl/sharedStrings.xml" Id="Re23a601fe4ac4ffe" /><Relationship Type="http://schemas.openxmlformats.org/officeDocument/2006/relationships/worksheet" Target="/xl/worksheets/sheet1.xml" Id="R319c5f80ca66440a" /><Relationship Type="http://schemas.openxmlformats.org/officeDocument/2006/relationships/worksheet" Target="/xl/worksheets/sheet2.xml" Id="Ra761ab574ef94f1c" /><Relationship Type="http://schemas.openxmlformats.org/officeDocument/2006/relationships/worksheet" Target="/xl/worksheets/sheet3.xml" Id="Rbc868fb340d5456b" /><Relationship Type="http://schemas.openxmlformats.org/officeDocument/2006/relationships/worksheet" Target="/xl/worksheets/sheet4.xml" Id="Rc60ab0676a14412e" /><Relationship Type="http://schemas.openxmlformats.org/officeDocument/2006/relationships/worksheet" Target="/xl/worksheets/sheet5.xml" Id="R8c178e3b80994f11" /><Relationship Type="http://schemas.openxmlformats.org/officeDocument/2006/relationships/worksheet" Target="/xl/worksheets/sheet6.xml" Id="R27a62ed3ca314801" /><Relationship Type="http://schemas.openxmlformats.org/officeDocument/2006/relationships/worksheet" Target="/xl/worksheets/sheet7.xml" Id="R1cef385784854ba2" /><Relationship Type="http://schemas.openxmlformats.org/officeDocument/2006/relationships/worksheet" Target="/xl/worksheets/sheet8.xml" Id="R9d9f7d9705954633" /><Relationship Type="http://schemas.openxmlformats.org/officeDocument/2006/relationships/worksheet" Target="/xl/worksheets/sheet9.xml" Id="R9d0d43c509c94b5c" /><Relationship Type="http://schemas.openxmlformats.org/officeDocument/2006/relationships/worksheet" Target="/xl/worksheets/sheet10.xml" Id="R4894c7cd201e4b73" /><Relationship Type="http://schemas.openxmlformats.org/officeDocument/2006/relationships/worksheet" Target="/xl/worksheets/sheet11.xml" Id="Rfd60ffc42ecd45a8" /><Relationship Type="http://schemas.openxmlformats.org/officeDocument/2006/relationships/worksheet" Target="/xl/worksheets/sheet12.xml" Id="Ra7563ba7e5f24ebd" /><Relationship Type="http://schemas.openxmlformats.org/officeDocument/2006/relationships/worksheet" Target="/xl/worksheets/sheet13.xml" Id="R185384c880f9448c" /><Relationship Type="http://schemas.openxmlformats.org/officeDocument/2006/relationships/worksheet" Target="/xl/worksheets/sheet14.xml" Id="Rfae6b0b6dd8749ca" /><Relationship Type="http://schemas.openxmlformats.org/officeDocument/2006/relationships/worksheet" Target="/xl/worksheets/sheet15.xml" Id="R8cf9a34d34f840f6" /><Relationship Type="http://schemas.openxmlformats.org/officeDocument/2006/relationships/worksheet" Target="/xl/worksheets/sheet16.xml" Id="Rb0a6b80861694d44" /><Relationship Type="http://schemas.openxmlformats.org/officeDocument/2006/relationships/worksheet" Target="/xl/worksheets/sheet17.xml" Id="Rf53fc60d59704ec8" /><Relationship Type="http://schemas.openxmlformats.org/officeDocument/2006/relationships/worksheet" Target="/xl/worksheets/sheet18.xml" Id="Rc7dc669c46204e47" /><Relationship Type="http://schemas.openxmlformats.org/officeDocument/2006/relationships/worksheet" Target="/xl/worksheets/sheet19.xml" Id="R769408d3c8714035" /><Relationship Type="http://schemas.openxmlformats.org/officeDocument/2006/relationships/worksheet" Target="/xl/worksheets/sheet20.xml" Id="Rb6d6ecdcbfea4047" /><Relationship Type="http://schemas.openxmlformats.org/officeDocument/2006/relationships/worksheet" Target="/xl/worksheets/sheet21.xml" Id="R4f64e7e626914b8a" /><Relationship Type="http://schemas.openxmlformats.org/officeDocument/2006/relationships/worksheet" Target="/xl/worksheets/sheet22.xml" Id="Rbb6c421759254a2c" /><Relationship Type="http://schemas.openxmlformats.org/officeDocument/2006/relationships/worksheet" Target="/xl/worksheets/sheet23.xml" Id="Rf17f58bff20b43aa" /><Relationship Type="http://schemas.openxmlformats.org/officeDocument/2006/relationships/worksheet" Target="/xl/worksheets/sheet24.xml" Id="R2cdcfaaec8d94261" /><Relationship Type="http://schemas.openxmlformats.org/officeDocument/2006/relationships/worksheet" Target="/xl/worksheets/sheet25.xml" Id="R1989d32b33724144" /><Relationship Type="http://schemas.openxmlformats.org/officeDocument/2006/relationships/worksheet" Target="/xl/worksheets/sheet26.xml" Id="R0e5e07d50f4645e4" /></Relationships>
</file>

<file path=xl/drawings/_rels/drawing1.xml.rels>&#65279;<?xml version="1.0" encoding="utf-8"?><Relationships xmlns="http://schemas.openxmlformats.org/package/2006/relationships"><Relationship Type="http://schemas.openxmlformats.org/officeDocument/2006/relationships/chart" Target="/xl/drawings/charts/chart1.xml" Id="Ra4c860988a1b4cb0"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4c860988a1b4cb0"/>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48f5ea289f1436c" /></Relationships>
</file>

<file path=xl/worksheets/_rels/sheet2.xml.rels>&#65279;<?xml version="1.0" encoding="utf-8"?><Relationships xmlns="http://schemas.openxmlformats.org/package/2006/relationships"><Relationship Type="http://schemas.openxmlformats.org/officeDocument/2006/relationships/table" Target="/xl/tables/table2.xml" Id="Re6561eb1a0814333" /></Relationships>
</file>

<file path=xl/worksheets/_rels/sheet3.xml.rels>&#65279;<?xml version="1.0" encoding="utf-8"?><Relationships xmlns="http://schemas.openxmlformats.org/package/2006/relationships"><Relationship Type="http://schemas.openxmlformats.org/officeDocument/2006/relationships/drawing" Target="/xl/drawings/drawing1.xml" Id="Ra335e0db09f843fd" /></Relationships>
</file>

<file path=xl/worksheets/_rels/sheet4.xml.rels>&#65279;<?xml version="1.0" encoding="utf-8"?><Relationships xmlns="http://schemas.openxmlformats.org/package/2006/relationships"><Relationship Type="http://schemas.openxmlformats.org/officeDocument/2006/relationships/table" Target="/xl/tables/table3.xml" Id="R69b3aea9cb6844b9" /></Relationships>
</file>

<file path=xl/worksheets/_rels/sheet5.xml.rels>&#65279;<?xml version="1.0" encoding="utf-8"?><Relationships xmlns="http://schemas.openxmlformats.org/package/2006/relationships"><Relationship Type="http://schemas.openxmlformats.org/officeDocument/2006/relationships/table" Target="/xl/tables/table4.xml" Id="R355fe86e8dc94e59" /></Relationships>
</file>

<file path=xl/worksheets/_rels/sheet6.xml.rels>&#65279;<?xml version="1.0" encoding="utf-8"?><Relationships xmlns="http://schemas.openxmlformats.org/package/2006/relationships"><Relationship Type="http://schemas.openxmlformats.org/officeDocument/2006/relationships/table" Target="/xl/tables/table5.xml" Id="R7cdc2c61ecbb45c9" /></Relationships>
</file>

<file path=xl/worksheets/_rels/sheet7.xml.rels>&#65279;<?xml version="1.0" encoding="utf-8"?><Relationships xmlns="http://schemas.openxmlformats.org/package/2006/relationships"><Relationship Type="http://schemas.openxmlformats.org/officeDocument/2006/relationships/table" Target="/xl/tables/table6.xml" Id="R95f1b704d84b4b4b" /></Relationships>
</file>

<file path=xl/worksheets/_rels/sheet9.xml.rels>&#65279;<?xml version="1.0" encoding="utf-8"?><Relationships xmlns="http://schemas.openxmlformats.org/package/2006/relationships"><Relationship Type="http://schemas.openxmlformats.org/officeDocument/2006/relationships/table" Target="/xl/tables/table7.xml" Id="R5bf0be2849ba4ec2" /></Relationships>
</file>

<file path=xl/worksheets/_rels/sheet10.xml.rels>&#65279;<?xml version="1.0" encoding="utf-8"?><Relationships xmlns="http://schemas.openxmlformats.org/package/2006/relationships"><Relationship Type="http://schemas.openxmlformats.org/officeDocument/2006/relationships/table" Target="/xl/tables/table8.xml" Id="R18a14c4dafde47cc" /></Relationships>
</file>

<file path=xl/worksheets/_rels/sheet11.xml.rels>&#65279;<?xml version="1.0" encoding="utf-8"?><Relationships xmlns="http://schemas.openxmlformats.org/package/2006/relationships"><Relationship Type="http://schemas.openxmlformats.org/officeDocument/2006/relationships/table" Target="/xl/tables/table9.xml" Id="R84fc93cedfce424a" /></Relationships>
</file>

<file path=xl/worksheets/_rels/sheet13.xml.rels>&#65279;<?xml version="1.0" encoding="utf-8"?><Relationships xmlns="http://schemas.openxmlformats.org/package/2006/relationships"><Relationship Type="http://schemas.openxmlformats.org/officeDocument/2006/relationships/table" Target="/xl/tables/table10.xml" Id="Ra94c556b88f04ded" /></Relationships>
</file>

<file path=xl/worksheets/_rels/sheet14.xml.rels>&#65279;<?xml version="1.0" encoding="utf-8"?><Relationships xmlns="http://schemas.openxmlformats.org/package/2006/relationships"><Relationship Type="http://schemas.openxmlformats.org/officeDocument/2006/relationships/table" Target="/xl/tables/table11.xml" Id="R7672118eef844c37" /></Relationships>
</file>

<file path=xl/worksheets/_rels/sheet15.xml.rels>&#65279;<?xml version="1.0" encoding="utf-8"?><Relationships xmlns="http://schemas.openxmlformats.org/package/2006/relationships"><Relationship Type="http://schemas.openxmlformats.org/officeDocument/2006/relationships/table" Target="/xl/tables/table12.xml" Id="R9200fa48191a4ac2" /></Relationships>
</file>

<file path=xl/worksheets/_rels/sheet16.xml.rels>&#65279;<?xml version="1.0" encoding="utf-8"?><Relationships xmlns="http://schemas.openxmlformats.org/package/2006/relationships"><Relationship Type="http://schemas.openxmlformats.org/officeDocument/2006/relationships/table" Target="/xl/tables/table13.xml" Id="R9cfd82926c4b4e33"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548f5ea289f1436c"/>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e6561eb1a0814333"/>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314</x:v>
      </x:c>
      <x:c r="D6" s="133" t="inlineStr">
        <x:is>
          <x:t xml:space="preserve">G0A — Corporate platform architecture ready</x:t>
        </x:is>
      </x:c>
      <x:c r="E6" s="32" t="str">
        <x:f>'03 Launch Gates'!D20</x:f>
        <x:v>Completed</x:v>
      </x:c>
      <x:c r="G6" t="inlineStr">
        <x:is>
          <x:t xml:space="preserve">UI Tasks Complete</x:t>
        </x:is>
      </x:c>
      <x:c r="H6" t="n">
        <x:f>SUM(B36:B46)</x:f>
        <x:v>92</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0.8555858310626703</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0.8836363636363637</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11</x:v>
      </x:c>
      <x:c r="C42" s="133" t="n">
        <x:f>COUNTIFS('01 Master Plan'!C$5:C$383,A42,'01 Master Plan'!H$5:H$383,"In Progress")</x:f>
        <x:v>0</x:v>
      </x:c>
      <x:c r="D42" s="133" t="n">
        <x:f>COUNTIFS('01 Master Plan'!C$5:C$383,A42,'01 Master Plan'!H$5:H$383,"Not Started")</x:f>
        <x:v>3</x:v>
      </x:c>
      <x:c r="E42" s="133" t="n">
        <x:f>COUNTIFS('01 Master Plan'!C$5:C$383,A42,'01 Master Plan'!H$5:H$383,"Blocked")</x:f>
        <x:v>0</x:v>
      </x:c>
      <x:c r="F42" s="133" t="n">
        <x:f>COUNTIFS('01 Master Plan'!C$5:C$383,A42,'01 Master Plan'!H$5:H$383,"Deferred")</x:f>
        <x:v>0</x:v>
      </x:c>
      <x:c r="G42" s="255" t="n">
        <x:f>IFERROR(B42/(B42+C42+D42+E42),0)</x:f>
        <x:v>0.7857142857142857</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a335e0db09f843fd"/>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69b3aea9cb6844b9"/>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355fe86e8dc94e59"/>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7cdc2c61ecbb45c9"/>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95f1b704d84b4b4b"/>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5bf0be2849ba4ec2"/>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18a14c4dafde47cc"/>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84fc93cedfce424a"/>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IN PROGRESS — 13F-01 through 13F-11 PASS/CLOSED/PUBLISHED. Evaluation exception guidance now summarizes authorized comparison evidence only, preserving commercial unlock, issuer tenancy, scoring, recommendation and award controls. Next executable canonical task: 13F-12 Add attention guidance to Activity Center.</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In Progress</x:v>
      </x:c>
      <x:c r="J10" s="133" t="str">
        <x:v>U5 / Phase 13F IN PROGRESS — 13F-01 through 13F-11 PASS/CLOSED/PUBLISHED. Evaluation exception guidance now summarizes authorized comparison evidence only, preserving commercial unlock, issuer tenancy, scoring, recommendation and award controls. Next executable canonical task: 13F-12 Add attention guidance to Activity Center.</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a94c556b88f04ded"/>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7672118eef844c37"/>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9200fa48191a4ac2"/>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9cfd82926c4b4e33"/>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