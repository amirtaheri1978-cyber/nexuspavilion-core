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c4f3032d994eb2" /></Relationships>
</file>

<file path=xl/workbook.xml><?xml version="1.0" encoding="utf-8"?>
<x:workbook xmlns:x="http://schemas.openxmlformats.org/spreadsheetml/2006/main">
  <x:sheets>
    <x:sheet xmlns:r="http://schemas.openxmlformats.org/officeDocument/2006/relationships" name="01 Master Plan" sheetId="1" r:id="Re9d3ffa0ab8548ce"/>
    <x:sheet xmlns:r="http://schemas.openxmlformats.org/officeDocument/2006/relationships" name="03 Launch Gates" sheetId="2" r:id="R37c719e762bf4933"/>
    <x:sheet xmlns:r="http://schemas.openxmlformats.org/officeDocument/2006/relationships" name="00 Dashboard" sheetId="3" r:id="R445572e4ca0f4909"/>
    <x:sheet xmlns:r="http://schemas.openxmlformats.org/officeDocument/2006/relationships" name="04 Cursor Tasks" sheetId="4" r:id="R560fdd33da6440bd"/>
    <x:sheet xmlns:r="http://schemas.openxmlformats.org/officeDocument/2006/relationships" name="05 UAT Matrix" sheetId="5" r:id="Rec5d5878dbd14e4c"/>
    <x:sheet xmlns:r="http://schemas.openxmlformats.org/officeDocument/2006/relationships" name="06 Security Matrix" sheetId="6" r:id="R2edcd23d21174460"/>
    <x:sheet xmlns:r="http://schemas.openxmlformats.org/officeDocument/2006/relationships" name="07 Risks" sheetId="7" r:id="R88b536c58873476f"/>
    <x:sheet xmlns:r="http://schemas.openxmlformats.org/officeDocument/2006/relationships" name="08 Architecture" sheetId="8" r:id="Rdad6bcb59e1d4fab"/>
    <x:sheet xmlns:r="http://schemas.openxmlformats.org/officeDocument/2006/relationships" name="09 Release Checklist" sheetId="9" r:id="Reeefbf9481d9429b"/>
    <x:sheet xmlns:r="http://schemas.openxmlformats.org/officeDocument/2006/relationships" name="10 Change Log" sheetId="10" r:id="R41837fddc1234bbc"/>
    <x:sheet xmlns:r="http://schemas.openxmlformats.org/officeDocument/2006/relationships" name="11 Scope &amp; Roadmap" sheetId="11" r:id="Ra1f000d4c1574859"/>
    <x:sheet xmlns:r="http://schemas.openxmlformats.org/officeDocument/2006/relationships" name="12 How to Use" sheetId="12" r:id="R2f48ae82a4034bbe"/>
    <x:sheet xmlns:r="http://schemas.openxmlformats.org/officeDocument/2006/relationships" name="13 UI Program" sheetId="13" r:id="Rb8adc65e3ab7489a"/>
    <x:sheet xmlns:r="http://schemas.openxmlformats.org/officeDocument/2006/relationships" name="14 UI Scorecard" sheetId="14" r:id="R0cfe52ce0b984720"/>
    <x:sheet xmlns:r="http://schemas.openxmlformats.org/officeDocument/2006/relationships" name="15 Motion Guidance" sheetId="15" r:id="R11f3ea6c8bd24558"/>
    <x:sheet xmlns:r="http://schemas.openxmlformats.org/officeDocument/2006/relationships" name="16 Design Standards" sheetId="16" r:id="Rca8a127cf4744249"/>
    <x:sheet xmlns:r="http://schemas.openxmlformats.org/officeDocument/2006/relationships" name="17 Corporate Platform" sheetId="17" r:id="R4d474596962e441e"/>
    <x:sheet xmlns:r="http://schemas.openxmlformats.org/officeDocument/2006/relationships" name="18 Analytics Reuse Map" sheetId="18" r:id="Rb26afeaff5114161"/>
    <x:sheet xmlns:r="http://schemas.openxmlformats.org/officeDocument/2006/relationships" name="19 Executive Insights Discovery" sheetId="19" r:id="R79840f7968ac495d"/>
    <x:sheet xmlns:r="http://schemas.openxmlformats.org/officeDocument/2006/relationships" name="20 Procurement Insights Discovery" sheetId="20" r:id="R04562f015d7e4240"/>
    <x:sheet xmlns:r="http://schemas.openxmlformats.org/officeDocument/2006/relationships" name="21 Commercial Insights Discovery" sheetId="21" r:id="Rf1265bad27464e02"/>
    <x:sheet xmlns:r="http://schemas.openxmlformats.org/officeDocument/2006/relationships" name="22 Project Insights Discovery" sheetId="22" r:id="R47fab0c1e1e4472e"/>
    <x:sheet xmlns:r="http://schemas.openxmlformats.org/officeDocument/2006/relationships" name="23 Performance Discovery" sheetId="23" r:id="Rf6dbf8dc5515471c"/>
    <x:sheet xmlns:r="http://schemas.openxmlformats.org/officeDocument/2006/relationships" name="24 Risk Compliance Discovery" sheetId="24" r:id="R380d6fd336904a93"/>
    <x:sheet xmlns:r="http://schemas.openxmlformats.org/officeDocument/2006/relationships" name="25 Commercial Handoff" sheetId="25" r:id="R918421bcbd5f41be"/>
    <x:sheet xmlns:r="http://schemas.openxmlformats.org/officeDocument/2006/relationships" name="26 RFQ Governance" sheetId="26" r:id="R94df5cca4d4e423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cd2248df84b4e47" /><Relationship Type="http://schemas.openxmlformats.org/officeDocument/2006/relationships/theme" Target="/xl/theme/theme1.xml" Id="Re874abd53593470a" /><Relationship Type="http://schemas.openxmlformats.org/officeDocument/2006/relationships/sharedStrings" Target="/xl/sharedStrings.xml" Id="R0aa109ba788642be" /><Relationship Type="http://schemas.openxmlformats.org/officeDocument/2006/relationships/worksheet" Target="/xl/worksheets/sheet1.xml" Id="Re9d3ffa0ab8548ce" /><Relationship Type="http://schemas.openxmlformats.org/officeDocument/2006/relationships/worksheet" Target="/xl/worksheets/sheet2.xml" Id="R37c719e762bf4933" /><Relationship Type="http://schemas.openxmlformats.org/officeDocument/2006/relationships/worksheet" Target="/xl/worksheets/sheet3.xml" Id="R445572e4ca0f4909" /><Relationship Type="http://schemas.openxmlformats.org/officeDocument/2006/relationships/worksheet" Target="/xl/worksheets/sheet4.xml" Id="R560fdd33da6440bd" /><Relationship Type="http://schemas.openxmlformats.org/officeDocument/2006/relationships/worksheet" Target="/xl/worksheets/sheet5.xml" Id="Rec5d5878dbd14e4c" /><Relationship Type="http://schemas.openxmlformats.org/officeDocument/2006/relationships/worksheet" Target="/xl/worksheets/sheet6.xml" Id="R2edcd23d21174460" /><Relationship Type="http://schemas.openxmlformats.org/officeDocument/2006/relationships/worksheet" Target="/xl/worksheets/sheet7.xml" Id="R88b536c58873476f" /><Relationship Type="http://schemas.openxmlformats.org/officeDocument/2006/relationships/worksheet" Target="/xl/worksheets/sheet8.xml" Id="Rdad6bcb59e1d4fab" /><Relationship Type="http://schemas.openxmlformats.org/officeDocument/2006/relationships/worksheet" Target="/xl/worksheets/sheet9.xml" Id="Reeefbf9481d9429b" /><Relationship Type="http://schemas.openxmlformats.org/officeDocument/2006/relationships/worksheet" Target="/xl/worksheets/sheet10.xml" Id="R41837fddc1234bbc" /><Relationship Type="http://schemas.openxmlformats.org/officeDocument/2006/relationships/worksheet" Target="/xl/worksheets/sheet11.xml" Id="Ra1f000d4c1574859" /><Relationship Type="http://schemas.openxmlformats.org/officeDocument/2006/relationships/worksheet" Target="/xl/worksheets/sheet12.xml" Id="R2f48ae82a4034bbe" /><Relationship Type="http://schemas.openxmlformats.org/officeDocument/2006/relationships/worksheet" Target="/xl/worksheets/sheet13.xml" Id="Rb8adc65e3ab7489a" /><Relationship Type="http://schemas.openxmlformats.org/officeDocument/2006/relationships/worksheet" Target="/xl/worksheets/sheet14.xml" Id="R0cfe52ce0b984720" /><Relationship Type="http://schemas.openxmlformats.org/officeDocument/2006/relationships/worksheet" Target="/xl/worksheets/sheet15.xml" Id="R11f3ea6c8bd24558" /><Relationship Type="http://schemas.openxmlformats.org/officeDocument/2006/relationships/worksheet" Target="/xl/worksheets/sheet16.xml" Id="Rca8a127cf4744249" /><Relationship Type="http://schemas.openxmlformats.org/officeDocument/2006/relationships/worksheet" Target="/xl/worksheets/sheet17.xml" Id="R4d474596962e441e" /><Relationship Type="http://schemas.openxmlformats.org/officeDocument/2006/relationships/worksheet" Target="/xl/worksheets/sheet18.xml" Id="Rb26afeaff5114161" /><Relationship Type="http://schemas.openxmlformats.org/officeDocument/2006/relationships/worksheet" Target="/xl/worksheets/sheet19.xml" Id="R79840f7968ac495d" /><Relationship Type="http://schemas.openxmlformats.org/officeDocument/2006/relationships/worksheet" Target="/xl/worksheets/sheet20.xml" Id="R04562f015d7e4240" /><Relationship Type="http://schemas.openxmlformats.org/officeDocument/2006/relationships/worksheet" Target="/xl/worksheets/sheet21.xml" Id="Rf1265bad27464e02" /><Relationship Type="http://schemas.openxmlformats.org/officeDocument/2006/relationships/worksheet" Target="/xl/worksheets/sheet22.xml" Id="R47fab0c1e1e4472e" /><Relationship Type="http://schemas.openxmlformats.org/officeDocument/2006/relationships/worksheet" Target="/xl/worksheets/sheet23.xml" Id="Rf6dbf8dc5515471c" /><Relationship Type="http://schemas.openxmlformats.org/officeDocument/2006/relationships/worksheet" Target="/xl/worksheets/sheet24.xml" Id="R380d6fd336904a93" /><Relationship Type="http://schemas.openxmlformats.org/officeDocument/2006/relationships/worksheet" Target="/xl/worksheets/sheet25.xml" Id="R918421bcbd5f41be" /><Relationship Type="http://schemas.openxmlformats.org/officeDocument/2006/relationships/worksheet" Target="/xl/worksheets/sheet26.xml" Id="R94df5cca4d4e4231" /></Relationships>
</file>

<file path=xl/drawings/_rels/drawing1.xml.rels>&#65279;<?xml version="1.0" encoding="utf-8"?><Relationships xmlns="http://schemas.openxmlformats.org/package/2006/relationships"><Relationship Type="http://schemas.openxmlformats.org/officeDocument/2006/relationships/chart" Target="/xl/drawings/charts/chart1.xml" Id="R0da9b0180ed44b06"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da9b0180ed44b06"/>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59b59276eb049cf" /></Relationships>
</file>

<file path=xl/worksheets/_rels/sheet2.xml.rels>&#65279;<?xml version="1.0" encoding="utf-8"?><Relationships xmlns="http://schemas.openxmlformats.org/package/2006/relationships"><Relationship Type="http://schemas.openxmlformats.org/officeDocument/2006/relationships/table" Target="/xl/tables/table2.xml" Id="R9aa038fa66ab4d04" /></Relationships>
</file>

<file path=xl/worksheets/_rels/sheet3.xml.rels>&#65279;<?xml version="1.0" encoding="utf-8"?><Relationships xmlns="http://schemas.openxmlformats.org/package/2006/relationships"><Relationship Type="http://schemas.openxmlformats.org/officeDocument/2006/relationships/drawing" Target="/xl/drawings/drawing1.xml" Id="Rb28ec6936b1f4807" /></Relationships>
</file>

<file path=xl/worksheets/_rels/sheet4.xml.rels>&#65279;<?xml version="1.0" encoding="utf-8"?><Relationships xmlns="http://schemas.openxmlformats.org/package/2006/relationships"><Relationship Type="http://schemas.openxmlformats.org/officeDocument/2006/relationships/table" Target="/xl/tables/table3.xml" Id="R717a36596f2a4da3" /></Relationships>
</file>

<file path=xl/worksheets/_rels/sheet5.xml.rels>&#65279;<?xml version="1.0" encoding="utf-8"?><Relationships xmlns="http://schemas.openxmlformats.org/package/2006/relationships"><Relationship Type="http://schemas.openxmlformats.org/officeDocument/2006/relationships/table" Target="/xl/tables/table4.xml" Id="R549db402b5864808" /></Relationships>
</file>

<file path=xl/worksheets/_rels/sheet6.xml.rels>&#65279;<?xml version="1.0" encoding="utf-8"?><Relationships xmlns="http://schemas.openxmlformats.org/package/2006/relationships"><Relationship Type="http://schemas.openxmlformats.org/officeDocument/2006/relationships/table" Target="/xl/tables/table5.xml" Id="R3930ddde28a24bfb" /></Relationships>
</file>

<file path=xl/worksheets/_rels/sheet7.xml.rels>&#65279;<?xml version="1.0" encoding="utf-8"?><Relationships xmlns="http://schemas.openxmlformats.org/package/2006/relationships"><Relationship Type="http://schemas.openxmlformats.org/officeDocument/2006/relationships/table" Target="/xl/tables/table6.xml" Id="R584f7b31004f40c5" /></Relationships>
</file>

<file path=xl/worksheets/_rels/sheet9.xml.rels>&#65279;<?xml version="1.0" encoding="utf-8"?><Relationships xmlns="http://schemas.openxmlformats.org/package/2006/relationships"><Relationship Type="http://schemas.openxmlformats.org/officeDocument/2006/relationships/table" Target="/xl/tables/table7.xml" Id="R2ea8cc55bf314a51" /></Relationships>
</file>

<file path=xl/worksheets/_rels/sheet10.xml.rels>&#65279;<?xml version="1.0" encoding="utf-8"?><Relationships xmlns="http://schemas.openxmlformats.org/package/2006/relationships"><Relationship Type="http://schemas.openxmlformats.org/officeDocument/2006/relationships/table" Target="/xl/tables/table8.xml" Id="Rbe592b1b10334e95" /></Relationships>
</file>

<file path=xl/worksheets/_rels/sheet11.xml.rels>&#65279;<?xml version="1.0" encoding="utf-8"?><Relationships xmlns="http://schemas.openxmlformats.org/package/2006/relationships"><Relationship Type="http://schemas.openxmlformats.org/officeDocument/2006/relationships/table" Target="/xl/tables/table9.xml" Id="Ra1990412350c4d1b" /></Relationships>
</file>

<file path=xl/worksheets/_rels/sheet13.xml.rels>&#65279;<?xml version="1.0" encoding="utf-8"?><Relationships xmlns="http://schemas.openxmlformats.org/package/2006/relationships"><Relationship Type="http://schemas.openxmlformats.org/officeDocument/2006/relationships/table" Target="/xl/tables/table10.xml" Id="Rb91d254206084a52" /></Relationships>
</file>

<file path=xl/worksheets/_rels/sheet14.xml.rels>&#65279;<?xml version="1.0" encoding="utf-8"?><Relationships xmlns="http://schemas.openxmlformats.org/package/2006/relationships"><Relationship Type="http://schemas.openxmlformats.org/officeDocument/2006/relationships/table" Target="/xl/tables/table11.xml" Id="R2d100db2b947426e" /></Relationships>
</file>

<file path=xl/worksheets/_rels/sheet15.xml.rels>&#65279;<?xml version="1.0" encoding="utf-8"?><Relationships xmlns="http://schemas.openxmlformats.org/package/2006/relationships"><Relationship Type="http://schemas.openxmlformats.org/officeDocument/2006/relationships/table" Target="/xl/tables/table12.xml" Id="Rb27424c7a7cc40fd" /></Relationships>
</file>

<file path=xl/worksheets/_rels/sheet16.xml.rels>&#65279;<?xml version="1.0" encoding="utf-8"?><Relationships xmlns="http://schemas.openxmlformats.org/package/2006/relationships"><Relationship Type="http://schemas.openxmlformats.org/officeDocument/2006/relationships/table" Target="/xl/tables/table13.xml" Id="R1bef50b2a19a4778"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759b59276eb049c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9aa038fa66ab4d0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285</x:v>
      </x:c>
      <x:c r="D6" s="133" t="inlineStr">
        <x:is>
          <x:t xml:space="preserve">G0A — Corporate platform architecture ready</x:t>
        </x:is>
      </x:c>
      <x:c r="E6" s="32" t="str">
        <x:f>'03 Launch Gates'!D20</x:f>
        <x:v>Completed</x:v>
      </x:c>
      <x:c r="G6" t="inlineStr">
        <x:is>
          <x:t xml:space="preserve">UI Tasks Complete</x:t>
        </x:is>
      </x:c>
      <x:c r="H6" t="n">
        <x:f>SUM(B36:B46)</x:f>
        <x:v>63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0.776566757493188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0.8072727272727273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16</x:v>
      </x:c>
      <x:c r="C38" s="133" t="n">
        <x:f>COUNTIFS('01 Master Plan'!C$5:C$383,A38,'01 Master Plan'!H$5:H$383,"In Progress")</x:f>
        <x:v>0</x:v>
      </x:c>
      <x:c r="D38" s="133" t="n">
        <x:f>COUNTIFS('01 Master Plan'!C$5:C$383,A38,'01 Master Plan'!H$5:H$383,"Not Started")</x:f>
        <x:v>1</x:v>
      </x:c>
      <x:c r="E38" s="133" t="n">
        <x:f>COUNTIFS('01 Master Plan'!C$5:C$383,A38,'01 Master Plan'!H$5:H$383,"Blocked")</x:f>
        <x:v>0</x:v>
      </x:c>
      <x:c r="F38" s="133" t="n">
        <x:f>COUNTIFS('01 Master Plan'!C$5:C$383,A38,'01 Master Plan'!H$5:H$383,"Deferred")</x:f>
        <x:v>0</x:v>
      </x:c>
      <x:c r="G38" s="255" t="n">
        <x:f>IFERROR(B38/(B38+C38+D38+E38),0)</x:f>
        <x:v>0.9411764705882353</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28ec6936b1f4807"/>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717a36596f2a4da3"/>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49db402b5864808"/>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3930ddde28a24bfb"/>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584f7b31004f40c5"/>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ea8cc55bf314a51"/>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e592b1b10334e9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1990412350c4d1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13C-16 complete. Shared component foundation now includes reusable ExecutiveWorkflowStepper, ExecutiveIntelligenceCard, and ExecutivePageHeader plus the standardized executive component contracts. Next: 13C-17 Component regression review.</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91d254206084a5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d100db2b947426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27424c7a7cc40f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1bef50b2a19a4778"/>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