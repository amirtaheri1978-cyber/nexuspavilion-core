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7a92d63b90141df" /></Relationships>
</file>

<file path=xl/workbook.xml><?xml version="1.0" encoding="utf-8"?>
<x:workbook xmlns:x="http://schemas.openxmlformats.org/spreadsheetml/2006/main">
  <x:sheets>
    <x:sheet xmlns:r="http://schemas.openxmlformats.org/officeDocument/2006/relationships" name="01 Master Plan" sheetId="1" r:id="Ref3acefd32cc4b96"/>
    <x:sheet xmlns:r="http://schemas.openxmlformats.org/officeDocument/2006/relationships" name="03 Launch Gates" sheetId="2" r:id="R42bee3eff9d6443f"/>
    <x:sheet xmlns:r="http://schemas.openxmlformats.org/officeDocument/2006/relationships" name="00 Dashboard" sheetId="3" r:id="R79415c16c4af4694"/>
    <x:sheet xmlns:r="http://schemas.openxmlformats.org/officeDocument/2006/relationships" name="04 Cursor Tasks" sheetId="4" r:id="R8c3d23b58ba74e62"/>
    <x:sheet xmlns:r="http://schemas.openxmlformats.org/officeDocument/2006/relationships" name="05 UAT Matrix" sheetId="5" r:id="Re2e6eebace2247af"/>
    <x:sheet xmlns:r="http://schemas.openxmlformats.org/officeDocument/2006/relationships" name="06 Security Matrix" sheetId="6" r:id="R82caaf60347a43c5"/>
    <x:sheet xmlns:r="http://schemas.openxmlformats.org/officeDocument/2006/relationships" name="07 Risks" sheetId="7" r:id="R5ad230fb85c340f5"/>
    <x:sheet xmlns:r="http://schemas.openxmlformats.org/officeDocument/2006/relationships" name="08 Architecture" sheetId="8" r:id="Rbc69c15b13e547c5"/>
    <x:sheet xmlns:r="http://schemas.openxmlformats.org/officeDocument/2006/relationships" name="09 Release Checklist" sheetId="9" r:id="R5f79edaa8097424e"/>
    <x:sheet xmlns:r="http://schemas.openxmlformats.org/officeDocument/2006/relationships" name="10 Change Log" sheetId="10" r:id="R58b77aca225c45d1"/>
    <x:sheet xmlns:r="http://schemas.openxmlformats.org/officeDocument/2006/relationships" name="11 Scope &amp; Roadmap" sheetId="11" r:id="R01334c80dc264837"/>
    <x:sheet xmlns:r="http://schemas.openxmlformats.org/officeDocument/2006/relationships" name="12 How to Use" sheetId="12" r:id="R21227f1f2e834d0c"/>
    <x:sheet xmlns:r="http://schemas.openxmlformats.org/officeDocument/2006/relationships" name="13 UI Program" sheetId="13" r:id="R916870ce5b5b4ec6"/>
    <x:sheet xmlns:r="http://schemas.openxmlformats.org/officeDocument/2006/relationships" name="14 UI Scorecard" sheetId="14" r:id="Rf82e5968e1134cd4"/>
    <x:sheet xmlns:r="http://schemas.openxmlformats.org/officeDocument/2006/relationships" name="15 Motion Guidance" sheetId="15" r:id="R3841f0ad449347a3"/>
    <x:sheet xmlns:r="http://schemas.openxmlformats.org/officeDocument/2006/relationships" name="16 Design Standards" sheetId="16" r:id="R4feab14d02c74616"/>
    <x:sheet xmlns:r="http://schemas.openxmlformats.org/officeDocument/2006/relationships" name="17 Corporate Platform" sheetId="17" r:id="Rbfe3a85d54e44eb8"/>
    <x:sheet xmlns:r="http://schemas.openxmlformats.org/officeDocument/2006/relationships" name="18 Analytics Reuse Map" sheetId="18" r:id="Rb9bb5382ead74eeb"/>
    <x:sheet xmlns:r="http://schemas.openxmlformats.org/officeDocument/2006/relationships" name="19 Executive Insights Discovery" sheetId="19" r:id="R7879d43493444509"/>
    <x:sheet xmlns:r="http://schemas.openxmlformats.org/officeDocument/2006/relationships" name="20 Procurement Insights Discovery" sheetId="20" r:id="R2baf9c03cb6a408c"/>
    <x:sheet xmlns:r="http://schemas.openxmlformats.org/officeDocument/2006/relationships" name="21 Commercial Insights Discovery" sheetId="21" r:id="R3446bba4c0994ea7"/>
    <x:sheet xmlns:r="http://schemas.openxmlformats.org/officeDocument/2006/relationships" name="22 Project Insights Discovery" sheetId="22" r:id="R0b496d5891244c32"/>
    <x:sheet xmlns:r="http://schemas.openxmlformats.org/officeDocument/2006/relationships" name="23 Performance Discovery" sheetId="23" r:id="R8d8a195fddaa46f3"/>
    <x:sheet xmlns:r="http://schemas.openxmlformats.org/officeDocument/2006/relationships" name="24 Risk Compliance Discovery" sheetId="24" r:id="R9f530bd7528f4185"/>
    <x:sheet xmlns:r="http://schemas.openxmlformats.org/officeDocument/2006/relationships" name="25 Commercial Handoff" sheetId="25" r:id="R950ef3fa979140d3"/>
    <x:sheet xmlns:r="http://schemas.openxmlformats.org/officeDocument/2006/relationships" name="26 RFQ Governance" sheetId="26" r:id="R5e62f6581032497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07ee09b23114759" /><Relationship Type="http://schemas.openxmlformats.org/officeDocument/2006/relationships/theme" Target="/xl/theme/theme1.xml" Id="R3dff0b272da04f26" /><Relationship Type="http://schemas.openxmlformats.org/officeDocument/2006/relationships/sharedStrings" Target="/xl/sharedStrings.xml" Id="Ra16c70f611a744ff" /><Relationship Type="http://schemas.openxmlformats.org/officeDocument/2006/relationships/worksheet" Target="/xl/worksheets/sheet1.xml" Id="Ref3acefd32cc4b96" /><Relationship Type="http://schemas.openxmlformats.org/officeDocument/2006/relationships/worksheet" Target="/xl/worksheets/sheet2.xml" Id="R42bee3eff9d6443f" /><Relationship Type="http://schemas.openxmlformats.org/officeDocument/2006/relationships/worksheet" Target="/xl/worksheets/sheet3.xml" Id="R79415c16c4af4694" /><Relationship Type="http://schemas.openxmlformats.org/officeDocument/2006/relationships/worksheet" Target="/xl/worksheets/sheet4.xml" Id="R8c3d23b58ba74e62" /><Relationship Type="http://schemas.openxmlformats.org/officeDocument/2006/relationships/worksheet" Target="/xl/worksheets/sheet5.xml" Id="Re2e6eebace2247af" /><Relationship Type="http://schemas.openxmlformats.org/officeDocument/2006/relationships/worksheet" Target="/xl/worksheets/sheet6.xml" Id="R82caaf60347a43c5" /><Relationship Type="http://schemas.openxmlformats.org/officeDocument/2006/relationships/worksheet" Target="/xl/worksheets/sheet7.xml" Id="R5ad230fb85c340f5" /><Relationship Type="http://schemas.openxmlformats.org/officeDocument/2006/relationships/worksheet" Target="/xl/worksheets/sheet8.xml" Id="Rbc69c15b13e547c5" /><Relationship Type="http://schemas.openxmlformats.org/officeDocument/2006/relationships/worksheet" Target="/xl/worksheets/sheet9.xml" Id="R5f79edaa8097424e" /><Relationship Type="http://schemas.openxmlformats.org/officeDocument/2006/relationships/worksheet" Target="/xl/worksheets/sheet10.xml" Id="R58b77aca225c45d1" /><Relationship Type="http://schemas.openxmlformats.org/officeDocument/2006/relationships/worksheet" Target="/xl/worksheets/sheet11.xml" Id="R01334c80dc264837" /><Relationship Type="http://schemas.openxmlformats.org/officeDocument/2006/relationships/worksheet" Target="/xl/worksheets/sheet12.xml" Id="R21227f1f2e834d0c" /><Relationship Type="http://schemas.openxmlformats.org/officeDocument/2006/relationships/worksheet" Target="/xl/worksheets/sheet13.xml" Id="R916870ce5b5b4ec6" /><Relationship Type="http://schemas.openxmlformats.org/officeDocument/2006/relationships/worksheet" Target="/xl/worksheets/sheet14.xml" Id="Rf82e5968e1134cd4" /><Relationship Type="http://schemas.openxmlformats.org/officeDocument/2006/relationships/worksheet" Target="/xl/worksheets/sheet15.xml" Id="R3841f0ad449347a3" /><Relationship Type="http://schemas.openxmlformats.org/officeDocument/2006/relationships/worksheet" Target="/xl/worksheets/sheet16.xml" Id="R4feab14d02c74616" /><Relationship Type="http://schemas.openxmlformats.org/officeDocument/2006/relationships/worksheet" Target="/xl/worksheets/sheet17.xml" Id="Rbfe3a85d54e44eb8" /><Relationship Type="http://schemas.openxmlformats.org/officeDocument/2006/relationships/worksheet" Target="/xl/worksheets/sheet18.xml" Id="Rb9bb5382ead74eeb" /><Relationship Type="http://schemas.openxmlformats.org/officeDocument/2006/relationships/worksheet" Target="/xl/worksheets/sheet19.xml" Id="R7879d43493444509" /><Relationship Type="http://schemas.openxmlformats.org/officeDocument/2006/relationships/worksheet" Target="/xl/worksheets/sheet20.xml" Id="R2baf9c03cb6a408c" /><Relationship Type="http://schemas.openxmlformats.org/officeDocument/2006/relationships/worksheet" Target="/xl/worksheets/sheet21.xml" Id="R3446bba4c0994ea7" /><Relationship Type="http://schemas.openxmlformats.org/officeDocument/2006/relationships/worksheet" Target="/xl/worksheets/sheet22.xml" Id="R0b496d5891244c32" /><Relationship Type="http://schemas.openxmlformats.org/officeDocument/2006/relationships/worksheet" Target="/xl/worksheets/sheet23.xml" Id="R8d8a195fddaa46f3" /><Relationship Type="http://schemas.openxmlformats.org/officeDocument/2006/relationships/worksheet" Target="/xl/worksheets/sheet24.xml" Id="R9f530bd7528f4185" /><Relationship Type="http://schemas.openxmlformats.org/officeDocument/2006/relationships/worksheet" Target="/xl/worksheets/sheet25.xml" Id="R950ef3fa979140d3" /><Relationship Type="http://schemas.openxmlformats.org/officeDocument/2006/relationships/worksheet" Target="/xl/worksheets/sheet26.xml" Id="R5e62f65810324973" /></Relationships>
</file>

<file path=xl/drawings/_rels/drawing1.xml.rels>&#65279;<?xml version="1.0" encoding="utf-8"?><Relationships xmlns="http://schemas.openxmlformats.org/package/2006/relationships"><Relationship Type="http://schemas.openxmlformats.org/officeDocument/2006/relationships/chart" Target="/xl/drawings/charts/chart1.xml" Id="R9c633d36fd9843f4"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c633d36fd9843f4"/>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87e75e47cb9453c" /></Relationships>
</file>

<file path=xl/worksheets/_rels/sheet2.xml.rels>&#65279;<?xml version="1.0" encoding="utf-8"?><Relationships xmlns="http://schemas.openxmlformats.org/package/2006/relationships"><Relationship Type="http://schemas.openxmlformats.org/officeDocument/2006/relationships/table" Target="/xl/tables/table2.xml" Id="R89c293f367d943fe" /></Relationships>
</file>

<file path=xl/worksheets/_rels/sheet3.xml.rels>&#65279;<?xml version="1.0" encoding="utf-8"?><Relationships xmlns="http://schemas.openxmlformats.org/package/2006/relationships"><Relationship Type="http://schemas.openxmlformats.org/officeDocument/2006/relationships/drawing" Target="/xl/drawings/drawing1.xml" Id="Rd023893066594d2e" /></Relationships>
</file>

<file path=xl/worksheets/_rels/sheet4.xml.rels>&#65279;<?xml version="1.0" encoding="utf-8"?><Relationships xmlns="http://schemas.openxmlformats.org/package/2006/relationships"><Relationship Type="http://schemas.openxmlformats.org/officeDocument/2006/relationships/table" Target="/xl/tables/table3.xml" Id="Re568561ea28b4329" /></Relationships>
</file>

<file path=xl/worksheets/_rels/sheet5.xml.rels>&#65279;<?xml version="1.0" encoding="utf-8"?><Relationships xmlns="http://schemas.openxmlformats.org/package/2006/relationships"><Relationship Type="http://schemas.openxmlformats.org/officeDocument/2006/relationships/table" Target="/xl/tables/table4.xml" Id="Racae1238ad804469" /></Relationships>
</file>

<file path=xl/worksheets/_rels/sheet6.xml.rels>&#65279;<?xml version="1.0" encoding="utf-8"?><Relationships xmlns="http://schemas.openxmlformats.org/package/2006/relationships"><Relationship Type="http://schemas.openxmlformats.org/officeDocument/2006/relationships/table" Target="/xl/tables/table5.xml" Id="R54cdcb5331f241f3" /></Relationships>
</file>

<file path=xl/worksheets/_rels/sheet7.xml.rels>&#65279;<?xml version="1.0" encoding="utf-8"?><Relationships xmlns="http://schemas.openxmlformats.org/package/2006/relationships"><Relationship Type="http://schemas.openxmlformats.org/officeDocument/2006/relationships/table" Target="/xl/tables/table6.xml" Id="R1e7d2309f4344647" /></Relationships>
</file>

<file path=xl/worksheets/_rels/sheet9.xml.rels>&#65279;<?xml version="1.0" encoding="utf-8"?><Relationships xmlns="http://schemas.openxmlformats.org/package/2006/relationships"><Relationship Type="http://schemas.openxmlformats.org/officeDocument/2006/relationships/table" Target="/xl/tables/table7.xml" Id="Rd0d7139038a04de9" /></Relationships>
</file>

<file path=xl/worksheets/_rels/sheet10.xml.rels>&#65279;<?xml version="1.0" encoding="utf-8"?><Relationships xmlns="http://schemas.openxmlformats.org/package/2006/relationships"><Relationship Type="http://schemas.openxmlformats.org/officeDocument/2006/relationships/table" Target="/xl/tables/table8.xml" Id="R8b7303cbb69446ed" /></Relationships>
</file>

<file path=xl/worksheets/_rels/sheet11.xml.rels>&#65279;<?xml version="1.0" encoding="utf-8"?><Relationships xmlns="http://schemas.openxmlformats.org/package/2006/relationships"><Relationship Type="http://schemas.openxmlformats.org/officeDocument/2006/relationships/table" Target="/xl/tables/table9.xml" Id="R7f38d1d7674d4330" /></Relationships>
</file>

<file path=xl/worksheets/_rels/sheet13.xml.rels>&#65279;<?xml version="1.0" encoding="utf-8"?><Relationships xmlns="http://schemas.openxmlformats.org/package/2006/relationships"><Relationship Type="http://schemas.openxmlformats.org/officeDocument/2006/relationships/table" Target="/xl/tables/table10.xml" Id="R0b16ba7bb9014fc3" /></Relationships>
</file>

<file path=xl/worksheets/_rels/sheet14.xml.rels>&#65279;<?xml version="1.0" encoding="utf-8"?><Relationships xmlns="http://schemas.openxmlformats.org/package/2006/relationships"><Relationship Type="http://schemas.openxmlformats.org/officeDocument/2006/relationships/table" Target="/xl/tables/table11.xml" Id="R2f2e3825997c4582" /></Relationships>
</file>

<file path=xl/worksheets/_rels/sheet15.xml.rels>&#65279;<?xml version="1.0" encoding="utf-8"?><Relationships xmlns="http://schemas.openxmlformats.org/package/2006/relationships"><Relationship Type="http://schemas.openxmlformats.org/officeDocument/2006/relationships/table" Target="/xl/tables/table12.xml" Id="R8687fe0d04bc4a66" /></Relationships>
</file>

<file path=xl/worksheets/_rels/sheet16.xml.rels>&#65279;<?xml version="1.0" encoding="utf-8"?><Relationships xmlns="http://schemas.openxmlformats.org/package/2006/relationships"><Relationship Type="http://schemas.openxmlformats.org/officeDocument/2006/relationships/table" Target="/xl/tables/table13.xml" Id="Rf59156fc89904691"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087e75e47cb9453c"/>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89c293f367d943fe"/>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297</x:v>
      </x:c>
      <x:c r="D6" s="133" t="inlineStr">
        <x:is>
          <x:t xml:space="preserve">G0A — Corporate platform architecture ready</x:t>
        </x:is>
      </x:c>
      <x:c r="E6" s="32" t="str">
        <x:f>'03 Launch Gates'!D20</x:f>
        <x:v>Completed</x:v>
      </x:c>
      <x:c r="G6" t="inlineStr">
        <x:is>
          <x:t xml:space="preserve">UI Tasks Complete</x:t>
        </x:is>
      </x:c>
      <x:c r="H6" t="n">
        <x:f>SUM(B36:B46)</x:f>
        <x:v>75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4</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0.8092643051771117</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1</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3</x:v>
      </x:c>
      <x:c r="C41" s="133" t="n">
        <x:f>COUNTIFS('01 Master Plan'!C$5:C$383,A41,'01 Master Plan'!H$5:H$383,"In Progress")</x:f>
        <x:v>0</x:v>
      </x:c>
      <x:c r="D41" s="133" t="n">
        <x:f>COUNTIFS('01 Master Plan'!C$5:C$383,A41,'01 Master Plan'!H$5:H$383,"Not Started")</x:f>
        <x:v>8</x:v>
      </x:c>
      <x:c r="E41" s="133" t="n">
        <x:f>COUNTIFS('01 Master Plan'!C$5:C$383,A41,'01 Master Plan'!H$5:H$383,"Blocked")</x:f>
        <x:v>2</x:v>
      </x:c>
      <x:c r="F41" s="133" t="n">
        <x:f>COUNTIFS('01 Master Plan'!C$5:C$383,A41,'01 Master Plan'!H$5:H$383,"Deferred")</x:f>
        <x:v>0</x:v>
      </x:c>
      <x:c r="G41" s="255" t="n">
        <x:f>IFERROR(B41/(B41+C41+D41+E41),0)</x:f>
        <x:v>0.23076923076923078</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d023893066594d2e"/>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e568561ea28b4329"/>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acae1238ad804469"/>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54cdcb5331f241f3"/>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1e7d2309f4344647"/>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d0d7139038a04de9"/>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8b7303cbb69446ed"/>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7f38d1d7674d4330"/>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U4 / Phase 13E IN PROGRESS — 13E-01, 13E-04 and 13E-05 PASS/CLOSED. 13E-02 and 13E-03 remain BLOCKED/Open because RFQ create/publish flows expose no stable completion surface without changing navigation/state semantics. 13D-04 and 13D-05 remain BLOCKED/Open under their prior unblock criteria. 13E-05 published commit 696c0f917a820bd0bf7b69d533ab258a7e24143f with exactly two authorized RFI files. Next executable canonical task: 13E-06 Implement clarification/addendum published feedback.</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In Progress</x:v>
      </x:c>
      <x:c r="J9" s="133" t="str">
        <x:v>U4 / Phase 13E IN PROGRESS — 13E-01, 13E-04 and 13E-05 PASS/CLOSED. 13E-02 and 13E-03 remain BLOCKED/Open under their documented stable-success-surface criteria. 13D-04 and 13D-05 remain BLOCKED/Open under their prior unblock criteria. 13E-05 published commit 696c0f917a820bd0bf7b69d533ab258a7e24143f and reused ExecutiveCompletionMoment without changing RFI submit/API, route, schema, lifecycle, authorization or Workspace Membership behavior. Next executable canonical task: 13E-06 Implement clarification/addendum published feedback.</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0b16ba7bb9014fc3"/>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2f2e3825997c4582"/>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8687fe0d04bc4a66"/>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f59156fc89904691"/>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