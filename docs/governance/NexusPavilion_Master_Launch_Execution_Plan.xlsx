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08bd6ff43784b7c" /></Relationships>
</file>

<file path=xl/workbook.xml><?xml version="1.0" encoding="utf-8"?>
<x:workbook xmlns:x="http://schemas.openxmlformats.org/spreadsheetml/2006/main">
  <x:sheets>
    <x:sheet xmlns:r="http://schemas.openxmlformats.org/officeDocument/2006/relationships" name="01 Master Plan" sheetId="1" r:id="Rf9d3905d1e124967"/>
    <x:sheet xmlns:r="http://schemas.openxmlformats.org/officeDocument/2006/relationships" name="03 Launch Gates" sheetId="2" r:id="Rce28489b472b44e7"/>
    <x:sheet xmlns:r="http://schemas.openxmlformats.org/officeDocument/2006/relationships" name="00 Dashboard" sheetId="3" r:id="Rec817c5f1bfb444c"/>
    <x:sheet xmlns:r="http://schemas.openxmlformats.org/officeDocument/2006/relationships" name="04 Cursor Tasks" sheetId="4" r:id="R1b7c35a95dae4803"/>
    <x:sheet xmlns:r="http://schemas.openxmlformats.org/officeDocument/2006/relationships" name="05 UAT Matrix" sheetId="5" r:id="R74e67ab052734c1c"/>
    <x:sheet xmlns:r="http://schemas.openxmlformats.org/officeDocument/2006/relationships" name="06 Security Matrix" sheetId="6" r:id="Rc8c5b44ad51f4321"/>
    <x:sheet xmlns:r="http://schemas.openxmlformats.org/officeDocument/2006/relationships" name="07 Risks" sheetId="7" r:id="Rd81568f8d8d04a60"/>
    <x:sheet xmlns:r="http://schemas.openxmlformats.org/officeDocument/2006/relationships" name="08 Architecture" sheetId="8" r:id="R59f4da0d9bfd43b5"/>
    <x:sheet xmlns:r="http://schemas.openxmlformats.org/officeDocument/2006/relationships" name="09 Release Checklist" sheetId="9" r:id="R8e26d7de38a84d1c"/>
    <x:sheet xmlns:r="http://schemas.openxmlformats.org/officeDocument/2006/relationships" name="10 Change Log" sheetId="10" r:id="R55536086090a4642"/>
    <x:sheet xmlns:r="http://schemas.openxmlformats.org/officeDocument/2006/relationships" name="11 Scope &amp; Roadmap" sheetId="11" r:id="R88d94df6cf7a4640"/>
    <x:sheet xmlns:r="http://schemas.openxmlformats.org/officeDocument/2006/relationships" name="12 How to Use" sheetId="12" r:id="Re4a4f725722643a7"/>
    <x:sheet xmlns:r="http://schemas.openxmlformats.org/officeDocument/2006/relationships" name="13 UI Program" sheetId="13" r:id="Rd0a0562f143b4fc5"/>
    <x:sheet xmlns:r="http://schemas.openxmlformats.org/officeDocument/2006/relationships" name="14 UI Scorecard" sheetId="14" r:id="Ra6e9f1fc73414452"/>
    <x:sheet xmlns:r="http://schemas.openxmlformats.org/officeDocument/2006/relationships" name="15 Motion Guidance" sheetId="15" r:id="Rc48cfabcef364744"/>
    <x:sheet xmlns:r="http://schemas.openxmlformats.org/officeDocument/2006/relationships" name="16 Design Standards" sheetId="16" r:id="R0d353d4156e64f54"/>
    <x:sheet xmlns:r="http://schemas.openxmlformats.org/officeDocument/2006/relationships" name="17 Corporate Platform" sheetId="17" r:id="R52cb536db00e4e55"/>
    <x:sheet xmlns:r="http://schemas.openxmlformats.org/officeDocument/2006/relationships" name="18 Analytics Reuse Map" sheetId="18" r:id="R4cf38b0d767b4279"/>
    <x:sheet xmlns:r="http://schemas.openxmlformats.org/officeDocument/2006/relationships" name="19 Executive Insights Discovery" sheetId="19" r:id="Rf1f58c07e57145f6"/>
    <x:sheet xmlns:r="http://schemas.openxmlformats.org/officeDocument/2006/relationships" name="20 Procurement Insights Discovery" sheetId="20" r:id="Rab515a8824d34529"/>
    <x:sheet xmlns:r="http://schemas.openxmlformats.org/officeDocument/2006/relationships" name="21 Commercial Insights Discovery" sheetId="21" r:id="R22d9fd9353904393"/>
    <x:sheet xmlns:r="http://schemas.openxmlformats.org/officeDocument/2006/relationships" name="22 Project Insights Discovery" sheetId="22" r:id="R2a16d69cd4a141f5"/>
    <x:sheet xmlns:r="http://schemas.openxmlformats.org/officeDocument/2006/relationships" name="23 Performance Discovery" sheetId="23" r:id="Rfe0bc04efac342a5"/>
    <x:sheet xmlns:r="http://schemas.openxmlformats.org/officeDocument/2006/relationships" name="24 Risk Compliance Discovery" sheetId="24" r:id="R6373cdf1db9248c8"/>
    <x:sheet xmlns:r="http://schemas.openxmlformats.org/officeDocument/2006/relationships" name="25 Commercial Handoff" sheetId="25" r:id="Rb1d4f642120448b9"/>
    <x:sheet xmlns:r="http://schemas.openxmlformats.org/officeDocument/2006/relationships" name="26 RFQ Governance" sheetId="26" r:id="Re28f4cff65a1440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7f7996a059d41d9" /><Relationship Type="http://schemas.openxmlformats.org/officeDocument/2006/relationships/theme" Target="/xl/theme/theme1.xml" Id="Rbdfb3fb7027b4fc4" /><Relationship Type="http://schemas.openxmlformats.org/officeDocument/2006/relationships/sharedStrings" Target="/xl/sharedStrings.xml" Id="Rfdbaf5bb2bbf4a76" /><Relationship Type="http://schemas.openxmlformats.org/officeDocument/2006/relationships/worksheet" Target="/xl/worksheets/sheet1.xml" Id="Rf9d3905d1e124967" /><Relationship Type="http://schemas.openxmlformats.org/officeDocument/2006/relationships/worksheet" Target="/xl/worksheets/sheet2.xml" Id="Rce28489b472b44e7" /><Relationship Type="http://schemas.openxmlformats.org/officeDocument/2006/relationships/worksheet" Target="/xl/worksheets/sheet3.xml" Id="Rec817c5f1bfb444c" /><Relationship Type="http://schemas.openxmlformats.org/officeDocument/2006/relationships/worksheet" Target="/xl/worksheets/sheet4.xml" Id="R1b7c35a95dae4803" /><Relationship Type="http://schemas.openxmlformats.org/officeDocument/2006/relationships/worksheet" Target="/xl/worksheets/sheet5.xml" Id="R74e67ab052734c1c" /><Relationship Type="http://schemas.openxmlformats.org/officeDocument/2006/relationships/worksheet" Target="/xl/worksheets/sheet6.xml" Id="Rc8c5b44ad51f4321" /><Relationship Type="http://schemas.openxmlformats.org/officeDocument/2006/relationships/worksheet" Target="/xl/worksheets/sheet7.xml" Id="Rd81568f8d8d04a60" /><Relationship Type="http://schemas.openxmlformats.org/officeDocument/2006/relationships/worksheet" Target="/xl/worksheets/sheet8.xml" Id="R59f4da0d9bfd43b5" /><Relationship Type="http://schemas.openxmlformats.org/officeDocument/2006/relationships/worksheet" Target="/xl/worksheets/sheet9.xml" Id="R8e26d7de38a84d1c" /><Relationship Type="http://schemas.openxmlformats.org/officeDocument/2006/relationships/worksheet" Target="/xl/worksheets/sheet10.xml" Id="R55536086090a4642" /><Relationship Type="http://schemas.openxmlformats.org/officeDocument/2006/relationships/worksheet" Target="/xl/worksheets/sheet11.xml" Id="R88d94df6cf7a4640" /><Relationship Type="http://schemas.openxmlformats.org/officeDocument/2006/relationships/worksheet" Target="/xl/worksheets/sheet12.xml" Id="Re4a4f725722643a7" /><Relationship Type="http://schemas.openxmlformats.org/officeDocument/2006/relationships/worksheet" Target="/xl/worksheets/sheet13.xml" Id="Rd0a0562f143b4fc5" /><Relationship Type="http://schemas.openxmlformats.org/officeDocument/2006/relationships/worksheet" Target="/xl/worksheets/sheet14.xml" Id="Ra6e9f1fc73414452" /><Relationship Type="http://schemas.openxmlformats.org/officeDocument/2006/relationships/worksheet" Target="/xl/worksheets/sheet15.xml" Id="Rc48cfabcef364744" /><Relationship Type="http://schemas.openxmlformats.org/officeDocument/2006/relationships/worksheet" Target="/xl/worksheets/sheet16.xml" Id="R0d353d4156e64f54" /><Relationship Type="http://schemas.openxmlformats.org/officeDocument/2006/relationships/worksheet" Target="/xl/worksheets/sheet17.xml" Id="R52cb536db00e4e55" /><Relationship Type="http://schemas.openxmlformats.org/officeDocument/2006/relationships/worksheet" Target="/xl/worksheets/sheet18.xml" Id="R4cf38b0d767b4279" /><Relationship Type="http://schemas.openxmlformats.org/officeDocument/2006/relationships/worksheet" Target="/xl/worksheets/sheet19.xml" Id="Rf1f58c07e57145f6" /><Relationship Type="http://schemas.openxmlformats.org/officeDocument/2006/relationships/worksheet" Target="/xl/worksheets/sheet20.xml" Id="Rab515a8824d34529" /><Relationship Type="http://schemas.openxmlformats.org/officeDocument/2006/relationships/worksheet" Target="/xl/worksheets/sheet21.xml" Id="R22d9fd9353904393" /><Relationship Type="http://schemas.openxmlformats.org/officeDocument/2006/relationships/worksheet" Target="/xl/worksheets/sheet22.xml" Id="R2a16d69cd4a141f5" /><Relationship Type="http://schemas.openxmlformats.org/officeDocument/2006/relationships/worksheet" Target="/xl/worksheets/sheet23.xml" Id="Rfe0bc04efac342a5" /><Relationship Type="http://schemas.openxmlformats.org/officeDocument/2006/relationships/worksheet" Target="/xl/worksheets/sheet24.xml" Id="R6373cdf1db9248c8" /><Relationship Type="http://schemas.openxmlformats.org/officeDocument/2006/relationships/worksheet" Target="/xl/worksheets/sheet25.xml" Id="Rb1d4f642120448b9" /><Relationship Type="http://schemas.openxmlformats.org/officeDocument/2006/relationships/worksheet" Target="/xl/worksheets/sheet26.xml" Id="Re28f4cff65a14409" /></Relationships>
</file>

<file path=xl/drawings/_rels/drawing1.xml.rels>&#65279;<?xml version="1.0" encoding="utf-8"?><Relationships xmlns="http://schemas.openxmlformats.org/package/2006/relationships"><Relationship Type="http://schemas.openxmlformats.org/officeDocument/2006/relationships/chart" Target="/xl/drawings/charts/chart1.xml" Id="Rc48b216238d0458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8b216238d0458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3bb79f74f0a4065" /></Relationships>
</file>

<file path=xl/worksheets/_rels/sheet2.xml.rels>&#65279;<?xml version="1.0" encoding="utf-8"?><Relationships xmlns="http://schemas.openxmlformats.org/package/2006/relationships"><Relationship Type="http://schemas.openxmlformats.org/officeDocument/2006/relationships/table" Target="/xl/tables/table2.xml" Id="R4178f9549b9b4f3f" /></Relationships>
</file>

<file path=xl/worksheets/_rels/sheet3.xml.rels>&#65279;<?xml version="1.0" encoding="utf-8"?><Relationships xmlns="http://schemas.openxmlformats.org/package/2006/relationships"><Relationship Type="http://schemas.openxmlformats.org/officeDocument/2006/relationships/drawing" Target="/xl/drawings/drawing1.xml" Id="R715ddbf4b72647a3" /></Relationships>
</file>

<file path=xl/worksheets/_rels/sheet4.xml.rels>&#65279;<?xml version="1.0" encoding="utf-8"?><Relationships xmlns="http://schemas.openxmlformats.org/package/2006/relationships"><Relationship Type="http://schemas.openxmlformats.org/officeDocument/2006/relationships/table" Target="/xl/tables/table3.xml" Id="Rd35378de88ba452b" /></Relationships>
</file>

<file path=xl/worksheets/_rels/sheet5.xml.rels>&#65279;<?xml version="1.0" encoding="utf-8"?><Relationships xmlns="http://schemas.openxmlformats.org/package/2006/relationships"><Relationship Type="http://schemas.openxmlformats.org/officeDocument/2006/relationships/table" Target="/xl/tables/table4.xml" Id="Rff78865b21324131" /></Relationships>
</file>

<file path=xl/worksheets/_rels/sheet6.xml.rels>&#65279;<?xml version="1.0" encoding="utf-8"?><Relationships xmlns="http://schemas.openxmlformats.org/package/2006/relationships"><Relationship Type="http://schemas.openxmlformats.org/officeDocument/2006/relationships/table" Target="/xl/tables/table5.xml" Id="R732884a50d20495f" /></Relationships>
</file>

<file path=xl/worksheets/_rels/sheet7.xml.rels>&#65279;<?xml version="1.0" encoding="utf-8"?><Relationships xmlns="http://schemas.openxmlformats.org/package/2006/relationships"><Relationship Type="http://schemas.openxmlformats.org/officeDocument/2006/relationships/table" Target="/xl/tables/table6.xml" Id="Rc24f3b7bf2de42fb" /></Relationships>
</file>

<file path=xl/worksheets/_rels/sheet9.xml.rels>&#65279;<?xml version="1.0" encoding="utf-8"?><Relationships xmlns="http://schemas.openxmlformats.org/package/2006/relationships"><Relationship Type="http://schemas.openxmlformats.org/officeDocument/2006/relationships/table" Target="/xl/tables/table7.xml" Id="R43765693af6a4be0" /></Relationships>
</file>

<file path=xl/worksheets/_rels/sheet10.xml.rels>&#65279;<?xml version="1.0" encoding="utf-8"?><Relationships xmlns="http://schemas.openxmlformats.org/package/2006/relationships"><Relationship Type="http://schemas.openxmlformats.org/officeDocument/2006/relationships/table" Target="/xl/tables/table8.xml" Id="R75e703d16e994c13" /></Relationships>
</file>

<file path=xl/worksheets/_rels/sheet11.xml.rels>&#65279;<?xml version="1.0" encoding="utf-8"?><Relationships xmlns="http://schemas.openxmlformats.org/package/2006/relationships"><Relationship Type="http://schemas.openxmlformats.org/officeDocument/2006/relationships/table" Target="/xl/tables/table9.xml" Id="Rae78d09b87104dde" /></Relationships>
</file>

<file path=xl/worksheets/_rels/sheet13.xml.rels>&#65279;<?xml version="1.0" encoding="utf-8"?><Relationships xmlns="http://schemas.openxmlformats.org/package/2006/relationships"><Relationship Type="http://schemas.openxmlformats.org/officeDocument/2006/relationships/table" Target="/xl/tables/table10.xml" Id="R84bc17a770ed4e29" /></Relationships>
</file>

<file path=xl/worksheets/_rels/sheet14.xml.rels>&#65279;<?xml version="1.0" encoding="utf-8"?><Relationships xmlns="http://schemas.openxmlformats.org/package/2006/relationships"><Relationship Type="http://schemas.openxmlformats.org/officeDocument/2006/relationships/table" Target="/xl/tables/table11.xml" Id="Rf252daf45a4d45eb" /></Relationships>
</file>

<file path=xl/worksheets/_rels/sheet15.xml.rels>&#65279;<?xml version="1.0" encoding="utf-8"?><Relationships xmlns="http://schemas.openxmlformats.org/package/2006/relationships"><Relationship Type="http://schemas.openxmlformats.org/officeDocument/2006/relationships/table" Target="/xl/tables/table12.xml" Id="R19c5cef864ee4b15" /></Relationships>
</file>

<file path=xl/worksheets/_rels/sheet16.xml.rels>&#65279;<?xml version="1.0" encoding="utf-8"?><Relationships xmlns="http://schemas.openxmlformats.org/package/2006/relationships"><Relationship Type="http://schemas.openxmlformats.org/officeDocument/2006/relationships/table" Target="/xl/tables/table13.xml" Id="Rf605139be3c44592"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Blocked</x:v>
      </x:c>
      <x:c r="I324" s="133" t="str">
        <x:v>Project Owner / Product / Engineering</x:v>
      </x:c>
      <x:c r="J324" s="133" t="str"/>
      <x:c r="K324" s="133" t="inlineStr">
        <x:is>
          <x:t xml:space="preserve">13G-10</x:t>
        </x:is>
      </x:c>
      <x:c r="L324" s="133" t="str"/>
      <x:c r="M324" s="133" t="str">
        <x:v>BLOCKED / STRATEGIC INSIGHTS FREEZE CONFLICT — Canonical Strategic Insights resolves to direct /analytics, which previously passed Product-Gate and remains explicitly FROZEN. Read-only reconciliation found no canonical tracker/repository evidence that 13H-14 supersedes that freeze. The current HEAD Analytics surface already scores approximately 9.3/10 and preserves commercial confidentiality, recommendation-vs-award distinctions, and evidence/inference truthfulness contracts, but some design-system shell drift remains. Because that drift cannot be acted on without reopening the frozen surface, no implementation is authorized.</x:v>
      </x:c>
      <x:c r="N324" s="249" t="n"/>
      <x:c r="O324" s="249" t="n">
        <x:v>46297</x:v>
      </x:c>
      <x:c r="P324" s="135" t="str">
        <x:v>Evidence: canonical route is /analytics; Dashboard StrategicIntelligenceWorkspace is only a teaser/CTA and not a substitute implementation target. Direct /analytics was previously Product-Gate PASS/FROZEN; freeze remains applicable. Master Plan 13H-14 does not contain explicit language superseding the freeze, and no repository/tracker evidence was found granting a presentation-only reopen. Current shared Executive system application is partial on HEAD; page-local shell/chrome drift exists, but there is no authorized defect or changed requirement permitting modification. Commercial confidentiality remains deadline-locked; recommendation remains distinct from award; evidence vs inference wording passes current truthfulness contracts. Working tree contains substantial unrelated dirty Analytics WIP, including page rewrite and analytics components/tests, and none of it may be treated as authorized 13H-14 scope. Resolution requires explicit Product Owner/Master Plan authorization to reopen exact allowlisted presentation files, or an explicit decision that prior Product-Gate evidence satisfies 13H-14. Until resolved, 13H-14 remains BLOCKED. Next dependency-independent executable canonical task: 13H-15 — Upgrade Identity &amp; Profile.</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3bb79f74f0a4065"/>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178f9549b9b4f3f"/>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345</x:v>
      </x:c>
      <x:c r="D6" s="133" t="inlineStr">
        <x:is>
          <x:t xml:space="preserve">G0A — Corporate platform architecture ready</x:t>
        </x:is>
      </x:c>
      <x:c r="E6" s="32" t="str">
        <x:f>'03 Launch Gates'!D20</x:f>
        <x:v>Completed</x:v>
      </x:c>
      <x:c r="G6" t="inlineStr">
        <x:is>
          <x:t xml:space="preserve">UI Tasks Complete</x:t>
        </x:is>
      </x:c>
      <x:c r="H6" t="n">
        <x:f>SUM(B36:B46)</x:f>
        <x:v>123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8</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0.9400544959128065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18</x:v>
      </x:c>
      <x:c r="C44" s="28" t="n">
        <x:f>COUNTIFS('01 Master Plan'!C$5:C$383,A44,'01 Master Plan'!H$5:H$383,"In Progress")</x:f>
        <x:v>0</x:v>
      </x:c>
      <x:c r="D44" s="28" t="n">
        <x:f>COUNTIFS('01 Master Plan'!C$5:C$383,A44,'01 Master Plan'!H$5:H$383,"Not Started")</x:f>
        <x:v>0</x:v>
      </x:c>
      <x:c r="E44" s="28" t="n">
        <x:f>COUNTIFS('01 Master Plan'!C$5:C$383,A44,'01 Master Plan'!H$5:H$383,"Blocked")</x:f>
        <x:v>2</x:v>
      </x:c>
      <x:c r="F44" s="28" t="n">
        <x:f>COUNTIFS('01 Master Plan'!C$5:C$383,A44,'01 Master Plan'!H$5:H$383,"Deferred")</x:f>
        <x:v>0</x:v>
      </x:c>
      <x:c r="G44" s="258" t="n">
        <x:f>IFERROR(B44/(B44+C44+D44+E44),0)</x:f>
        <x:v>0.9</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15ddbf4b72647a3"/>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d35378de88ba452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f78865b2132413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732884a50d20495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24f3b7bf2de42fb"/>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3765693af6a4be0"/>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75e703d16e994c1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ae78d09b87104dd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Blocked</x:v>
      </x:c>
      <x:c r="J12" s="133" t="str">
        <x:v>U7 / Phase 13H BLOCKED — all currently executable presentation tasks are PASS/CLOSED/PUBLISHED, including 13H-20. 13H-11 remains BLOCKED because the approved Activity Center contract does not provide a My Tasks ownership/assignee/due-date data model. 13H-14 remains BLOCKED because Strategic Insights maps to direct /analytics, which is previously Product-Gate PASS/FROZEN and has no approved requirement superseding that freeze. Do not start 13I-01 final rescoring until these two Phase 13H blockers are dispositioned under the Master Plan.</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84bc17a770ed4e2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252daf45a4d45eb"/>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19c5cef864ee4b15"/>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f605139be3c44592"/>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