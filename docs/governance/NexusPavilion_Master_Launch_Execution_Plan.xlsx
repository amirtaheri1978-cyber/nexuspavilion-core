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46116686c942ae" /></Relationships>
</file>

<file path=xl/workbook.xml><?xml version="1.0" encoding="utf-8"?>
<x:workbook xmlns:x="http://schemas.openxmlformats.org/spreadsheetml/2006/main">
  <x:sheets>
    <x:sheet xmlns:r="http://schemas.openxmlformats.org/officeDocument/2006/relationships" name="01 Master Plan" sheetId="1" r:id="Rf3fc07aa481c4f42"/>
    <x:sheet xmlns:r="http://schemas.openxmlformats.org/officeDocument/2006/relationships" name="03 Launch Gates" sheetId="2" r:id="R81f6fdb9ee394661"/>
    <x:sheet xmlns:r="http://schemas.openxmlformats.org/officeDocument/2006/relationships" name="00 Dashboard" sheetId="3" r:id="R0a740d9244654136"/>
    <x:sheet xmlns:r="http://schemas.openxmlformats.org/officeDocument/2006/relationships" name="04 Cursor Tasks" sheetId="4" r:id="R9485af516df14f53"/>
    <x:sheet xmlns:r="http://schemas.openxmlformats.org/officeDocument/2006/relationships" name="05 UAT Matrix" sheetId="5" r:id="Rabf7d3d0d4c14e59"/>
    <x:sheet xmlns:r="http://schemas.openxmlformats.org/officeDocument/2006/relationships" name="06 Security Matrix" sheetId="6" r:id="Rbcc2fc50112e4d9f"/>
    <x:sheet xmlns:r="http://schemas.openxmlformats.org/officeDocument/2006/relationships" name="07 Risks" sheetId="7" r:id="Rabe73f827e344876"/>
    <x:sheet xmlns:r="http://schemas.openxmlformats.org/officeDocument/2006/relationships" name="08 Architecture" sheetId="8" r:id="R5b332872a4f44467"/>
    <x:sheet xmlns:r="http://schemas.openxmlformats.org/officeDocument/2006/relationships" name="09 Release Checklist" sheetId="9" r:id="R0dbc40cc9f2b49c1"/>
    <x:sheet xmlns:r="http://schemas.openxmlformats.org/officeDocument/2006/relationships" name="10 Change Log" sheetId="10" r:id="R80f3e33e90744dfd"/>
    <x:sheet xmlns:r="http://schemas.openxmlformats.org/officeDocument/2006/relationships" name="11 Scope &amp; Roadmap" sheetId="11" r:id="R76970c0d92654021"/>
    <x:sheet xmlns:r="http://schemas.openxmlformats.org/officeDocument/2006/relationships" name="12 How to Use" sheetId="12" r:id="R72e4a49854d446e6"/>
    <x:sheet xmlns:r="http://schemas.openxmlformats.org/officeDocument/2006/relationships" name="13 UI Program" sheetId="13" r:id="Rc00b649608d54767"/>
    <x:sheet xmlns:r="http://schemas.openxmlformats.org/officeDocument/2006/relationships" name="14 UI Scorecard" sheetId="14" r:id="Rb96e31a4e1554f85"/>
    <x:sheet xmlns:r="http://schemas.openxmlformats.org/officeDocument/2006/relationships" name="15 Motion Guidance" sheetId="15" r:id="Re43a3a1e8e904dd3"/>
    <x:sheet xmlns:r="http://schemas.openxmlformats.org/officeDocument/2006/relationships" name="16 Design Standards" sheetId="16" r:id="R8cd23c59d7534473"/>
    <x:sheet xmlns:r="http://schemas.openxmlformats.org/officeDocument/2006/relationships" name="17 Corporate Platform" sheetId="17" r:id="Rb39392d1703a4691"/>
    <x:sheet xmlns:r="http://schemas.openxmlformats.org/officeDocument/2006/relationships" name="18 Analytics Reuse Map" sheetId="18" r:id="Rdb6122ce2a35429e"/>
    <x:sheet xmlns:r="http://schemas.openxmlformats.org/officeDocument/2006/relationships" name="19 Executive Insights Discovery" sheetId="19" r:id="R40937bdda91e4102"/>
    <x:sheet xmlns:r="http://schemas.openxmlformats.org/officeDocument/2006/relationships" name="20 Procurement Insights Discovery" sheetId="20" r:id="Rc852d48e298a4955"/>
    <x:sheet xmlns:r="http://schemas.openxmlformats.org/officeDocument/2006/relationships" name="21 Commercial Insights Discovery" sheetId="21" r:id="Rf9dcfef2a3d949d7"/>
    <x:sheet xmlns:r="http://schemas.openxmlformats.org/officeDocument/2006/relationships" name="22 Project Insights Discovery" sheetId="22" r:id="R25ab8be31d2347e6"/>
    <x:sheet xmlns:r="http://schemas.openxmlformats.org/officeDocument/2006/relationships" name="23 Performance Discovery" sheetId="23" r:id="R48e34ec273044f89"/>
    <x:sheet xmlns:r="http://schemas.openxmlformats.org/officeDocument/2006/relationships" name="24 Risk Compliance Discovery" sheetId="24" r:id="R7d26f5e4e55b4bfe"/>
    <x:sheet xmlns:r="http://schemas.openxmlformats.org/officeDocument/2006/relationships" name="25 Commercial Handoff" sheetId="25" r:id="Rd3eea7031f824ede"/>
    <x:sheet xmlns:r="http://schemas.openxmlformats.org/officeDocument/2006/relationships" name="26 RFQ Governance" sheetId="26" r:id="Rbf64ab70cf0742a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45b78576710478d" /><Relationship Type="http://schemas.openxmlformats.org/officeDocument/2006/relationships/theme" Target="/xl/theme/theme1.xml" Id="R070f1e5edc874e0c" /><Relationship Type="http://schemas.openxmlformats.org/officeDocument/2006/relationships/sharedStrings" Target="/xl/sharedStrings.xml" Id="Rfc796d92376141ee" /><Relationship Type="http://schemas.openxmlformats.org/officeDocument/2006/relationships/worksheet" Target="/xl/worksheets/sheet1.xml" Id="Rf3fc07aa481c4f42" /><Relationship Type="http://schemas.openxmlformats.org/officeDocument/2006/relationships/worksheet" Target="/xl/worksheets/sheet2.xml" Id="R81f6fdb9ee394661" /><Relationship Type="http://schemas.openxmlformats.org/officeDocument/2006/relationships/worksheet" Target="/xl/worksheets/sheet3.xml" Id="R0a740d9244654136" /><Relationship Type="http://schemas.openxmlformats.org/officeDocument/2006/relationships/worksheet" Target="/xl/worksheets/sheet4.xml" Id="R9485af516df14f53" /><Relationship Type="http://schemas.openxmlformats.org/officeDocument/2006/relationships/worksheet" Target="/xl/worksheets/sheet5.xml" Id="Rabf7d3d0d4c14e59" /><Relationship Type="http://schemas.openxmlformats.org/officeDocument/2006/relationships/worksheet" Target="/xl/worksheets/sheet6.xml" Id="Rbcc2fc50112e4d9f" /><Relationship Type="http://schemas.openxmlformats.org/officeDocument/2006/relationships/worksheet" Target="/xl/worksheets/sheet7.xml" Id="Rabe73f827e344876" /><Relationship Type="http://schemas.openxmlformats.org/officeDocument/2006/relationships/worksheet" Target="/xl/worksheets/sheet8.xml" Id="R5b332872a4f44467" /><Relationship Type="http://schemas.openxmlformats.org/officeDocument/2006/relationships/worksheet" Target="/xl/worksheets/sheet9.xml" Id="R0dbc40cc9f2b49c1" /><Relationship Type="http://schemas.openxmlformats.org/officeDocument/2006/relationships/worksheet" Target="/xl/worksheets/sheet10.xml" Id="R80f3e33e90744dfd" /><Relationship Type="http://schemas.openxmlformats.org/officeDocument/2006/relationships/worksheet" Target="/xl/worksheets/sheet11.xml" Id="R76970c0d92654021" /><Relationship Type="http://schemas.openxmlformats.org/officeDocument/2006/relationships/worksheet" Target="/xl/worksheets/sheet12.xml" Id="R72e4a49854d446e6" /><Relationship Type="http://schemas.openxmlformats.org/officeDocument/2006/relationships/worksheet" Target="/xl/worksheets/sheet13.xml" Id="Rc00b649608d54767" /><Relationship Type="http://schemas.openxmlformats.org/officeDocument/2006/relationships/worksheet" Target="/xl/worksheets/sheet14.xml" Id="Rb96e31a4e1554f85" /><Relationship Type="http://schemas.openxmlformats.org/officeDocument/2006/relationships/worksheet" Target="/xl/worksheets/sheet15.xml" Id="Re43a3a1e8e904dd3" /><Relationship Type="http://schemas.openxmlformats.org/officeDocument/2006/relationships/worksheet" Target="/xl/worksheets/sheet16.xml" Id="R8cd23c59d7534473" /><Relationship Type="http://schemas.openxmlformats.org/officeDocument/2006/relationships/worksheet" Target="/xl/worksheets/sheet17.xml" Id="Rb39392d1703a4691" /><Relationship Type="http://schemas.openxmlformats.org/officeDocument/2006/relationships/worksheet" Target="/xl/worksheets/sheet18.xml" Id="Rdb6122ce2a35429e" /><Relationship Type="http://schemas.openxmlformats.org/officeDocument/2006/relationships/worksheet" Target="/xl/worksheets/sheet19.xml" Id="R40937bdda91e4102" /><Relationship Type="http://schemas.openxmlformats.org/officeDocument/2006/relationships/worksheet" Target="/xl/worksheets/sheet20.xml" Id="Rc852d48e298a4955" /><Relationship Type="http://schemas.openxmlformats.org/officeDocument/2006/relationships/worksheet" Target="/xl/worksheets/sheet21.xml" Id="Rf9dcfef2a3d949d7" /><Relationship Type="http://schemas.openxmlformats.org/officeDocument/2006/relationships/worksheet" Target="/xl/worksheets/sheet22.xml" Id="R25ab8be31d2347e6" /><Relationship Type="http://schemas.openxmlformats.org/officeDocument/2006/relationships/worksheet" Target="/xl/worksheets/sheet23.xml" Id="R48e34ec273044f89" /><Relationship Type="http://schemas.openxmlformats.org/officeDocument/2006/relationships/worksheet" Target="/xl/worksheets/sheet24.xml" Id="R7d26f5e4e55b4bfe" /><Relationship Type="http://schemas.openxmlformats.org/officeDocument/2006/relationships/worksheet" Target="/xl/worksheets/sheet25.xml" Id="Rd3eea7031f824ede" /><Relationship Type="http://schemas.openxmlformats.org/officeDocument/2006/relationships/worksheet" Target="/xl/worksheets/sheet26.xml" Id="Rbf64ab70cf0742a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b67921eb6324766"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b67921eb6324766"/>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cc8aa57d1b442c3" /></Relationships>
</file>

<file path=xl/worksheets/_rels/sheet2.xml.rels>&#65279;<?xml version="1.0" encoding="utf-8"?><Relationships xmlns="http://schemas.openxmlformats.org/package/2006/relationships"><Relationship Type="http://schemas.openxmlformats.org/officeDocument/2006/relationships/table" Target="/xl/tables/table2.xml" Id="R8ff4c60866d14fb9" /></Relationships>
</file>

<file path=xl/worksheets/_rels/sheet3.xml.rels>&#65279;<?xml version="1.0" encoding="utf-8"?><Relationships xmlns="http://schemas.openxmlformats.org/package/2006/relationships"><Relationship Type="http://schemas.openxmlformats.org/officeDocument/2006/relationships/drawing" Target="/xl/drawings/drawing1.xml" Id="R7aa272e8919847c4" /></Relationships>
</file>

<file path=xl/worksheets/_rels/sheet4.xml.rels>&#65279;<?xml version="1.0" encoding="utf-8"?><Relationships xmlns="http://schemas.openxmlformats.org/package/2006/relationships"><Relationship Type="http://schemas.openxmlformats.org/officeDocument/2006/relationships/table" Target="/xl/tables/table3.xml" Id="Rbcb0573551bd4a56" /></Relationships>
</file>

<file path=xl/worksheets/_rels/sheet5.xml.rels>&#65279;<?xml version="1.0" encoding="utf-8"?><Relationships xmlns="http://schemas.openxmlformats.org/package/2006/relationships"><Relationship Type="http://schemas.openxmlformats.org/officeDocument/2006/relationships/table" Target="/xl/tables/table4.xml" Id="R1d621e02b64045a5" /></Relationships>
</file>

<file path=xl/worksheets/_rels/sheet6.xml.rels>&#65279;<?xml version="1.0" encoding="utf-8"?><Relationships xmlns="http://schemas.openxmlformats.org/package/2006/relationships"><Relationship Type="http://schemas.openxmlformats.org/officeDocument/2006/relationships/table" Target="/xl/tables/table5.xml" Id="R5eb9eee87a844ceb" /></Relationships>
</file>

<file path=xl/worksheets/_rels/sheet7.xml.rels>&#65279;<?xml version="1.0" encoding="utf-8"?><Relationships xmlns="http://schemas.openxmlformats.org/package/2006/relationships"><Relationship Type="http://schemas.openxmlformats.org/officeDocument/2006/relationships/table" Target="/xl/tables/table6.xml" Id="Rae7c2389853c4064" /></Relationships>
</file>

<file path=xl/worksheets/_rels/sheet9.xml.rels>&#65279;<?xml version="1.0" encoding="utf-8"?><Relationships xmlns="http://schemas.openxmlformats.org/package/2006/relationships"><Relationship Type="http://schemas.openxmlformats.org/officeDocument/2006/relationships/table" Target="/xl/tables/table7.xml" Id="Rb76687b4b2e64b5f" /></Relationships>
</file>

<file path=xl/worksheets/_rels/sheet10.xml.rels>&#65279;<?xml version="1.0" encoding="utf-8"?><Relationships xmlns="http://schemas.openxmlformats.org/package/2006/relationships"><Relationship Type="http://schemas.openxmlformats.org/officeDocument/2006/relationships/table" Target="/xl/tables/table8.xml" Id="R9382c708494a413d" /></Relationships>
</file>

<file path=xl/worksheets/_rels/sheet11.xml.rels>&#65279;<?xml version="1.0" encoding="utf-8"?><Relationships xmlns="http://schemas.openxmlformats.org/package/2006/relationships"><Relationship Type="http://schemas.openxmlformats.org/officeDocument/2006/relationships/table" Target="/xl/tables/table9.xml" Id="R52ae7b7be7aa4698" /></Relationships>
</file>

<file path=xl/worksheets/_rels/sheet13.xml.rels>&#65279;<?xml version="1.0" encoding="utf-8"?><Relationships xmlns="http://schemas.openxmlformats.org/package/2006/relationships"><Relationship Type="http://schemas.openxmlformats.org/officeDocument/2006/relationships/table" Target="/xl/tables/table10.xml" Id="R082ceb146a9f414d" /></Relationships>
</file>

<file path=xl/worksheets/_rels/sheet14.xml.rels>&#65279;<?xml version="1.0" encoding="utf-8"?><Relationships xmlns="http://schemas.openxmlformats.org/package/2006/relationships"><Relationship Type="http://schemas.openxmlformats.org/officeDocument/2006/relationships/table" Target="/xl/tables/table11.xml" Id="Rf102c7ae8f374701" /></Relationships>
</file>

<file path=xl/worksheets/_rels/sheet15.xml.rels>&#65279;<?xml version="1.0" encoding="utf-8"?><Relationships xmlns="http://schemas.openxmlformats.org/package/2006/relationships"><Relationship Type="http://schemas.openxmlformats.org/officeDocument/2006/relationships/table" Target="/xl/tables/table12.xml" Id="R82713f92dab4434b" /></Relationships>
</file>

<file path=xl/worksheets/_rels/sheet16.xml.rels>&#65279;<?xml version="1.0" encoding="utf-8"?><Relationships xmlns="http://schemas.openxmlformats.org/package/2006/relationships"><Relationship Type="http://schemas.openxmlformats.org/officeDocument/2006/relationships/table" Target="/xl/tables/table13.xml" Id="R9af83d3495144b6f"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cc8aa57d1b442c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ff4c60866d14fb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306</x:v>
      </x:c>
      <x:c r="D6" s="133" t="inlineStr">
        <x:is>
          <x:t xml:space="preserve">G0A — Corporate platform architecture ready</x:t>
        </x:is>
      </x:c>
      <x:c r="E6" s="32" t="str">
        <x:f>'03 Launch Gates'!D20</x:f>
        <x:v>Completed</x:v>
      </x:c>
      <x:c r="G6" t="inlineStr">
        <x:is>
          <x:t xml:space="preserve">UI Tasks Complete</x:t>
        </x:is>
      </x:c>
      <x:c r="H6" t="n">
        <x:f>SUM(B36:B46)</x:f>
        <x:v>84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0.8337874659400545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0.8690909090909091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3</x:v>
      </x:c>
      <x:c r="C42" s="133" t="n">
        <x:f>COUNTIFS('01 Master Plan'!C$5:C$383,A42,'01 Master Plan'!H$5:H$383,"In Progress")</x:f>
        <x:v>0</x:v>
      </x:c>
      <x:c r="D42" s="133" t="n">
        <x:f>COUNTIFS('01 Master Plan'!C$5:C$383,A42,'01 Master Plan'!H$5:H$383,"Not Started")</x:f>
        <x:v>11</x:v>
      </x:c>
      <x:c r="E42" s="133" t="n">
        <x:f>COUNTIFS('01 Master Plan'!C$5:C$383,A42,'01 Master Plan'!H$5:H$383,"Blocked")</x:f>
        <x:v>0</x:v>
      </x:c>
      <x:c r="F42" s="133" t="n">
        <x:f>COUNTIFS('01 Master Plan'!C$5:C$383,A42,'01 Master Plan'!H$5:H$383,"Deferred")</x:f>
        <x:v>0</x:v>
      </x:c>
      <x:c r="G42" s="255" t="n">
        <x:f>IFERROR(B42/(B42+C42+D42+E42),0)</x:f>
        <x:v>0.21428571428571427</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aa272e8919847c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bcb0573551bd4a5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1d621e02b64045a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eb9eee87a844ceb"/>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e7c2389853c4064"/>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76687b4b2e64b5f"/>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9382c708494a413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52ae7b7be7aa4698"/>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13F-02 and 13F-03 PASS/CLOSED/PUBLISHED. Five-level guidance taxonomy, eligibility contexts and pure page-load frequency controls now exist. At most one proactive item may show per page load; REQUESTED remains quota-independent; dismissed/completed L3 coachmarks are blocked via caller state. Persistent seen/dismissed/snoozed memory has not yet been implemented. Next executable canonical task: 13F-04 Implement seen/dismissed/snoozed guidance memory.</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13F-02 and 13F-03 PASS/CLOSED/PUBLISHED. Five-level guidance taxonomy, eligibility contexts and pure page-load frequency controls now exist. At most one proactive item may show per page load; REQUESTED remains quota-independent; dismissed/completed L3 coachmarks are blocked via caller state. Persistent seen/dismissed/snoozed memory has not yet been implemented. Next executable canonical task: 13F-04 Implement seen/dismissed/snoozed guidance memory.</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82ceb146a9f414d"/>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102c7ae8f37470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2713f92dab4434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af83d3495144b6f"/>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