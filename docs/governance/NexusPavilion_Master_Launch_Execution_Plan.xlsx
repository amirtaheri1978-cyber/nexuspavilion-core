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ef36c787b81421b" /></Relationships>
</file>

<file path=xl/workbook.xml><?xml version="1.0" encoding="utf-8"?>
<x:workbook xmlns:x="http://schemas.openxmlformats.org/spreadsheetml/2006/main">
  <x:sheets>
    <x:sheet xmlns:r="http://schemas.openxmlformats.org/officeDocument/2006/relationships" name="01 Master Plan" sheetId="1" r:id="R0425b8692eed4e83"/>
    <x:sheet xmlns:r="http://schemas.openxmlformats.org/officeDocument/2006/relationships" name="03 Launch Gates" sheetId="2" r:id="Rbf1c521fd68b44a2"/>
    <x:sheet xmlns:r="http://schemas.openxmlformats.org/officeDocument/2006/relationships" name="00 Dashboard" sheetId="3" r:id="R00eaeee724be4f02"/>
    <x:sheet xmlns:r="http://schemas.openxmlformats.org/officeDocument/2006/relationships" name="04 Cursor Tasks" sheetId="4" r:id="Rd5dc937febfa4429"/>
    <x:sheet xmlns:r="http://schemas.openxmlformats.org/officeDocument/2006/relationships" name="05 UAT Matrix" sheetId="5" r:id="R7bf6728e9fee4458"/>
    <x:sheet xmlns:r="http://schemas.openxmlformats.org/officeDocument/2006/relationships" name="06 Security Matrix" sheetId="6" r:id="Ra3f9a5759ef94199"/>
    <x:sheet xmlns:r="http://schemas.openxmlformats.org/officeDocument/2006/relationships" name="07 Risks" sheetId="7" r:id="Rba15ccf32db242c2"/>
    <x:sheet xmlns:r="http://schemas.openxmlformats.org/officeDocument/2006/relationships" name="08 Architecture" sheetId="8" r:id="R0e3f9be751944ed9"/>
    <x:sheet xmlns:r="http://schemas.openxmlformats.org/officeDocument/2006/relationships" name="09 Release Checklist" sheetId="9" r:id="Ra8a3ecd7f6a44e8c"/>
    <x:sheet xmlns:r="http://schemas.openxmlformats.org/officeDocument/2006/relationships" name="10 Change Log" sheetId="10" r:id="R5ef0c737112747ad"/>
    <x:sheet xmlns:r="http://schemas.openxmlformats.org/officeDocument/2006/relationships" name="11 Scope &amp; Roadmap" sheetId="11" r:id="R6d2a87a699414f25"/>
    <x:sheet xmlns:r="http://schemas.openxmlformats.org/officeDocument/2006/relationships" name="12 How to Use" sheetId="12" r:id="R35565ae631f344dc"/>
    <x:sheet xmlns:r="http://schemas.openxmlformats.org/officeDocument/2006/relationships" name="13 UI Program" sheetId="13" r:id="R8b6fad0d826a4a0c"/>
    <x:sheet xmlns:r="http://schemas.openxmlformats.org/officeDocument/2006/relationships" name="14 UI Scorecard" sheetId="14" r:id="R2045ec1aaa4348e0"/>
    <x:sheet xmlns:r="http://schemas.openxmlformats.org/officeDocument/2006/relationships" name="15 Motion Guidance" sheetId="15" r:id="R1fe1bda2ed274763"/>
    <x:sheet xmlns:r="http://schemas.openxmlformats.org/officeDocument/2006/relationships" name="16 Design Standards" sheetId="16" r:id="R85dc8623d61a4d4d"/>
    <x:sheet xmlns:r="http://schemas.openxmlformats.org/officeDocument/2006/relationships" name="17 Corporate Platform" sheetId="17" r:id="R662059eeff984ac0"/>
    <x:sheet xmlns:r="http://schemas.openxmlformats.org/officeDocument/2006/relationships" name="18 Analytics Reuse Map" sheetId="18" r:id="R3503d0bb098a49e6"/>
    <x:sheet xmlns:r="http://schemas.openxmlformats.org/officeDocument/2006/relationships" name="19 Executive Insights Discovery" sheetId="19" r:id="Rad3d7c0160e8480d"/>
    <x:sheet xmlns:r="http://schemas.openxmlformats.org/officeDocument/2006/relationships" name="20 Procurement Insights Discovery" sheetId="20" r:id="R312b29e963564f34"/>
    <x:sheet xmlns:r="http://schemas.openxmlformats.org/officeDocument/2006/relationships" name="21 Commercial Insights Discovery" sheetId="21" r:id="Ree12fd504dee4b6b"/>
    <x:sheet xmlns:r="http://schemas.openxmlformats.org/officeDocument/2006/relationships" name="22 Project Insights Discovery" sheetId="22" r:id="R6b18a4e673eb4786"/>
    <x:sheet xmlns:r="http://schemas.openxmlformats.org/officeDocument/2006/relationships" name="23 Performance Discovery" sheetId="23" r:id="R8d90f4bf78074cd8"/>
    <x:sheet xmlns:r="http://schemas.openxmlformats.org/officeDocument/2006/relationships" name="24 Risk Compliance Discovery" sheetId="24" r:id="R360b74b46b764f97"/>
    <x:sheet xmlns:r="http://schemas.openxmlformats.org/officeDocument/2006/relationships" name="25 Commercial Handoff" sheetId="25" r:id="R228c666cd8b549d5"/>
    <x:sheet xmlns:r="http://schemas.openxmlformats.org/officeDocument/2006/relationships" name="26 RFQ Governance" sheetId="26" r:id="R1cdf4401e66c4c3d"/>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b69b17a4745a4453" /><Relationship Type="http://schemas.openxmlformats.org/officeDocument/2006/relationships/theme" Target="/xl/theme/theme1.xml" Id="R49bbccfbeb964411" /><Relationship Type="http://schemas.openxmlformats.org/officeDocument/2006/relationships/sharedStrings" Target="/xl/sharedStrings.xml" Id="R84b27f055b1341a8" /><Relationship Type="http://schemas.openxmlformats.org/officeDocument/2006/relationships/worksheet" Target="/xl/worksheets/sheet1.xml" Id="R0425b8692eed4e83" /><Relationship Type="http://schemas.openxmlformats.org/officeDocument/2006/relationships/worksheet" Target="/xl/worksheets/sheet2.xml" Id="Rbf1c521fd68b44a2" /><Relationship Type="http://schemas.openxmlformats.org/officeDocument/2006/relationships/worksheet" Target="/xl/worksheets/sheet3.xml" Id="R00eaeee724be4f02" /><Relationship Type="http://schemas.openxmlformats.org/officeDocument/2006/relationships/worksheet" Target="/xl/worksheets/sheet4.xml" Id="Rd5dc937febfa4429" /><Relationship Type="http://schemas.openxmlformats.org/officeDocument/2006/relationships/worksheet" Target="/xl/worksheets/sheet5.xml" Id="R7bf6728e9fee4458" /><Relationship Type="http://schemas.openxmlformats.org/officeDocument/2006/relationships/worksheet" Target="/xl/worksheets/sheet6.xml" Id="Ra3f9a5759ef94199" /><Relationship Type="http://schemas.openxmlformats.org/officeDocument/2006/relationships/worksheet" Target="/xl/worksheets/sheet7.xml" Id="Rba15ccf32db242c2" /><Relationship Type="http://schemas.openxmlformats.org/officeDocument/2006/relationships/worksheet" Target="/xl/worksheets/sheet8.xml" Id="R0e3f9be751944ed9" /><Relationship Type="http://schemas.openxmlformats.org/officeDocument/2006/relationships/worksheet" Target="/xl/worksheets/sheet9.xml" Id="Ra8a3ecd7f6a44e8c" /><Relationship Type="http://schemas.openxmlformats.org/officeDocument/2006/relationships/worksheet" Target="/xl/worksheets/sheet10.xml" Id="R5ef0c737112747ad" /><Relationship Type="http://schemas.openxmlformats.org/officeDocument/2006/relationships/worksheet" Target="/xl/worksheets/sheet11.xml" Id="R6d2a87a699414f25" /><Relationship Type="http://schemas.openxmlformats.org/officeDocument/2006/relationships/worksheet" Target="/xl/worksheets/sheet12.xml" Id="R35565ae631f344dc" /><Relationship Type="http://schemas.openxmlformats.org/officeDocument/2006/relationships/worksheet" Target="/xl/worksheets/sheet13.xml" Id="R8b6fad0d826a4a0c" /><Relationship Type="http://schemas.openxmlformats.org/officeDocument/2006/relationships/worksheet" Target="/xl/worksheets/sheet14.xml" Id="R2045ec1aaa4348e0" /><Relationship Type="http://schemas.openxmlformats.org/officeDocument/2006/relationships/worksheet" Target="/xl/worksheets/sheet15.xml" Id="R1fe1bda2ed274763" /><Relationship Type="http://schemas.openxmlformats.org/officeDocument/2006/relationships/worksheet" Target="/xl/worksheets/sheet16.xml" Id="R85dc8623d61a4d4d" /><Relationship Type="http://schemas.openxmlformats.org/officeDocument/2006/relationships/worksheet" Target="/xl/worksheets/sheet17.xml" Id="R662059eeff984ac0" /><Relationship Type="http://schemas.openxmlformats.org/officeDocument/2006/relationships/worksheet" Target="/xl/worksheets/sheet18.xml" Id="R3503d0bb098a49e6" /><Relationship Type="http://schemas.openxmlformats.org/officeDocument/2006/relationships/worksheet" Target="/xl/worksheets/sheet19.xml" Id="Rad3d7c0160e8480d" /><Relationship Type="http://schemas.openxmlformats.org/officeDocument/2006/relationships/worksheet" Target="/xl/worksheets/sheet20.xml" Id="R312b29e963564f34" /><Relationship Type="http://schemas.openxmlformats.org/officeDocument/2006/relationships/worksheet" Target="/xl/worksheets/sheet21.xml" Id="Ree12fd504dee4b6b" /><Relationship Type="http://schemas.openxmlformats.org/officeDocument/2006/relationships/worksheet" Target="/xl/worksheets/sheet22.xml" Id="R6b18a4e673eb4786" /><Relationship Type="http://schemas.openxmlformats.org/officeDocument/2006/relationships/worksheet" Target="/xl/worksheets/sheet23.xml" Id="R8d90f4bf78074cd8" /><Relationship Type="http://schemas.openxmlformats.org/officeDocument/2006/relationships/worksheet" Target="/xl/worksheets/sheet24.xml" Id="R360b74b46b764f97" /><Relationship Type="http://schemas.openxmlformats.org/officeDocument/2006/relationships/worksheet" Target="/xl/worksheets/sheet25.xml" Id="R228c666cd8b549d5" /><Relationship Type="http://schemas.openxmlformats.org/officeDocument/2006/relationships/worksheet" Target="/xl/worksheets/sheet26.xml" Id="R1cdf4401e66c4c3d" /></Relationships>
</file>

<file path=xl/drawings/_rels/drawing1.xml.rels>&#65279;<?xml version="1.0" encoding="utf-8"?><Relationships xmlns="http://schemas.openxmlformats.org/package/2006/relationships"><Relationship Type="http://schemas.openxmlformats.org/officeDocument/2006/relationships/chart" Target="/xl/drawings/charts/chart1.xml" Id="R9d8a8917c9754cec"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d8a8917c9754cec"/>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fe0ba820077446a" /></Relationships>
</file>

<file path=xl/worksheets/_rels/sheet2.xml.rels>&#65279;<?xml version="1.0" encoding="utf-8"?><Relationships xmlns="http://schemas.openxmlformats.org/package/2006/relationships"><Relationship Type="http://schemas.openxmlformats.org/officeDocument/2006/relationships/table" Target="/xl/tables/table2.xml" Id="R5202270db560420a" /></Relationships>
</file>

<file path=xl/worksheets/_rels/sheet3.xml.rels>&#65279;<?xml version="1.0" encoding="utf-8"?><Relationships xmlns="http://schemas.openxmlformats.org/package/2006/relationships"><Relationship Type="http://schemas.openxmlformats.org/officeDocument/2006/relationships/drawing" Target="/xl/drawings/drawing1.xml" Id="R503af24b8ad04c5c" /></Relationships>
</file>

<file path=xl/worksheets/_rels/sheet4.xml.rels>&#65279;<?xml version="1.0" encoding="utf-8"?><Relationships xmlns="http://schemas.openxmlformats.org/package/2006/relationships"><Relationship Type="http://schemas.openxmlformats.org/officeDocument/2006/relationships/table" Target="/xl/tables/table3.xml" Id="R5b4e0abad5df47ab" /></Relationships>
</file>

<file path=xl/worksheets/_rels/sheet5.xml.rels>&#65279;<?xml version="1.0" encoding="utf-8"?><Relationships xmlns="http://schemas.openxmlformats.org/package/2006/relationships"><Relationship Type="http://schemas.openxmlformats.org/officeDocument/2006/relationships/table" Target="/xl/tables/table4.xml" Id="R20f98b6e15024844" /></Relationships>
</file>

<file path=xl/worksheets/_rels/sheet6.xml.rels>&#65279;<?xml version="1.0" encoding="utf-8"?><Relationships xmlns="http://schemas.openxmlformats.org/package/2006/relationships"><Relationship Type="http://schemas.openxmlformats.org/officeDocument/2006/relationships/table" Target="/xl/tables/table5.xml" Id="Rc134fc1500fb4ec0" /></Relationships>
</file>

<file path=xl/worksheets/_rels/sheet7.xml.rels>&#65279;<?xml version="1.0" encoding="utf-8"?><Relationships xmlns="http://schemas.openxmlformats.org/package/2006/relationships"><Relationship Type="http://schemas.openxmlformats.org/officeDocument/2006/relationships/table" Target="/xl/tables/table6.xml" Id="Raae1037c03ab42c2" /></Relationships>
</file>

<file path=xl/worksheets/_rels/sheet9.xml.rels>&#65279;<?xml version="1.0" encoding="utf-8"?><Relationships xmlns="http://schemas.openxmlformats.org/package/2006/relationships"><Relationship Type="http://schemas.openxmlformats.org/officeDocument/2006/relationships/table" Target="/xl/tables/table7.xml" Id="R5f4df940e1924438" /></Relationships>
</file>

<file path=xl/worksheets/_rels/sheet10.xml.rels>&#65279;<?xml version="1.0" encoding="utf-8"?><Relationships xmlns="http://schemas.openxmlformats.org/package/2006/relationships"><Relationship Type="http://schemas.openxmlformats.org/officeDocument/2006/relationships/table" Target="/xl/tables/table8.xml" Id="Rfd9a0259eaf54614" /></Relationships>
</file>

<file path=xl/worksheets/_rels/sheet11.xml.rels>&#65279;<?xml version="1.0" encoding="utf-8"?><Relationships xmlns="http://schemas.openxmlformats.org/package/2006/relationships"><Relationship Type="http://schemas.openxmlformats.org/officeDocument/2006/relationships/table" Target="/xl/tables/table9.xml" Id="Rc10c461d35c14663" /></Relationships>
</file>

<file path=xl/worksheets/_rels/sheet13.xml.rels>&#65279;<?xml version="1.0" encoding="utf-8"?><Relationships xmlns="http://schemas.openxmlformats.org/package/2006/relationships"><Relationship Type="http://schemas.openxmlformats.org/officeDocument/2006/relationships/table" Target="/xl/tables/table10.xml" Id="Rf4c6b6dd42bd479b" /></Relationships>
</file>

<file path=xl/worksheets/_rels/sheet14.xml.rels>&#65279;<?xml version="1.0" encoding="utf-8"?><Relationships xmlns="http://schemas.openxmlformats.org/package/2006/relationships"><Relationship Type="http://schemas.openxmlformats.org/officeDocument/2006/relationships/table" Target="/xl/tables/table11.xml" Id="R853944045b5343b3" /></Relationships>
</file>

<file path=xl/worksheets/_rels/sheet15.xml.rels>&#65279;<?xml version="1.0" encoding="utf-8"?><Relationships xmlns="http://schemas.openxmlformats.org/package/2006/relationships"><Relationship Type="http://schemas.openxmlformats.org/officeDocument/2006/relationships/table" Target="/xl/tables/table12.xml" Id="Rc301a4410c5c45e6" /></Relationships>
</file>

<file path=xl/worksheets/_rels/sheet16.xml.rels>&#65279;<?xml version="1.0" encoding="utf-8"?><Relationships xmlns="http://schemas.openxmlformats.org/package/2006/relationships"><Relationship Type="http://schemas.openxmlformats.org/officeDocument/2006/relationships/table" Target="/xl/tables/table13.xml" Id="R09d77efbb77b4792"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v>✓</x:v>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str">
        <x:v>Completed</x:v>
      </x:c>
      <x:c r="I300" s="133" t="str">
        <x:v>Project Owner / Product / Engineering</x:v>
      </x:c>
      <x:c r="J300" s="133" t="str"/>
      <x:c r="K300" s="133" t="inlineStr">
        <x:is>
          <x:t xml:space="preserve">13F-12</x:t>
        </x:is>
      </x:c>
      <x:c r="L300" s="133" t="str"/>
      <x:c r="M300" s="133" t="str">
        <x:v>PASS / GUIDANCE ANNOYANCE REVIEW COMPLETE — Real-user walkthrough now covers all integrated Phase 13F guidance surfaces. Quote Comparison, Private RFI, Activity Center, and Quotation Submit/Revalidation all PASS. Final respondent QA used the existing Gulf Coast Concrete Solutions LLC supplier session and existing Development data only; no code, database, auth-data, fixture, RFQ, quotation, Addendum, or deadline mutation occurred.</x:v>
      </x:c>
      <x:c r="N300" s="249" t="n"/>
      <x:c r="O300" s="249" t="n">
        <x:v>46296</x:v>
      </x:c>
      <x:c r="P300" s="135" t="str">
        <x:v>Final QA on HEAD e94e48429f8252cc0af7e72152788ae7d040dfd4: Outstanding Addendum state PASS — submit workspace mounted; evidence-matched guidance; exactly one card; Addendum precedence correct; no competing missing-input guidance; primary controls dominant/reachable; no unsupported compliance/documents guidance. Complete state PASS — submit workspace mounted; quiet state; completeness presentation acceptable; primary controls dominant/reachable; no unsupported compliance/documents guidance. Responsive PASS — no horizontal overflow and no viewport takeover. Prior PASS evidence retained for Quote Comparison, Private RFI, Activity Center, and global annoyance checks. No confidentiality/domain regression, unsupported guidance, P0/P1 product defect, code change, database change, auth-data change, commit or push. 13F-14 CLOSED. Phase 13F Contextual Guidance Framework CLOSED.</x:v>
      </x:c>
    </x:row>
    <x:row r="301">
      <x:c r="A301" s="133" t="str">
        <x:v>✓</x:v>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str">
        <x:v>Completed</x:v>
      </x:c>
      <x:c r="I301" s="133" t="str">
        <x:v>Project Owner / Product / Engineering</x:v>
      </x:c>
      <x:c r="J301" s="133" t="inlineStr">
        <x:is>
          <x:t xml:space="preserve">Cursor UI 08</x:t>
        </x:is>
      </x:c>
      <x:c r="K301" s="133" t="inlineStr">
        <x:is>
          <x:t xml:space="preserve">13F-14</x:t>
        </x:is>
      </x:c>
      <x:c r="L301" s="133" t="str"/>
      <x:c r="M301" s="133" t="str">
        <x:v>PASS / ASK NEXUS TRUST BOUNDARIES PUBLISHED — Commit f0681a33374947f1fe0ff5063c8d248d0f905f9a adds exactly two authorized files: src/lib/ask-nexus/ask-nexus-trust-policy.ts and src/lib/ask-nexus/ask-nexus-trust-policy.test.ts. The pure domain-neutral policy separates explain, navigate, advise, and consequential-action trust states without executing mutations or duplicating domain authorization.</x:v>
      </x:c>
      <x:c r="N301" s="249" t="n"/>
      <x:c r="O301" s="249" t="n">
        <x:v>46296</x:v>
      </x:c>
      <x:c r="P301" s="135" t="str">
        <x:v>Validation before publication: focused tests PASS (14), lint PASS, build PASS, git diff --check PASS; both files CLEAN-SCOPE. Remote verification confirmed parent b41912228b79848c92aca59bf93d9720447f3afc and exactly two authorized files. Explain/advise remain informational and non-binding; navigation accepts only caller-supplied authorized hrefs; consequential actions require explicit permission and confirmation and still require execution-time authorization revalidation. No UI/API/database/auth, route synthesis, AI permission inference, mutation execution, or duplicated domain authorization logic was introduced. Next executable canonical task: 13G-02 — Pass authorized page/workflow context to help.</x:v>
      </x:c>
    </x:row>
    <x:row r="302">
      <x:c r="A302" s="133" t="str">
        <x:v>✓</x:v>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str">
        <x:v>Completed</x:v>
      </x:c>
      <x:c r="I302" s="133" t="str">
        <x:v>Project Owner / Product / Engineering</x:v>
      </x:c>
      <x:c r="J302" s="133" t="str"/>
      <x:c r="K302" s="133" t="inlineStr">
        <x:is>
          <x:t xml:space="preserve">13G-01</x:t>
        </x:is>
      </x:c>
      <x:c r="L302" s="133" t="inlineStr">
        <x:is>
          <x:t xml:space="preserve">G7</x:t>
        </x:is>
      </x:c>
      <x:c r="M302" s="133" t="str">
        <x:v>PASS / ASK NEXUS AUTHORIZED CONTEXT PUBLISHED — Commit 81ce911695fa88340b142a044cbca7c9dfe0e898 adds exactly two authorized files: src/lib/ask-nexus/ask-nexus-context.ts and src/lib/ask-nexus/ask-nexus-context.test.ts. The pure context contract retains only caller-authorized company/project/RFQ resources, preserves caller-supplied RFQ navigation, and normalizes facts without permission or role inference.</x:v>
      </x:c>
      <x:c r="N302" s="249" t="n"/>
      <x:c r="O302" s="249" t="n">
        <x:v>46296</x:v>
      </x:c>
      <x:c r="P302" s="135" t="str">
        <x:v>Validation before publication: focused tests PASS (19), lint PASS, build PASS, git diff --check PASS; both files CLEAN-SCOPE. Remote verification confirmed parent cbb5e52369436192daa4dd93c49fecd257169ee5 and exactly two authorized files. Company/project/RFQ authorization remains independently scoped; unauthorized resources are dropped; RFQ href is caller-supplied only; facts normalize/deduplicate without creating authorization. No route synthesis, role/procurement inference, data/API/database access, broad repository import, duplicated authorization logic, UI/API/database/auth change, or execution fields were introduced. Next executable canonical task: 13G-03 — Add context-specific suggested questions.</x:v>
      </x:c>
    </x:row>
    <x:row r="303">
      <x:c r="A303" s="133" t="str">
        <x:v>✓</x:v>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str">
        <x:v>Completed</x:v>
      </x:c>
      <x:c r="I303" s="133" t="str">
        <x:v>Project Owner / Product / Engineering</x:v>
      </x:c>
      <x:c r="J303" s="133" t="str"/>
      <x:c r="K303" s="133" t="inlineStr">
        <x:is>
          <x:t xml:space="preserve">13G-02</x:t>
        </x:is>
      </x:c>
      <x:c r="L303" s="133" t="str"/>
      <x:c r="M303" s="133" t="str">
        <x:v>PASS / ASK NEXUS SUGGESTED QUESTIONS PUBLISHED — Commit 4305f500996a9849a08c654872e6503db675b730 adds exactly two authorized files: src/lib/ask-nexus/ask-nexus-suggested-questions.ts and src/lib/ask-nexus/ask-nexus-suggested-questions.test.ts. The pure resolver generates at most four deterministic context-specific questions from AskNexusAuthorizedContext only.</x:v>
      </x:c>
      <x:c r="N303" s="249" t="n"/>
      <x:c r="O303" s="249" t="n">
        <x:v>46296</x:v>
      </x:c>
      <x:c r="P303" s="135" t="str">
        <x:v>Validation before publication: focused tests PASS (16), lint PASS, build PASS, git diff --check PASS; both files CLEAN-SCOPE. Remote verification confirmed parent 5146f2dc7cd4d13587f2d72bd424f631da3d52af and exactly two authorized files. Stable order is next_step, change, incomplete, explain; RFQ/project/company specificity is derived only from already-authorized non-null resources. No authorization inheritance, fact-value parsing, label-based permission/domain inference, consequential-action wording, route synthesis, permission/role logic, AI/data/API/database access, or context/trust module changes were introduced. Next executable canonical task: 13G-04 — Add Guide This Page mode.</x:v>
      </x:c>
    </x:row>
    <x:row r="304">
      <x:c r="A304" s="133" t="str">
        <x:v>✓</x:v>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str">
        <x:v>Completed</x:v>
      </x:c>
      <x:c r="I304" s="133" t="str">
        <x:v>Project Owner / Product / Engineering</x:v>
      </x:c>
      <x:c r="J304" s="133" t="str"/>
      <x:c r="K304" s="133" t="inlineStr">
        <x:is>
          <x:t xml:space="preserve">13F-07</x:t>
        </x:is>
      </x:c>
      <x:c r="L304" s="133" t="str"/>
      <x:c r="M304" s="133" t="str">
        <x:v>PASS / GUIDE THIS PAGE REPLAY MODE PUBLISHED — Commit 6cd8ab4178274169bba26e6f3953d3c364480e15 adds exactly two authorized files: src/components/executive/ask-nexus-guide-this-page.tsx and src/components/executive/ask-nexus-guide-this-page.test.ts. The reusable controller provides explicit user-invoked replay over existing ExecutiveCoachmark anchors with caller-owned active-step state.</x:v>
      </x:c>
      <x:c r="N304" s="249" t="n"/>
      <x:c r="O304" s="249" t="n">
        <x:v>46296</x:v>
      </x:c>
      <x:c r="P304" s="135" t="str">
        <x:v>Validation before publication: focused tests PASS (15), lint PASS, build PASS, git diff --check PASS; both files CLEAN-SCOPE. Remote verification confirmed parent f3214c2e4282b04998a766a48f45928fb2f9f8ff and exactly two authorized files. Guide start is explicit only; replay remains available after close/completion; invalid/duplicate steps normalize deterministically; next/previous/close are caller-state transitions only; final step closes. ExecutiveCoachmark is reused without modifying the primitive, real caller anchors stay in place, and no auto-open, recurring popup logic, persistence/memory, DOM lookup/focus/scroll behavior, consequential action, routing, AI/data/API access, or existing primitive/module changes were introduced. Next executable canonical task: 13G-05 — Support safe deep-link navigation actions.</x:v>
      </x:c>
    </x:row>
    <x:row r="305">
      <x:c r="A305" s="133" t="str">
        <x:v>✓</x:v>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str">
        <x:v>Completed</x:v>
      </x:c>
      <x:c r="I305" s="133" t="str">
        <x:v>Project Owner / Product / Engineering</x:v>
      </x:c>
      <x:c r="J305" s="133" t="str"/>
      <x:c r="K305" s="133" t="inlineStr">
        <x:is>
          <x:t xml:space="preserve">13G-02</x:t>
        </x:is>
      </x:c>
      <x:c r="L305" s="133" t="str"/>
      <x:c r="M305" s="133" t="str">
        <x:v>PASS / SAFE ASK NEXUS DEEP LINKS PUBLISHED — Commit 6755bf19b4a8a2417e92e2c6993b5d14e791fc34 adds exactly two authorized files: src/lib/ask-nexus/ask-nexus-deep-link-actions.ts and src/lib/ask-nexus/ask-nexus-deep-link-actions.test.ts. The pure resolver projects caller-authorized destinations through the canonical Ask Nexus trust policy and returns navigation-ready metadata only.</x:v>
      </x:c>
      <x:c r="N305" s="249" t="n"/>
      <x:c r="O305" s="249" t="n">
        <x:v>46296</x:v>
      </x:c>
      <x:c r="P305" s="135" t="str">
        <x:v>Validation before publication: focused tests PASS (13), lint PASS, build PASS, git diff --check PASS; both files CLEAN-SCOPE. Remote verification confirmed parent 35947f15c54d80e0600f00e7e83c4589b183fa51 and exactly two authorized files. Every destination href is caller-supplied and routed through resolveAskNexusTrustPolicy(kind='navigate'); missing/empty hrefs and invalid id/label are dropped; duplicate ids preserve the first valid action; valid order is preserved. Kind/id/label do not grant authorization. No route synthesis, application-nav dependency, role/procurement authorization logic, navigation execution, mutation/consequential action, AI/data/API/database access, or existing trust/context/UI/API/database/auth change was introduced. Next executable canonical task: 13G-06 — Support Why is this flagged? evidence view.</x:v>
      </x:c>
    </x:row>
    <x:row r="306">
      <x:c r="A306" s="133" t="str">
        <x:v>✓</x:v>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str">
        <x:v>Completed</x:v>
      </x:c>
      <x:c r="I306" s="133" t="str">
        <x:v>Project Owner / Product / Engineering</x:v>
      </x:c>
      <x:c r="J306" s="133" t="str"/>
      <x:c r="K306" s="133" t="inlineStr">
        <x:is>
          <x:t xml:space="preserve">13G-02</x:t>
        </x:is>
      </x:c>
      <x:c r="L306" s="133" t="str"/>
      <x:c r="M306" s="133" t="str">
        <x:v>PASS / ASK NEXUS EVIDENCE VIEW PUBLISHED — Commit 972e3fc398429ec3d8609cfc0c39c5dcfef33de7 adds exactly two authorized files: src/lib/ask-nexus/ask-nexus-evidence-view.ts and src/lib/ask-nexus/ask-nexus-evidence-view.test.ts. The pure evidence projection exposes caller-supplied claim, explanation, evidence sources and limitations without generating rationale or recomputing evidence.</x:v>
      </x:c>
      <x:c r="N306" s="249" t="n"/>
      <x:c r="O306" s="249" t="n">
        <x:v>46296</x:v>
      </x:c>
      <x:c r="P306" s="135" t="str">
        <x:v>Validation before publication: focused tests PASS (12), lint PASS, build PASS, git diff --check PASS; both files CLEAN-SCOPE. Remote verification confirmed parent 44cd92582e99e308e77ef5b536dd7bf91ea42fa3 and exactly two authorized files. Invalid evidence sources are dropped; duplicate evidence ids preserve the first valid occurrence; source links pass through resolveAskNexusTrustPolicy(kind='navigate'); limitations normalize/deduplicate; evidence status is deterministic supported/limited; every valid result remains nonBinding. No route synthesis, risk/confidence/readiness/recommendation logic, executive evidence duplication, business-text parsing, role/permission inference, evidence discovery, AI/data/API/database access, or existing evidence/explainability/UI/API/database/auth change was introduced. Next executable canonical task: 13G-07 — Require confirmation for consequential assistant actions.</x:v>
      </x:c>
    </x:row>
    <x:row r="307">
      <x:c r="A307" s="133" t="str">
        <x:v>✓</x:v>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str">
        <x:v>Completed</x:v>
      </x:c>
      <x:c r="I307" s="133" t="str">
        <x:v>Project Owner / Product / Engineering</x:v>
      </x:c>
      <x:c r="J307" s="133" t="str"/>
      <x:c r="K307" s="133" t="inlineStr">
        <x:is>
          <x:t xml:space="preserve">13G-01</x:t>
        </x:is>
      </x:c>
      <x:c r="L307" s="133" t="str"/>
      <x:c r="M307" s="133" t="str">
        <x:v>PASS / ASK NEXUS CONSEQUENTIAL CONFIRMATION GATE PUBLISHED — Commit 262b8975cbe9343cefd12412fa99e815f15b6ce8 adds exactly two authorized files: src/lib/ask-nexus/ask-nexus-consequential-confirmation.ts and src/lib/ask-nexus/ask-nexus-consequential-confirmation.test.ts. The pure interaction-level contract reuses the canonical trust policy and requires both current caller-supplied permission and explicit user confirmation before an action can become execution-eligible.</x:v>
      </x:c>
      <x:c r="N307" s="249" t="n"/>
      <x:c r="O307" s="249" t="n">
        <x:v>46296</x:v>
      </x:c>
      <x:c r="P307" s="135" t="str">
        <x:v>Validation before publication: focused tests PASS (12), lint PASS, build PASS, git diff --check PASS; both files CLEAN-SCOPE. Remote verification confirmed parent 9dd63b1d85888b5d3d2b84bd5c2db490638acf12 and exactly two authorized files. Permission denial remains authoritative even when confirmation is true; permission plus confirmation is required for eligible_for_authorized_execution; every result requires permission, confirmation, and execution-time revalidation. Action kind/title/description do not infer authorization. No domain authorization duplication, execution helper/callback, mutation/API/data/database access, router/navigation, confirmation persistence/memory, UI/dialog integration, or existing trust/auth module change was introduced. Next executable canonical task: 13G-08 — Test Ask Nexus permission inheritance.</x:v>
      </x:c>
    </x:row>
    <x:row r="308">
      <x:c r="A308" s="133" t="str">
        <x:v>✓</x:v>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str">
        <x:v>Completed</x:v>
      </x:c>
      <x:c r="I308" s="133" t="str">
        <x:v>Project Owner / Product / Engineering</x:v>
      </x:c>
      <x:c r="J308" s="133" t="str"/>
      <x:c r="K308" s="133" t="inlineStr">
        <x:is>
          <x:t xml:space="preserve">13G-02</x:t>
        </x:is>
      </x:c>
      <x:c r="L308" s="133" t="inlineStr">
        <x:is>
          <x:t xml:space="preserve">G7</x:t>
        </x:is>
      </x:c>
      <x:c r="M308" s="133" t="str">
        <x:v>PASS / ASK NEXUS RFQ PERMISSION SCOPE PUBLISHED — Commit 3faecacf079c33323801f1fb020b21e7b065b4eb adds exactly two authorized files: src/lib/ask-nexus/ask-nexus-permission-scope.ts and src/lib/ask-nexus/ask-nexus-permission-scope.test.ts. The pure scope projection narrows existing authoritative RfqCapabilities for Ask Nexus and fails closed for respondent issuer-style capability inconsistencies.</x:v>
      </x:c>
      <x:c r="N308" s="249" t="n"/>
      <x:c r="O308" s="249" t="n">
        <x:v>46296</x:v>
      </x:c>
      <x:c r="P308" s="135" t="str">
        <x:v>Validation before publication: focused tests PASS (10), lint PASS, build PASS, git diff --check PASS; both files CLEAN-SCOPE. Remote verification confirmed parent 34ea98e4ce25ac3a17d4ea9fa34906c5021fa81c and exactly two authorized files. Tests exercise the real buildRfqCapabilities producer: respondent executive intelligence, commercial evaluation, recommended award path and competitor data are blocked; own-submission explanation follows authoritative capability; malformed respondent issuer-style flags fail closed. Issuer executive/commercial/recommendation explanation scopes never widen beyond authoritative booleans, and generic competitor-data scope is always false. No role/company/text inference, commercial deadline duplication, domain authorization duplication, data/API/database access, mutation/action logic, or existing procurement/Ask Nexus/UI/API/database/auth change was introduced. Next executable canonical task: 13G-09 — Define safe unavailable/low-confidence behavior.</x:v>
      </x:c>
    </x:row>
    <x:row r="309">
      <x:c r="A309" s="133" t="str">
        <x:v>✓</x:v>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str">
        <x:v>Completed</x:v>
      </x:c>
      <x:c r="I309" s="133" t="str">
        <x:v>Project Owner / Product / Engineering</x:v>
      </x:c>
      <x:c r="J309" s="133" t="str"/>
      <x:c r="K309" s="133" t="inlineStr">
        <x:is>
          <x:t xml:space="preserve">13G-06</x:t>
        </x:is>
      </x:c>
      <x:c r="L309" s="133" t="str"/>
      <x:c r="M309" s="133" t="str">
        <x:v>PASS / ASK NEXUS SAFE AVAILABILITY FALLBACK PUBLISHED — Commit 58961e78cc2ae77720c07b98f2d59353f34c18da adds exactly two authorized files: src/lib/ask-nexus/ask-nexus-availability.ts and src/lib/ask-nexus/ask-nexus-availability.test.ts. The pure fallback contract projects caller-supplied availability/confidence without calculating confidence or fabricating certainty.</x:v>
      </x:c>
      <x:c r="N309" s="249" t="n"/>
      <x:c r="O309" s="249" t="n">
        <x:v>46296</x:v>
      </x:c>
      <x:c r="P309" s="135" t="str">
        <x:v>Validation before publication: focused tests PASS (10), lint PASS, build PASS, git diff --check PASS; both files CLEAN-SCOPE. Remote verification confirmed parent 0ca05ba294e9b3ce3e6df317390c9206709975b6 and exactly two authorized files. Unavailable and limited evidence always remain non-definitive regardless of confidence; available+high may be definitive, while medium/low/unavailable/null remain caveated. Caller summaries are preserved after trim, safe fixed fallback copy is used only when missing, limitations normalize/deduplicate without invention, malformed runtime values fail closed, and all results remain nonBinding. No confidence scoring/threshold duplication, evidence discovery, business/domain inference, text parsing, AI/data/API/database access, navigation/mutation/confirmation logic, UI changes, or existing module changes were introduced. Next executable canonical task: 13G-10 — Lazy-load help/intelligence panel.</x:v>
      </x:c>
    </x:row>
    <x:row r="310">
      <x:c r="A310" s="133" t="str">
        <x:v>✓</x:v>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str">
        <x:v>Completed</x:v>
      </x:c>
      <x:c r="I310" s="133" t="str">
        <x:v>Project Owner / Product / Engineering</x:v>
      </x:c>
      <x:c r="J310" s="133" t="str"/>
      <x:c r="K310" s="133" t="inlineStr">
        <x:is>
          <x:t xml:space="preserve">13G-01</x:t>
        </x:is>
      </x:c>
      <x:c r="L310" s="133" t="str"/>
      <x:c r="M310" s="133" t="str">
        <x:v>PASS / ASK NEXUS LAZY PERFORMANCE BOUNDARY PUBLISHED — Commit 35c81262a20beb7bfc8c8e0df9a051daa45d1497 adds exactly two authorized files: src/components/executive/lazy-executive-nexus-guide.tsx and src/components/executive/lazy-executive-nexus-guide.test.ts. The reusable client wrapper uses next/dynamic with ssr:false, returns null while closed, and defers ExecutiveNexusGuide rendering behind the dynamic import boundary.</x:v>
      </x:c>
      <x:c r="N310" s="249" t="n"/>
      <x:c r="O310" s="249" t="n">
        <x:v>46296</x:v>
      </x:c>
      <x:c r="P310" s="135" t="str">
        <x:v>Validation before publication: focused tests PASS (7), lint PASS, build PASS, dynamic build boundary PASS, git diff --check PASS; both files CLEAN-SCOPE. Remote verification confirmed parent 9b74b80ba808d7651d401eb4fca311149b0652b5 and exactly two authorized files. The wrapper has no runtime static ExecutiveNexusGuide import, uses a null loading fallback, leaves open state caller-owned, adds no auto-prefetch/preload, Ask Nexus business logic, data/API/database/AI access, drawer UI duplication, page/layout changes, or existing guide/design-system changes. Phase 13G Ask Nexus Interactive Help is now 10/10 PASS/CLOSED/PUBLISHED. Next executable canonical task: 13H-01 — Upgrade Executive Overview.</x:v>
      </x:c>
    </x:row>
    <x:row r="311">
      <x:c r="A311" s="133" t="str">
        <x:v>✓</x:v>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str">
        <x:v>Completed</x:v>
      </x:c>
      <x:c r="I311" s="133" t="str">
        <x:v>Project Owner / Product / Engineering</x:v>
      </x:c>
      <x:c r="J311" s="133" t="str"/>
      <x:c r="K311" s="133" t="inlineStr">
        <x:is>
          <x:t xml:space="preserve">13G-10</x:t>
        </x:is>
      </x:c>
      <x:c r="L311" s="133" t="str"/>
      <x:c r="M311" s="133" t="str">
        <x:v>PASS / EXECUTIVE OVERVIEW PAGE UPGRADE PUBLISHED — Commit dfd7700c25f270a381d3fa81ec87a4911b346cf2 changes exactly three authorized presentation files: src/components/dashboard/executive-decision-workspace.tsx, src/components/dashboard/executive-attention-strip.tsx, and src/components/dashboard/strategic-intelligence-workspace.tsx. Executive Decision Context, Action Queue, and Portfolio Snapshot were refined using the existing Executive Design System without changing dashboard data/business logic.</x:v>
      </x:c>
      <x:c r="N311" s="249" t="n"/>
      <x:c r="O311" s="249" t="n">
        <x:v>46296</x:v>
      </x:c>
      <x:c r="P311" s="135" t="str">
        <x:v>Validation before publication: focused tests PASS, lint PASS, build PASS, git diff --check PASS; desktop/tablet/mobile visual verification reported PASS; accessibility review PASS; no horizontal overflow reported. Remote verification confirmed parent fdee4d4ca7f8efb9a74fb693fe79bbbfd86e6245 and exactly three authorized component files. src/app/dashboard/page.tsx and src/components/dashboard/executive-dashboard-golden.test.ts were not committed. Shared primitives/design tokens were reused; no page-specific primitive, business logic/data contract/procurement semantic/route/commercial confidentiality/design-system source change, new metric/claim, or unrelated hunk was introduced. Implementation visual rescore reported 9.4/10 overall, above the 9.2 launch threshold. Next executable canonical task: 13H-02 — Upgrade Procurement Center landing.</x:v>
      </x:c>
    </x:row>
    <x:row r="312">
      <x:c r="A312" s="133" t="str">
        <x:v>✓</x:v>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str">
        <x:v>Completed</x:v>
      </x:c>
      <x:c r="I312" s="133" t="str">
        <x:v>Project Owner / Product / Engineering</x:v>
      </x:c>
      <x:c r="J312" s="133" t="str"/>
      <x:c r="K312" s="133" t="inlineStr">
        <x:is>
          <x:t xml:space="preserve">13G-10</x:t>
        </x:is>
      </x:c>
      <x:c r="L312" s="133" t="str"/>
      <x:c r="M312" s="133" t="str">
        <x:v>PASS / PROCUREMENT CENTER LANDING UPGRADE PUBLISHED — Commit f6e84ce88e0ca00ca74a1bea894a76c735b26419 changes exactly one authorized file: src/app/rfq/page.tsx. The Procurement Center landing now reuses the Executive Design System for hero, operating snapshot, pipeline, RFQ cards, invitation handoff and empty state while preserving the authoritative marketplace view model and procurement access semantics.</x:v>
      </x:c>
      <x:c r="N312" s="249" t="n"/>
      <x:c r="O312" s="249" t="n">
        <x:v>46296</x:v>
      </x:c>
      <x:c r="P312" s="135" t="str">
        <x:v>Validation before publication: focused tests PASS, lint PASS, build PASS, git diff --check PASS; desktop/tablet/mobile visual verification reported PASS; accessibility PASS; no horizontal overflow reported. Remote verification confirmed parent 06c8aaa36728f2694a139e8039d7f67db6116cb1 and exactly one changed file: src/app/rfq/page.tsx. Buyer/issuer and supplier/respondent experiences remain upstream-driven by buildProcurementMarketplaceViewModel; status/scope/sourcing metrics, RFQ card semantics, Commercially Sealed budget behavior, network invitation routing hooks/statuses, Create RFQ authorization and routes/hrefs remain semantically unchanged. Shared ExecutivePanel/ExecutiveMetricCard/ExecutiveBadge/button/empty-state contracts replaced page-specific colors/radii/shadows without creating a new primitive. No business logic, authorization, data loading, view-model, database/API/auth or unrelated change was introduced. Implementation visual rescore reported 9.4/10 overall. Next executable canonical task: 13H-03 — Upgrade RFQ Drafting &amp; Configuration.</x:v>
      </x:c>
    </x:row>
    <x:row r="313">
      <x:c r="A313" s="133" t="str">
        <x:v>✓</x:v>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str">
        <x:v>Completed</x:v>
      </x:c>
      <x:c r="I313" s="133" t="str">
        <x:v>Project Owner / Product / Engineering</x:v>
      </x:c>
      <x:c r="J313" s="133" t="str"/>
      <x:c r="K313" s="133" t="inlineStr">
        <x:is>
          <x:t xml:space="preserve">13G-10</x:t>
        </x:is>
      </x:c>
      <x:c r="L313" s="133" t="str"/>
      <x:c r="M313" s="133" t="str">
        <x:v>PASS / RFQ DRAFTING &amp; CONFIGURATION UPGRADE PUBLISHED — Commit e9a710ea187e6dccacab2432a3ab94b0bc9886f0 changes exactly one authorized file: src/app/rfq/new/page.tsx. The RFQ drafting wizard now reuses shared Executive panels, badges, metric cards, form, stepper, dialog, feedback and progress contracts while preserving authoritative drafting, completeness, deadline, autosave and publication logic.</x:v>
      </x:c>
      <x:c r="N313" s="249" t="n"/>
      <x:c r="O313" s="249" t="n">
        <x:v>46296</x:v>
      </x:c>
      <x:c r="P313" s="135" t="str">
        <x:v>Validation before publication: focused tests PASS, lint PASS, build PASS, git diff --check PASS; desktop/tablet/mobile visual verification reported PASS; accessibility PASS; no horizontal overflow reported. Remote verification confirmed parent 818d57e9fa7429b34bfcf04aff79de034446a9a5 and exactly one changed file: src/app/rfq/new/page.tsx. Project/scope drafting, procurement strategy and evaluation semantics, RFI deadline/timezone behavior, requirements completeness, scope review, publication acknowledgement, autosave, replacement procurement lineage, POST payload, publish timers and redirect destination remain unchanged. Shared Executive Design System primitives replaced local duplicate panel/badge/form/stepper/dialog styling; no new page-specific primitive, validation/business/data/API/database/auth change, or unrelated hunk was introduced. Duplicate success-overlay UI blocks were removed without changing publication sequencing. Implementation visual rescore reported 9.4/10 overall. Next executable canonical task: 13H-04 — Upgrade Market Engagement &amp; Publishing.</x:v>
      </x:c>
    </x:row>
    <x:row r="314">
      <x:c r="A314" s="133" t="str">
        <x:v>✓</x:v>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str">
        <x:v>Completed</x:v>
      </x:c>
      <x:c r="I314" s="133" t="str">
        <x:v>Project Owner / Product / Engineering</x:v>
      </x:c>
      <x:c r="J314" s="133" t="str"/>
      <x:c r="K314" s="133" t="inlineStr">
        <x:is>
          <x:t xml:space="preserve">13G-10</x:t>
        </x:is>
      </x:c>
      <x:c r="L314" s="133" t="str"/>
      <x:c r="M314" s="133" t="str">
        <x:v>PASS / MARKET ENGAGEMENT &amp; PUBLISHING UPGRADE PUBLISHED — Commit c21d2f045112bdd0af9b5acc363bedfe5a1d6648 changes exactly four authorized files: src/components/invite-vendor-form.tsx, src/components/rfq-workspace/supplier-avl-panel.tsx, src/components/rfq-workspace/supplier-invitation-delivery.tsx, and src/components/rfq-workspace/supplier-invitation-result.tsx. Supplier invitation, AVL selection, delivery feedback, and secure invite-link presentation now reuse shared Executive Design System contracts while preserving invitation and communication truthfulness.</x:v>
      </x:c>
      <x:c r="N314" s="249" t="n"/>
      <x:c r="O314" s="249" t="n">
        <x:v>46296</x:v>
      </x:c>
      <x:c r="P314" s="135" t="str">
        <x:v>Validation before publication: focused tests PASS, lint PASS, build PASS, git diff --check PASS; desktop/tablet/mobile visual verification reported PASS; accessibility PASS; no horizontal overflow reported. Remote verification confirmed parent 511ab8d42d8429c29d7f6bea4b925e40afec4ac5 and exactly four changed files, all within the authorized supplier engagement stack. RFQ Supplier Invitation remained distinct from Workspace Membership; invitation creation/reuse logic, email sent/skipped/failed distinctions, secure invite-link fallback, AVL availability/selection semantics and direct-email governance fallback were preserved. No participation was inferred from invitations; quotation/award, parent RFQ page, RFI/Addenda, API/email/auth/data/database logic remained unchanged. Shared Executive primitives/form/feedback/button/empty-state contracts replaced local styling; no new page-specific primitive or business logic change was introduced. Implementation visual rescore reported 9.4/10 overall. Next executable canonical task: 13H-05 — Upgrade Issuer RFI / Addenda Management.</x:v>
      </x:c>
    </x:row>
    <x:row r="315">
      <x:c r="A315" s="133" t="str">
        <x:v>✓</x:v>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str">
        <x:v>Completed</x:v>
      </x:c>
      <x:c r="I315" s="133" t="str">
        <x:v>Project Owner / Product / Engineering</x:v>
      </x:c>
      <x:c r="J315" s="133" t="str"/>
      <x:c r="K315" s="133" t="inlineStr">
        <x:is>
          <x:t xml:space="preserve">13G-10</x:t>
        </x:is>
      </x:c>
      <x:c r="L315" s="133" t="str"/>
      <x:c r="M315" s="133" t="str">
        <x:v>PASS / ISSUER RFI &amp; ADDENDA MANAGEMENT UPGRADE PUBLISHED — Commit 74cdae5f556fb1c276ee430a1adc4b5a7d42ec05 changes exactly three authorized files: src/components/rfq-workspace/rfq-rfi-workspace.tsx, src/components/rfq-addenda-manager.tsx, and src/components/rfq-addendum-acknowledgement-center.tsx. Private RFI, governed Addenda, publication communication, and acknowledgement surfaces now reuse shared Executive Design System contracts while preserving confidentiality, package-change governance, notification truthfulness, and quote-blocking acknowledgement semantics.</x:v>
      </x:c>
      <x:c r="N315" s="249" t="n"/>
      <x:c r="O315" s="249" t="n">
        <x:v>46296</x:v>
      </x:c>
      <x:c r="P315" s="135" t="str">
        <x:v>Validation before publication: focused tests PASS (93/93), lint PASS, build PASS, git diff --check PASS; desktop/tablet/mobile visual verification reported PASS; accessibility PASS; no horizontal overflow reported. Remote verification confirmed branch commit 74cdae5f556fb1c276ee430a1adc4b5a7d42ec05 and exactly three changed files, all within the authorized RFI/Addenda/Acknowledgement presentation scope. Private RFI confidentiality, deadline/submission/issuer-response behavior, governed package-change detection, amendment-reason gate, RFQ_GOVERNED_REQUIREMENT_HANDOFF_EVENT handoff, explicit downstream issuer action, ordinary Addendum path and affectedDocuments POST semantics remained unchanged. Addendum numbering, sent/skipped/failed notification truthfulness, acknowledgement requirement, Clear/Blocked calculation and acknowledgement POST behavior remained unchanged. No Document Requirements, parent RFQ page, API/email/data/database, quotation/evaluation/award, market-engagement invitation, schema/RLS/RPC/migration or unrelated change was introduced. Implementation visual rescore reported 9.35/10 overall. Issuer Addenda create/governed handoff interaction remained contract/code verified rather than live-mutated because the visual QA fixture mounts canManage=false. Prerequisite governed package-change cluster was separately completed and published at commit 466b0ee1c8845a2e930a23c816a9a618814ebfd6 before this presentation upgrade. Next executable canonical task: 13H-06 — Upgrade Response Evaluation &amp; Award.</x:v>
      </x:c>
    </x:row>
    <x:row r="316">
      <x:c r="A316" s="133" t="str">
        <x:v>✓</x:v>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str">
        <x:v>Completed</x:v>
      </x:c>
      <x:c r="I316" s="133" t="str">
        <x:v>Project Owner / Product / Engineering</x:v>
      </x:c>
      <x:c r="J316" s="133" t="str"/>
      <x:c r="K316" s="133" t="inlineStr">
        <x:is>
          <x:t xml:space="preserve">13G-10</x:t>
        </x:is>
      </x:c>
      <x:c r="L316" s="133" t="str"/>
      <x:c r="M316" s="133" t="str">
        <x:v>PASS / RESPONSE EVALUATION &amp; AWARD UPGRADE PUBLISHED — Commit 2d8f4ae948eedbca4bc6bbd61f4c592499ff9e4a changes exactly three authorized files: src/components/rfq-workspace/rfq-quote-comparison.tsx, src/components/rfq-workspace/rfq-recommended-award-path.tsx, and src/components/award-contract-button.tsx. Comparison, exception/risk, recommendation, and award presentation now reuse shared Executive Design System contracts while preserving commercial confidentiality, ranking/scoring, material-revalidation gating, recommendation non-binding semantics, and consequential award confirmation.</x:v>
      </x:c>
      <x:c r="N316" s="249" t="n"/>
      <x:c r="O316" s="249" t="n">
        <x:v>46296</x:v>
      </x:c>
      <x:c r="P316" s="135" t="str">
        <x:v>Validation before publication: focused tests PASS, lint PASS, build PASS, git diff --check PASS; desktop/tablet/mobile visual verification reported PASS; accessibility PASS; no horizontal overflow reported. Remote verification confirmed branch commit 2d8f4ae948eedbca4bc6bbd61f4c592499ff9e4a and exactly three changed files, all within the authorized evaluation/award presentation scope. Commercial-opening confidentiality, deferred respondent search, 12-row pagination, container-gated table/card architecture, scores/rankings, risk and exception semantics, material-revalidation award block, quote.canAward authority, recommendation metrics and non-binding wording remained unchanged. AwardContractButton preserved POST /api/award-contract with { quoteId }, mandatory ExecutiveConfirmDialog, rejection/award side-effect warning, award lock/loading, redirects, focus restoration and internal error sanitization. No parent RFQ page, owner quote mapping, Executive Decision Center, API/auth/confidentiality/data/database, schema/RLS/RPC/migration or unrelated change was introduced. Implementation visual rescore reported 9.34/10 overall. Recommended Award Path was code/contract verified because the visual-QA fixture does not mount it. Next executable canonical task: 13H-07 — Upgrade Respondent RFQ Review &amp; Scoping.</x:v>
      </x:c>
    </x:row>
    <x:row r="317">
      <x:c r="A317" s="133" t="str">
        <x:v>✓</x:v>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str">
        <x:v>Completed</x:v>
      </x:c>
      <x:c r="I317" s="133" t="str">
        <x:v>Project Owner / Product / Engineering</x:v>
      </x:c>
      <x:c r="J317" s="133" t="str"/>
      <x:c r="K317" s="133" t="inlineStr">
        <x:is>
          <x:t xml:space="preserve">13G-10</x:t>
        </x:is>
      </x:c>
      <x:c r="L317" s="133" t="str"/>
      <x:c r="M317" s="133" t="str">
        <x:v>PASS / RESPONDENT RFQ REVIEW &amp; SCOPING UPGRADE PUBLISHED — Commit 5de338c618ce9d227654e1b744e591c362fad3bb changes exactly three authorized files: src/components/rfq-workspace/rfq-procurement-context.tsx, src/components/rfq-workspace/rfq-governance-controls.tsx, and src/components/rfq-workspace/rfq-document-requirements.tsx. Respondent procurement-model, governance/confidentiality, and required-document review surfaces now reuse shared Executive Design System contracts while preserving read-only access, governed requirement mutation boundaries, safe aggregate confidentiality, and respondent commercial agency.</x:v>
      </x:c>
      <x:c r="N317" s="249" t="n"/>
      <x:c r="O317" s="249" t="n">
        <x:v>46296</x:v>
      </x:c>
      <x:c r="P317" s="135" t="str">
        <x:v>Validation before publication: focused tests PASS (89/89), lint PASS, build PASS, git diff --check PASS; accessibility PASS; no horizontal overflow reported. Visual verification was PARTIAL because respondent Document Requirements was exercised at desktop/tablet/mobile while Procurement Context and Governance Notices are not mounted in the visual-QA fixture; those surfaces were code/contract verified. Remote verification confirmed branch commit 5de338c618ce9d227654e1b744e591c362fad3bb and exactly three changed files, all within the authorized respondent review/scoping presentation scope. Procurement context, sourcing/framework and commercial-control semantics, buyer reservation rights, confidentiality/anti-collusion, blind-bidding controls and safe aggregate quote-count semantics remained unchanged. Document requirement Complete/Incomplete/No Requirements Declared, Required Present/Missing/Not Declared and unavailable-state semantics remained unchanged. Respondent mode remained read-only; issuer mutation controls, governed package-change events/focus/API behavior remained unchanged. No automated bid/no-bid recommendation, new ambiguity/risk score, buyer-only intelligence exposure, business/auth/API/data/database, parent RFQ page, ScopeReview, respondent RFI, quote-submission or unrelated change was introduced. Implementation visual rescore reported 9.34/10 overall. Next executable canonical task: 13H-08 — Upgrade Respondent RFI &amp; Clarifications.</x:v>
      </x:c>
    </x:row>
    <x:row r="318">
      <x:c r="A318" s="133" t="str">
        <x:v>✓</x:v>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str">
        <x:v>Completed</x:v>
      </x:c>
      <x:c r="I318" s="133" t="str">
        <x:v>Project Owner / Product / Engineering</x:v>
      </x:c>
      <x:c r="J318" s="133" t="str"/>
      <x:c r="K318" s="133" t="inlineStr">
        <x:is>
          <x:t xml:space="preserve">13G-10</x:t>
        </x:is>
      </x:c>
      <x:c r="L318" s="133" t="str"/>
      <x:c r="M318" s="133" t="str">
        <x:v>PASS / RESPONDENT RFI &amp; CLARIFICATIONS UPGRADE PUBLISHED — Commit b31effc48c13f6fbc8a5d972747acfd7e0cd2e1a changes exactly one authorized file: src/components/rfq-workspace/rfq-document-workspace.tsx. The respondent Clarifications &amp; Addenda wrapper is now role-aware, removing issuer-authority language while preserving the already-completed Private RFI, issuer-response, Addendum-impact and acknowledgement presentation from 13H-05.</x:v>
      </x:c>
      <x:c r="N318" s="249" t="n"/>
      <x:c r="O318" s="249" t="n">
        <x:v>46296</x:v>
      </x:c>
      <x:c r="P318" s="135" t="str">
        <x:v>Acceptance gate classified PATH B: existing 13H-05 implementation already satisfied RFI creation, response/update visibility, confidentiality, RFI-vs-Addendum distinction, Addendum impact and acknowledgement semantics. A genuine wrapper-copy gap remained because respondent-facing text said 'manage issued addenda'. The one-file fix used existing isOwner context to make the Clarifications &amp; Addenda introduction role-aware without changing child composition, props, permissions, APIs, quote submission, RFI logic, Addendum logic or acknowledgement logic. Focused tests PASS (62/62), lint PASS, build PASS, git diff --check PASS; desktop/tablet/mobile visual verification PASS; no horizontal overflow reported. Remote verification confirmed branch commit b31effc48c13f6fbc8a5d972747acfd7e0cd2e1a and exactly one changed file. Frozen 13H-05 components were not reopened. Next executable canonical task: 13H-09 — Upgrade Quote &amp; Proposal Preparation.</x:v>
      </x:c>
    </x:row>
    <x:row r="319">
      <x:c r="A319" s="133" t="str">
        <x:v>✓</x:v>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str">
        <x:v>Completed</x:v>
      </x:c>
      <x:c r="I319" s="133" t="str">
        <x:v>Project Owner / Product / Engineering</x:v>
      </x:c>
      <x:c r="J319" s="133" t="str"/>
      <x:c r="K319" s="133" t="inlineStr">
        <x:is>
          <x:t xml:space="preserve">13G-10</x:t>
        </x:is>
      </x:c>
      <x:c r="L319" s="133" t="str"/>
      <x:c r="M319" s="133" t="str">
        <x:v>PASS / QUOTE &amp; PROPOSAL PREPARATION UPGRADE PUBLISHED — Commit 1d92ab206de37f51b1608ddb7626f88f2802e41c changes exactly one authorized file: src/components/rfq-workspace/rfq-submit-workspace.tsx. Pricing, commercial terms, completeness, readiness, deadline-risk, material revalidation and submission-action presentation now reuse shared Executive Design System contracts while preserving all quote business logic, access boundaries, API payloads and redirect behavior.</x:v>
      </x:c>
      <x:c r="N319" s="249" t="n"/>
      <x:c r="O319" s="249" t="n">
        <x:v>46296</x:v>
      </x:c>
      <x:c r="P319" s="135" t="str">
        <x:v>Validation before publication: focused tests PASS, lint PASS, build PASS, git diff --check PASS; accessibility PASS; no horizontal overflow reported. Visual verification was PARTIAL because the static visual-QA fixture does not mount the live submit workspace; safe live-page inspection was used where available without mutating RFQ governance. Remote verification confirmed branch commit 1d92ab206de37f51b1608ddb7626f88f2802e41c and exactly one changed file. Pricing/currency, timeline/commercial-note, quote-validity, completeness/readiness, deadline-risk, material-revalidation, required-Addenda acknowledgement gate, reconfirm-vs-resubmit distinction, POST/PATCH quote payloads, error sanitization and success redirect behavior remained unchanged. No submit page, invitation entry page, RFI/Addenda, evaluation/award, API/auth/data/database, schema/RLS/RPC/migration or unrelated change was introduced. Implementation visual rescore reported 9.4/10 overall. Next executable canonical task: 13H-10 — Upgrade Submission &amp; Award Tracking.</x:v>
      </x:c>
    </x:row>
    <x:row r="320">
      <x:c r="A320" s="133" t="str">
        <x:v>✓</x:v>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str">
        <x:v>Completed</x:v>
      </x:c>
      <x:c r="I320" s="133" t="str">
        <x:v>Project Owner / Product / Engineering</x:v>
      </x:c>
      <x:c r="J320" s="133" t="str"/>
      <x:c r="K320" s="133" t="inlineStr">
        <x:is>
          <x:t xml:space="preserve">13G-10</x:t>
        </x:is>
      </x:c>
      <x:c r="L320" s="133" t="str"/>
      <x:c r="M320" s="133" t="str">
        <x:v>PASS / SUBMISSION &amp; AWARD TRACKING UPGRADE PUBLISHED — Commit 4f0340ed8074028e3cfee407f3e04054a3ecbc17 changes exactly two authorized files: src/components/rfq-workspace/rfq-quote-workspace.tsx and src/components/rfq-workspace/rfq-supplier-quotes.tsx. Respondent tracking now presents own submission state, confidentiality, material-amendment review, commercial terms and recorded outcome with clearer Executive Design System hierarchy while preserving all security, confidentiality, revalidation, deadline and outcome semantics.</x:v>
      </x:c>
      <x:c r="N320" s="249" t="n"/>
      <x:c r="O320" s="249" t="n">
        <x:v>46296</x:v>
      </x:c>
      <x:c r="P320" s="135" t="str">
        <x:v>Validation before publication: focused tests PASS, lint PASS, build PASS, git diff --check PASS; desktop/tablet/mobile visual verification PASS; deadline-context verification PASS; accessibility PASS; no horizontal overflow reported. Remote verification confirmed branch commit 4f0340ed8074028e3cfee407f3e04054a3ecbc17 and exactly two changed files, both within the authorized submission/award tracking presentation scope. Respondent own-quote isolation, competitor confidentiality, commercial-read authorization, issuer pre-opening lockbox, safe aggregate count, submission status mapping, Approved-vs-Awarded distinction, material revalidation, closed-state CTA gating and own outcome semantics remained unchanged. No deadline duplication, parent/Command Center change, submit/award redirect change, security-helper change, API/data/database, owner quote mapping, evaluation/award component, submit-workspace or unrelated change was introduced. Implementation visual rescore reported 9.4/10 overall. Requires Review / Approved / Rejected fixture states were contract-tested rather than live-mutated. Prerequisite security remediation was separately completed and published at commit 530dbae552f51c63f75e596850374d2d41179d20, which aligned application commercial-read authorization with RLS, fail-closed RFQ detail/compare commercial data access, preserved respondent isolation, and separated commercial read from owner/admin award authority. Next executable canonical task: 13H-11 — Upgrade Activity Center.</x:v>
      </x:c>
    </x:row>
    <x:row r="321">
      <x:c r="A321" s="133" t="str"/>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str">
        <x:v>Blocked</x:v>
      </x:c>
      <x:c r="I321" s="133" t="str">
        <x:v>Project Owner / Product / Engineering</x:v>
      </x:c>
      <x:c r="J321" s="133" t="str"/>
      <x:c r="K321" s="133" t="inlineStr">
        <x:is>
          <x:t xml:space="preserve">13G-10</x:t>
        </x:is>
      </x:c>
      <x:c r="L321" s="133" t="str"/>
      <x:c r="M321" s="133" t="str">
        <x:v>BLOCKED / MY TASKS DATA MODEL NOT AVAILABLE — Activity Center currently has a launch-frozen company-scoped taxonomy of Needs Attention, Updates, and History only. Repository contracts explicitly prohibit rendering My Tasks or deriving personal tasks from notification title/message or compatibility fields. Existing notifications have no assignee/recipient-user/due-date/task-status/completion model, so implementing My Tasks would require a new data/ownership contract outside the presentation-only scope of 13H-11.</x:v>
      </x:c>
      <x:c r="N321" s="249" t="n"/>
      <x:c r="O321" s="249" t="n">
        <x:v>46296</x:v>
      </x:c>
      <x:c r="P321" s="135" t="str">
        <x:v>Evidence: src/lib/launch/procurement-activity-event-writers-contract.test.ts explicitly asserts Activity Center does not render 'My Tasks' or personal task derivation and locks exact Attention/Updates taxonomy. src/lib/procurement/activity-center-prioritization.ts defines only attention/updates/history; no task classification exists. Company-scoped notification query, source-link authorization, attention prioritization, Updates and History remain valid and unchanged. No code, API, DB, RLS, notification-generation or taxonomy change was made. Focused tests/lint/build/diff-check PASS; responsive review PARTIAL with no horizontal overflow; current page visual quality remains below 13H acceptance because the mandatory My Tasks requirement cannot be truthfully implemented. Resolution requires an approved My Tasks data/ownership model or explicit change to Master Plan acceptance. Until then 13H-11 remains BLOCKED. Next dependency-independent executable canonical task: 13H-12 — Upgrade Project Portfolio.</x:v>
      </x:c>
    </x:row>
    <x:row r="322">
      <x:c r="A322" s="133" t="str">
        <x:v>✓</x:v>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str">
        <x:v>Completed</x:v>
      </x:c>
      <x:c r="I322" s="133" t="str">
        <x:v>Project Owner / Product / Engineering</x:v>
      </x:c>
      <x:c r="J322" s="133" t="str"/>
      <x:c r="K322" s="133" t="inlineStr">
        <x:is>
          <x:t xml:space="preserve">13G-10</x:t>
        </x:is>
      </x:c>
      <x:c r="L322" s="133" t="str"/>
      <x:c r="M322" s="133" t="str">
        <x:v>PASS / PROJECT PORTFOLIO UPGRADE PUBLISHED — Commit 696400d4f4e8a8b8b453be19bbc23971b9148b1d changes exactly five authorized files: src/app/projects/page.tsx, src/components/projects/project-portfolio-list.tsx, src/app/projects/loading.tsx, src/components/projects/project-system-state.tsx, and src/lib/projects/project-portfolio-contract.test.ts. The upgrade standardizes the Project Portfolio presentation while preserving company scope, active membership, owner/admin creation authority, independent Project identity, same-company RFQ associations, evidence-only insights, and procurement-accurate award wording.</x:v>
      </x:c>
      <x:c r="N322" s="249" t="n"/>
      <x:c r="O322" s="249" t="n">
        <x:v>46297</x:v>
      </x:c>
      <x:c r="P322" s="135" t="str">
        <x:v>Validation before publication: focused Project tests PASS, lint PASS, build PASS, git diff --check PASS, accessibility PASS, no horizontal overflow. Remote verification confirmed branch commit 696400d4f4e8a8b8b453be19bbc23971b9148b1d and exactly five changed files, all within the authorized Project Portfolio presentation scope. No repository/API/RLS/auth/data logic changed. Project records remain active exact-company scoped; Create Project remains owner/admin only; Project identity remains independent from RFQ lifecycle; Project Code ↔ RFQ internal_project_id same-company association semantics remain unchanged. No quote, supplier, commercial analytics, Project risk, spend/savings, schedule/performance or unsupported benchmark data was introduced. Verified award semantics remain status='awarded' plus awarded_at evidence, with user-facing wording standardized to 'Award Recorded' to avoid overstating contract execution. Project Insights calculations and availability semantics remain unchanged; evidence limitations remain visible. Live visual QA was PARTIAL because only the fail-closed system state was safely available; multi-project/open-RFQ/award/identifier-gap/empty layouts were covered by contract tests and preserved responsive contracts. Implementation visual rescore reported 9.4/10 overall. Next executable canonical task: 13H-13 — Upgrade Company Network.</x:v>
      </x:c>
    </x:row>
    <x:row r="323">
      <x:c r="A323" s="133" t="str">
        <x:v>✓</x:v>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str">
        <x:v>Completed</x:v>
      </x:c>
      <x:c r="I323" s="133" t="str">
        <x:v>Project Owner / Product / Engineering</x:v>
      </x:c>
      <x:c r="J323" s="133" t="str"/>
      <x:c r="K323" s="133" t="inlineStr">
        <x:is>
          <x:t xml:space="preserve">13G-10</x:t>
        </x:is>
      </x:c>
      <x:c r="L323" s="133" t="str"/>
      <x:c r="M323" s="133" t="str">
        <x:v>PASS / COMPANY NETWORK UPGRADE PUBLISHED — Commit 4be2577c78e99cf473101683461122a629965871 changes exactly three authorized files: src/app/company/[slug]/page.tsx, src/components/company-capabilities-display.tsx, and src/components/company-qualifications-display.tsx. The Company Network public discovery experience now uses shared Executive Design System presentation while preserving company-neutral organization identity, public capability taxonomy, public-only qualifications, factual verification wording, and the frozen public data boundary.</x:v>
      </x:c>
      <x:c r="N323" s="249" t="n"/>
      <x:c r="O323" s="249" t="n">
        <x:v>46297</x:v>
      </x:c>
      <x:c r="P323" s="135" t="str">
        <x:v>Validation before publication: focused tests PASS, lint PASS, build PASS, git diff --check PASS; desktop/tablet/mobile visual verification PASS; accessibility PASS; no horizontal overflow; visual rescore 9.4/10. Remote verification confirmed branch commit 4be2577c78e99cf473101683461122a629965871 and exactly three changed files, all within the authorized public discovery presentation scope. No internal Company Workspace, API/data/database, RLS/auth or unrelated files were included. Public data boundary remained frozen: no RFQ, audit, notification, quote, invitation, member/governance, award-value, commercial recommendation or viewer-dependent data was reintroduced. Public capabilities remained unscored and taxonomy-preserving; public qualifications remained is_public-filtered with credential identifiers/private records hidden. Network role remains descriptive only and verification wording remains factual. Prerequisite public-data remediation was separately completed and published at commit 312d5a4579176d8c43538786f69b7cf2f8af03a6, removing viewer-dependent RFQ portfolio/audit disclosures, misleading Procurement Volume/Award Rate metrics, and internal/commercial activity from the public route. Next executable canonical task: 13H-14 — Upgrade Strategic Insights.</x:v>
      </x:c>
    </x:row>
    <x:row r="324">
      <x:c r="A324" s="133" t="str">
        <x:v>✓</x:v>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str">
        <x:v>Completed</x:v>
      </x:c>
      <x:c r="I324" s="133" t="str">
        <x:v>Project Owner / Product / Engineering</x:v>
      </x:c>
      <x:c r="J324" s="133" t="str"/>
      <x:c r="K324" s="133" t="inlineStr">
        <x:is>
          <x:t xml:space="preserve">13G-10</x:t>
        </x:is>
      </x:c>
      <x:c r="L324" s="133" t="str"/>
      <x:c r="M324" s="133" t="str">
        <x:v>PASS / STRATEGIC INSIGHTS LIMITED-EXCEPTION UPGRADE PUBLISHED — Commit 6a412c36425d3ad6c50d53b4804c0370dc766000 changes exactly one authorized file: src/app/analytics/page.tsx. The work was executed from an isolated clean worktree based on 1650ac06d4829b9217b18aa83456a44e69d1ebb4 so the main repository's unrelated dirty analytics/M4 WIP remained untouched.</x:v>
      </x:c>
      <x:c r="N324" s="249" t="n"/>
      <x:c r="O324" s="249" t="n">
        <x:v>46297</x:v>
      </x:c>
      <x:c r="P324" s="135" t="str">
        <x:v>Validation: presentation-only boundary PASS; authenticated desktop/tablet/mobile real-route QA PASS; accessibility PASS; no horizontal overflow; no console errors introduced; visual rescore 9.3/10. analytics-permission-inheritance.test.ts PASS 22/22. analytics-decision-evidence-truthfulness.test.ts had exactly three independently reproduced pre-existing baseline failures on clean HEAD: one CRLF-sensitive Board Readiness string assertion and two stale public-company assertions superseded by the closed 13H-13 Company Network confidentiality remediation; no new test failures were introduced. Lint PASS, build PASS, git diff --check PASS. Remote verification confirmed branch commit 6a412c36425d3ad6c50d53b4804c0370dc766000 and exactly one file. No analytics business logic, source-loader, commercial confidentiality/gating, score/readiness calculation, report/export/narrative/M4 consumer, section-id/href, API/RLS/database, or child analytics component changes were included. The pre-existing main-worktree analytics rewrite cluster remains intentionally untouched and is not adopted into 13H-14. Phase 13H remains BLOCKED only by 13H-11 — Activity Center / My Tasks data-model contract.</x:v>
      </x:c>
    </x:row>
    <x:row r="325">
      <x:c r="A325" s="133" t="str">
        <x:v>✓</x:v>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str">
        <x:v>Completed</x:v>
      </x:c>
      <x:c r="I325" s="133" t="str">
        <x:v>Project Owner / Product / Engineering</x:v>
      </x:c>
      <x:c r="J325" s="133" t="str"/>
      <x:c r="K325" s="133" t="inlineStr">
        <x:is>
          <x:t xml:space="preserve">13G-10</x:t>
        </x:is>
      </x:c>
      <x:c r="L325" s="133" t="str"/>
      <x:c r="M325" s="133" t="str">
        <x:v>PASS / IDENTITY &amp; PROFILE UPGRADE PUBLISHED — Commit 611e561dcb9df09033545adf8e119894b6728fe4 changes exactly five authorized files: src/app/company/settings/page.tsx, src/components/professional-identity-settings-form.tsx, src/components/company-settings-form.tsx, src/components/account-identity-line.tsx, and src/components/company-logo-upload.tsx. The upgrade standardizes Professional Identity and Company Profile presentation while preserving the separation between descriptive identity, workspace authority, and procurement function.</x:v>
      </x:c>
      <x:c r="N325" s="249" t="n"/>
      <x:c r="O325" s="249" t="n">
        <x:v>46297</x:v>
      </x:c>
      <x:c r="P325" s="135" t="str">
        <x:v>Validation before publication: lint PASS, build PASS, git diff --check PASS; desktop/tablet/mobile visual verification PASS; accessibility PASS; no horizontal overflow; visual rescore 9.5/10. Remote verification confirmed branch commit 611e561dcb9df09033545adf8e119894b6728fe4 and exactly five authorized files. Professional name semantics, optional descriptive job title, read-only account email, company name/category/location/network-role fields, company update authorization, and logo upload/storage behavior were preserved. No professional identity API, company API payload, auth/RLS/database, Team &amp; Access, invitation, ownership/governance, capability, qualification, compliance, document, or unrelated changes were included. Workspace role and procurement function remain distinct from professional identity and company network role. Known pre-existing out-of-scope stale test defect: src/lib/auth/professional-identity-surfaces.test.ts still expects public-company copy 'Location N/A', while the canonical public profile after 13H-13 uses 'Location not specified'. This mismatch predates 13H-15, was not included in the commit, and must not trigger reopening 13H-15. Next executable canonical task: 13H-16 — Upgrade Team &amp; Access.</x:v>
      </x:c>
    </x:row>
    <x:row r="326">
      <x:c r="A326" s="133" t="str">
        <x:v>✓</x:v>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str">
        <x:v>Completed</x:v>
      </x:c>
      <x:c r="I326" s="133" t="str">
        <x:v>Project Owner / Product / Engineering</x:v>
      </x:c>
      <x:c r="J326" s="133" t="str"/>
      <x:c r="K326" s="133" t="inlineStr">
        <x:is>
          <x:t xml:space="preserve">13G-10</x:t>
        </x:is>
      </x:c>
      <x:c r="L326" s="133" t="str"/>
      <x:c r="M326" s="133" t="str">
        <x:v>PASS / TEAM &amp; ACCESS UPGRADE PUBLISHED — Commit 542704f3183c597357ce1dd9237914648c3ee103 changes exactly four authorized files: src/components/company-members-center.tsx, src/components/invite-user-form.tsx, src/components/member-actions.tsx, and src/components/invitation-actions.tsx. The Team &amp; Access experience now uses clearer workspace-membership, Access Level, member-action, and Workspace Invitation presentation while preserving all authorization and domain boundaries.</x:v>
      </x:c>
      <x:c r="N326" s="249" t="n"/>
      <x:c r="O326" s="249" t="n">
        <x:v>46297</x:v>
      </x:c>
      <x:c r="P326" s="135" t="str">
        <x:v>Validation before publication: focused Team &amp; Access tests PASS, lint PASS, build PASS, git diff --check PASS; desktop/tablet/mobile visual verification PASS; accessibility PASS; no horizontal overflow; visual rescore 9.4/10. Remote verification confirmed branch commit 542704f3183c597357ce1dd9237914648c3ee103 and exactly four authorized files. Workspace Membership, Workspace Role, and Procurement Function semantics remain distinct. Workspace Invitation remains explicitly separate from RFQ Invitation and does not grant RFQ access. Owner protection, current-user self-management protection, and active owner/admin member-management authority were preserved. No member-role API, member-removal API, Workspace Invitation API, auth/RLS/database, Company Profile, Professional Identity, Ownership/Governance, RFQ Invitation, or unrelated changes were included. Known pre-existing stale src/lib/auth/professional-identity-surfaces.test.ts Location N/A assertion remains out of scope and unchanged. Next executable canonical task: 13H-17 — Upgrade Capabilities &amp; Qualifications.</x:v>
      </x:c>
    </x:row>
    <x:row r="327">
      <x:c r="A327" s="133" t="str">
        <x:v>✓</x:v>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str">
        <x:v>Completed</x:v>
      </x:c>
      <x:c r="I327" s="133" t="str">
        <x:v>Project Owner / Product / Engineering</x:v>
      </x:c>
      <x:c r="J327" s="133" t="str"/>
      <x:c r="K327" s="133" t="inlineStr">
        <x:is>
          <x:t xml:space="preserve">13G-10</x:t>
        </x:is>
      </x:c>
      <x:c r="L327" s="133" t="str"/>
      <x:c r="M327" s="133" t="str">
        <x:v>PASS / CAPABILITIES &amp; QUALIFICATIONS UPGRADE PUBLISHED — Commit 3601c38fdd9b2ee88f82dd3a299d9b3e0f67f653 changes exactly two authorized files: src/components/company-capabilities-editor.tsx and src/components/company-qualifications-editor.tsx. The editors are presentation-standardized while preserving capability/qualification taxonomy, normalization, deduplication, limits, persistence, and visibility semantics.</x:v>
      </x:c>
      <x:c r="N327" s="249" t="n"/>
      <x:c r="O327" s="249" t="n">
        <x:v>46297</x:v>
      </x:c>
      <x:c r="P327" s="135" t="str">
        <x:v>Validation before publication: focused capability/qualification tests PASS, lint PASS, build PASS, git diff --check PASS; desktop/tablet/mobile visual verification PASS; accessibility PASS; no horizontal overflow; visual rescore 9.4/10. Remote verification confirmed branch commit 3601c38fdd9b2ee88f82dd3a299d9b3e0f67f653 and exactly two authorized editor files. Capability taxonomy, normalization/deduplication and group limits remain unchanged. Qualification taxonomy, normalization/deduplication and group limits remain unchanged. Public visibility semantics remain unchanged; Credential Identifier remains workspace-only. No API/payload, auth/RLS/database, Public Company Network, display-component or unrelated changes were included. Known pre-existing stale src/lib/auth/professional-identity-surfaces.test.ts Location N/A assertion remains out of scope and unchanged. Next executable canonical task: 13H-18 — Upgrade Compliance &amp; Documents.</x:v>
      </x:c>
    </x:row>
    <x:row r="328">
      <x:c r="A328" s="133" t="str">
        <x:v>✓</x:v>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str">
        <x:v>Completed</x:v>
      </x:c>
      <x:c r="I328" s="133" t="str">
        <x:v>Project Owner / Product / Engineering</x:v>
      </x:c>
      <x:c r="J328" s="133" t="str"/>
      <x:c r="K328" s="133" t="inlineStr">
        <x:is>
          <x:t xml:space="preserve">13G-10</x:t>
        </x:is>
      </x:c>
      <x:c r="L328" s="133" t="str"/>
      <x:c r="M328" s="133" t="str">
        <x:v>PASS / COMPLIANCE &amp; DOCUMENTS UPGRADE PUBLISHED — Commit 2b663f0cd7da74f2400a252406122c506dccb0ea changes exactly two authorized files: src/components/company-compliance-editor.tsx and src/components/company-documents-editor.tsx. The editors are presentation-standardized while preserving compliance/document taxonomy, self-declared evidence framing, date/status derivation, file operations, and storage/API contracts.</x:v>
      </x:c>
      <x:c r="N328" s="249" t="n"/>
      <x:c r="O328" s="249" t="n">
        <x:v>46297</x:v>
      </x:c>
      <x:c r="P328" s="135" t="str">
        <x:v>Validation before publication: focused compliance/document tests PASS, lint PASS, build PASS, git diff --check PASS; desktop/tablet/mobile visual verification PASS; accessibility PASS; no horizontal overflow; visual rescore 9.4/10. Remote verification confirmed branch commit 2b663f0cd7da74f2400a252406122c506dccb0ea and exactly two authorized editor files. Compliance taxonomy, normalization/deduplication, limits and deriveCompliancePresentation semantics remain unchanged; self-declared compliance notice remains visible. Document taxonomy, upload/replace/download/delete behavior, signed-upload/storage contract, metadata/date validation and deriveDocumentPresentation semantics remain unchanged; self-declared document notice remains visible. No API/payload, auth/RLS/database, Public Company Network, display-component or unrelated changes were included. Known pre-existing stale src/lib/auth/professional-identity-surfaces.test.ts Location N/A assertion remains out of scope and unchanged. Next executable canonical task: 13H-19 — Upgrade Policies &amp; Approvals.</x:v>
      </x:c>
    </x:row>
    <x:row r="329">
      <x:c r="A329" s="133" t="str">
        <x:v>✓</x:v>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str">
        <x:v>Completed</x:v>
      </x:c>
      <x:c r="I329" s="133" t="str">
        <x:v>Project Owner / Product / Engineering</x:v>
      </x:c>
      <x:c r="J329" s="133" t="str"/>
      <x:c r="K329" s="133" t="inlineStr">
        <x:is>
          <x:t xml:space="preserve">13G-10</x:t>
        </x:is>
      </x:c>
      <x:c r="L329" s="133" t="str"/>
      <x:c r="M329" s="133" t="str">
        <x:v>PASS / POLICIES &amp; APPROVALS UPGRADE PUBLISHED — Commit 306a4006ce77602e7d662eb7ef59e6a39204e11d changes exactly one authorized file: src/components/company-governance-center.tsx. The read-only governance catalog is presentation-standardized while preserving existing authority boundaries and business-workflow ownership.</x:v>
      </x:c>
      <x:c r="N329" s="249" t="n"/>
      <x:c r="O329" s="249" t="n">
        <x:v>46297</x:v>
      </x:c>
      <x:c r="P329" s="135" t="str">
        <x:v>Validation before publication: focused governance contract tests PASS, lint PASS, build PASS, git diff --check PASS; desktop/tablet/mobile visual verification PASS; accessibility PASS; no horizontal overflow; visual rescore 9.4/10. Remote verification confirmed branch commit 306a4006ce77602e7d662eb7ef59e6a39204e11d and exactly one authorized file. Policies &amp; Approval Controls remains a read-only overview with no fetch/form/input/checkbox/mutation/approval queue or secondary approval layer. Workspace Invitation remains distinct from RFQ Invitation; Quotation remains distinct from Contract Award; award remains RFQ-workflow-only; Organization Verification remains informational/platform-governed; Ownership flow remains unchanged. No authorization logic, API/RLS/database, contract-test or unrelated changes were included. Known pre-existing stale src/lib/auth/professional-identity-surfaces.test.ts Location N/A assertion remains out of scope and unchanged. Next executable canonical task: 13H-20 — Upgrade Integrations &amp; Settings.</x:v>
      </x:c>
    </x:row>
    <x:row r="330">
      <x:c r="A330" s="133" t="str">
        <x:v>✓</x:v>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str">
        <x:v>Completed</x:v>
      </x:c>
      <x:c r="I330" s="133" t="str">
        <x:v>Project Owner / Product / Engineering</x:v>
      </x:c>
      <x:c r="J330" s="133" t="str"/>
      <x:c r="K330" s="133" t="inlineStr">
        <x:is>
          <x:t xml:space="preserve">13G-10</x:t>
        </x:is>
      </x:c>
      <x:c r="L330" s="133" t="str"/>
      <x:c r="M330" s="133" t="str">
        <x:v>PASS / INTEGRATIONS &amp; SETTINGS UPGRADE PUBLISHED — Commit 0e577c1cbf442c89b4459775ced89c3c0f86cca6 changes exactly one authorized file: src/app/company/settings/page.tsx. Workspace Settings is presentation-standardized as a utility/configuration surface without inventing integration management, operational KPIs, or new configuration capabilities.</x:v>
      </x:c>
      <x:c r="N330" s="249" t="n"/>
      <x:c r="O330" s="249" t="n">
        <x:v>46297</x:v>
      </x:c>
      <x:c r="P330" s="135" t="str">
        <x:v>Validation before publication: focused settings/navigation/integration-boundary tests PASS, lint PASS, build PASS, git diff --check PASS; authenticated desktop/tablet/mobile real-route QA PASS; accessibility PASS; no horizontal overflow; no console errors introduced; visual rescore 9.3/10. Remote verification confirmed branch commit 0e577c1cbf442c89b4459775ced89c3c0f86cca6 and exactly one authorized file. Workspace Settings remains a utility/configuration surface; no fake integrations, connector cards, operational KPI/dashboard content, RFQ/Analytics hero CTAs, environment/provider settings or closed-section redesigns were introduced. Approved section navigation/hash targets, getPublicSiteUrl usage, authorization/data/API/RLS/database contracts and the pre-existing fail-closed unauthenticated identity behavior remain unchanged. Next execution decision requires Phase 13H blocker reconciliation before 13I-01: 13H-11 My Tasks remains BLOCKED pending an approved task ownership/data contract; 13H-14 Strategic Insights remains BLOCKED by the frozen direct /analytics surface.</x:v>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5fe0ba820077446a"/>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5202270db560420a"/>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346</x:v>
      </x:c>
      <x:c r="D6" s="133" t="inlineStr">
        <x:is>
          <x:t xml:space="preserve">G0A — Corporate platform architecture ready</x:t>
        </x:is>
      </x:c>
      <x:c r="E6" s="32" t="str">
        <x:f>'03 Launch Gates'!D20</x:f>
        <x:v>Completed</x:v>
      </x:c>
      <x:c r="G6" t="inlineStr">
        <x:is>
          <x:t xml:space="preserve">UI Tasks Complete</x:t>
        </x:is>
      </x:c>
      <x:c r="H6" t="n">
        <x:f>SUM(B36:B46)</x:f>
        <x:v>124</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7</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0.9427792915531336</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0.9454545454545454</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3</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14</x:v>
      </x:c>
      <x:c r="C42" s="133" t="n">
        <x:f>COUNTIFS('01 Master Plan'!C$5:C$383,A42,'01 Master Plan'!H$5:H$383,"In Progress")</x:f>
        <x:v>0</x:v>
      </x:c>
      <x:c r="D42" s="133" t="n">
        <x:f>COUNTIFS('01 Master Plan'!C$5:C$383,A42,'01 Master Plan'!H$5:H$383,"Not Started")</x:f>
        <x:v>0</x:v>
      </x:c>
      <x:c r="E42" s="133" t="n">
        <x:f>COUNTIFS('01 Master Plan'!C$5:C$383,A42,'01 Master Plan'!H$5:H$383,"Blocked")</x:f>
        <x:v>0</x:v>
      </x:c>
      <x:c r="F42" s="133" t="n">
        <x:f>COUNTIFS('01 Master Plan'!C$5:C$383,A42,'01 Master Plan'!H$5:H$383,"Deferred")</x:f>
        <x:v>0</x:v>
      </x:c>
      <x:c r="G42" s="255" t="n">
        <x:f>IFERROR(B42/(B42+C42+D42+E42),0)</x:f>
        <x:v>1</x:v>
      </x:c>
    </x:row>
    <x:row r="43">
      <x:c r="A43" s="162" t="inlineStr">
        <x:is>
          <x:t xml:space="preserve">13G Ask Nexus Interactive Help</x:t>
        </x:is>
      </x:c>
      <x:c r="B43" s="162" t="n">
        <x:f>COUNTIFS('01 Master Plan'!C$5:C$383,A43,'01 Master Plan'!H$5:H$383,"Completed")+COUNTIFS('01 Master Plan'!C$5:C$383,A43,'01 Master Plan'!H$5:H$383,"Complete")</x:f>
        <x:v>10</x:v>
      </x:c>
      <x:c r="C43" s="162" t="n">
        <x:f>COUNTIFS('01 Master Plan'!C$5:C$383,A43,'01 Master Plan'!H$5:H$383,"In Progress")</x:f>
        <x:v>0</x:v>
      </x:c>
      <x:c r="D43" s="162" t="n">
        <x:f>COUNTIFS('01 Master Plan'!C$5:C$383,A43,'01 Master Plan'!H$5:H$383,"Not Started")</x:f>
        <x:v>0</x:v>
      </x:c>
      <x:c r="E43" s="162" t="n">
        <x:f>COUNTIFS('01 Master Plan'!C$5:C$383,A43,'01 Master Plan'!H$5:H$383,"Blocked")</x:f>
        <x:v>0</x:v>
      </x:c>
      <x:c r="F43" s="162" t="n">
        <x:f>COUNTIFS('01 Master Plan'!C$5:C$383,A43,'01 Master Plan'!H$5:H$383,"Deferred")</x:f>
        <x:v>0</x:v>
      </x:c>
      <x:c r="G43" s="257" t="n">
        <x:f>IFERROR(B43/(B43+C43+D43+E43),0)</x:f>
        <x:v>1</x:v>
      </x:c>
    </x:row>
    <x:row r="44">
      <x:c r="A44" s="28" t="inlineStr">
        <x:is>
          <x:t xml:space="preserve">13H Page-by-Page UI Upgrade</x:t>
        </x:is>
      </x:c>
      <x:c r="B44" s="28" t="n">
        <x:f>COUNTIFS('01 Master Plan'!C$5:C$383,A44,'01 Master Plan'!H$5:H$383,"Completed")+COUNTIFS('01 Master Plan'!C$5:C$383,A44,'01 Master Plan'!H$5:H$383,"Complete")</x:f>
        <x:v>19</x:v>
      </x:c>
      <x:c r="C44" s="28" t="n">
        <x:f>COUNTIFS('01 Master Plan'!C$5:C$383,A44,'01 Master Plan'!H$5:H$383,"In Progress")</x:f>
        <x:v>0</x:v>
      </x:c>
      <x:c r="D44" s="28" t="n">
        <x:f>COUNTIFS('01 Master Plan'!C$5:C$383,A44,'01 Master Plan'!H$5:H$383,"Not Started")</x:f>
        <x:v>0</x:v>
      </x:c>
      <x:c r="E44" s="28" t="n">
        <x:f>COUNTIFS('01 Master Plan'!C$5:C$383,A44,'01 Master Plan'!H$5:H$383,"Blocked")</x:f>
        <x:v>1</x:v>
      </x:c>
      <x:c r="F44" s="28" t="n">
        <x:f>COUNTIFS('01 Master Plan'!C$5:C$383,A44,'01 Master Plan'!H$5:H$383,"Deferred")</x:f>
        <x:v>0</x:v>
      </x:c>
      <x:c r="G44" s="258" t="n">
        <x:f>IFERROR(B44/(B44+C44+D44+E44),0)</x:f>
        <x:v>0.95</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503af24b8ad04c5c"/>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5b4e0abad5df47ab"/>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20f98b6e15024844"/>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c134fc1500fb4ec0"/>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aae1037c03ab42c2"/>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5f4df940e1924438"/>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row r="1254">
      <x:c r="A1254" t="n">
        <x:v>46296</x:v>
      </x:c>
      <x:c r="B1254" t="str">
        <x:v>Phase 13F / 13F-14</x:v>
      </x:c>
      <x:c r="C1254" t="str">
        <x:v>13F-14 Guidance Annoyance Review Blocked by QA Access</x:v>
      </x:c>
      <x:c r="D1254" t="str">
        <x:v>executive-benchmark-engine</x:v>
      </x:c>
      <x:c r="E1254" t="str">
        <x:v>81f73b3b47e242c27ec775e0a85a0f1534734683</x:v>
      </x:c>
      <x:c r="F1254" t="str">
        <x:v>Performed read-only guidance annoyance walkthrough. Quote Comparison verified PASS; remaining authenticated product surfaces could not be live-walked with the current local session.</x:v>
      </x:c>
      <x:c r="G1254" t="str">
        <x:v>No code changed. Quote Comparison evidence: one guidance card max, no award/winner implication, evidence remains primary, empty/low-risk states quiet, desktop/mobile responsive PASS.</x:v>
      </x:c>
      <x:c r="H1254" t="str">
        <x:v>BLOCKED / QA ACCESS EVIDENCE GAP / NO VERIFIED PRODUCT DEFECT</x:v>
      </x:c>
      <x:c r="I1254" t="str">
        <x:v>Private RFI, Quotation Submit/Revalidation, and Activity Center Needs Attention remain unverified because authenticated routes were unreachable. This is not evidence of guidance failure.</x:v>
      </x:c>
      <x:c r="J1254" t="str">
        <x:v>Establish authorized local QA session, then rerun only unverified 13F-14 surfaces and global annoyance checks. Preserve 13F-01 through 13F-13 PASS/CLOSED.</x:v>
      </x:c>
    </x:row>
    <x:row r="1255">
      <x:c r="A1255" t="n">
        <x:v>46296</x:v>
      </x:c>
      <x:c r="B1255" t="str">
        <x:v>Phase 13F / 13F-14</x:v>
      </x:c>
      <x:c r="C1255" t="str">
        <x:v>13F-14 Authenticated QA Partial Pass</x:v>
      </x:c>
      <x:c r="D1255" t="str">
        <x:v>executive-benchmark-engine</x:v>
      </x:c>
      <x:c r="E1255" t="str">
        <x:v>a3a181a447fe431ea4e43cd1657669f20867a244</x:v>
      </x:c>
      <x:c r="F1255" t="str">
        <x:v>Established authorized local owner session and resumed read-only guidance annoyance QA. Private RFI and Activity Center now verified PASS; prior Quote Comparison PASS retained.</x:v>
      </x:c>
      <x:c r="G1255" t="str">
        <x:v>No code/database/auth changes. RFQ and Activity Center auth prerequisites PASS. Global annoyance checks PASS with no verified P0/P1 guidance defect.</x:v>
      </x:c>
      <x:c r="H1255" t="str">
        <x:v>BLOCKED / ONE EVIDENCE GAP REMAINS</x:v>
      </x:c>
      <x:c r="I1255" t="str">
        <x:v>Quotation Submit/Revalidation is still UNVERIFIED. All other integrated 13F guidance surfaces now have PASS evidence.</x:v>
      </x:c>
      <x:c r="J1255" t="str">
        <x:v>Walk only Quotation Submit/Revalidation with existing authorized session/data. If all readiness-annoyance checks PASS, close 13F-14 and Phase 13F.</x:v>
      </x:c>
    </x:row>
    <x:row r="1256">
      <x:c r="A1256" t="n">
        <x:v>46296</x:v>
      </x:c>
      <x:c r="B1256" t="str">
        <x:v>Phase 13F / 13F-14</x:v>
      </x:c>
      <x:c r="C1256" t="str">
        <x:v>13F-14 Guidance Annoyance Review Completed</x:v>
      </x:c>
      <x:c r="D1256" t="str">
        <x:v>executive-benchmark-engine</x:v>
      </x:c>
      <x:c r="E1256" t="str">
        <x:v>e94e48429f8252cc0af7e72152788ae7d040dfd4</x:v>
      </x:c>
      <x:c r="F1256" t="str">
        <x:v>Completed the final respondent-side Quotation Submit/Revalidation annoyance QA using an existing authorized supplier session and existing Development evidence.</x:v>
      </x:c>
      <x:c r="G1256" t="str">
        <x:v>All 13F integrated guidance surfaces now have PASS evidence. No code/database/auth-data changes; no fixture/data mutation; no verified P0/P1 guidance defect.</x:v>
      </x:c>
      <x:c r="H1256" t="str">
        <x:v>PASS / 13F-14 CLOSED / PHASE 13F CLOSED</x:v>
      </x:c>
      <x:c r="I1256" t="str">
        <x:v>Outstanding Addendum readiness guidance and complete/quiet quotation states both PASS; responsive checks PASS; prior Quote Comparison, Private RFI, Activity Center and global annoyance PASS evidence retained.</x:v>
      </x:c>
      <x:c r="J1256" t="str">
        <x:v>Proceed to the next canonical Master Plan task after Phase 13F.</x:v>
      </x:c>
    </x:row>
    <x:row r="1257">
      <x:c r="A1257" t="n">
        <x:v>46296</x:v>
      </x:c>
      <x:c r="B1257" t="str">
        <x:v>Phase 13G / 13G-01</x:v>
      </x:c>
      <x:c r="C1257" t="str">
        <x:v>13G-01 Ask Nexus Trust Boundaries Published</x:v>
      </x:c>
      <x:c r="D1257" t="str">
        <x:v>executive-benchmark-engine</x:v>
      </x:c>
      <x:c r="E1257" t="str">
        <x:v>f0681a33374947f1fe0ff5063c8d248d0f905f9a</x:v>
      </x:c>
      <x:c r="F1257" t="str">
        <x:v>Published a pure domain-neutral Ask Nexus trust policy separating informational, navigation, advisory, and consequential-action interaction states.</x:v>
      </x:c>
      <x:c r="G1257" t="str">
        <x:v>Exactly two authorized files changed. Focused tests 14 PASS; lint/build/diff-check PASS; boundary review CLEAN-SCOPE.</x:v>
      </x:c>
      <x:c r="H1257" t="str">
        <x:v>PASS / 13G-01 CLOSED / PUBLISHED</x:v>
      </x:c>
      <x:c r="I1257" t="str">
        <x:v>No execution, route synthesis, AI permission inference, UI/API/data access, or duplicated business-domain authorization logic. Consequential action eligibility still requires execution-time authorization revalidation.</x:v>
      </x:c>
      <x:c r="J1257" t="str">
        <x:v>Next executable canonical task: Phase 13G / 13G-02 — Pass authorized page/workflow context to help.</x:v>
      </x:c>
    </x:row>
    <x:row r="1258">
      <x:c r="A1258" t="n">
        <x:v>46296</x:v>
      </x:c>
      <x:c r="B1258" t="str">
        <x:v>Phase 13G / 13G-02</x:v>
      </x:c>
      <x:c r="C1258" t="str">
        <x:v>13G-02 Ask Nexus Authorized Context Published</x:v>
      </x:c>
      <x:c r="D1258" t="str">
        <x:v>executive-benchmark-engine</x:v>
      </x:c>
      <x:c r="E1258" t="str">
        <x:v>81ce911695fa88340b142a044cbca7c9dfe0e898</x:v>
      </x:c>
      <x:c r="F1258" t="str">
        <x:v>Published a pure caller-authorized Ask Nexus page/workflow context contract with isolated company, project, RFQ and normalized fact context.</x:v>
      </x:c>
      <x:c r="G1258" t="str">
        <x:v>Exactly two authorized files changed. Focused tests 19 PASS; lint/build/diff-check PASS; boundary review CLEAN-SCOPE.</x:v>
      </x:c>
      <x:c r="H1258" t="str">
        <x:v>PASS / 13G-02 CLOSED / PUBLISHED</x:v>
      </x:c>
      <x:c r="I1258" t="str">
        <x:v>No hidden privilege elevation, route synthesis, role/procurement inference, broad repository dependency, permission fields, or data/API/database access.</x:v>
      </x:c>
      <x:c r="J1258" t="str">
        <x:v>Next executable canonical task: Phase 13G / 13G-03 — Add context-specific suggested questions.</x:v>
      </x:c>
    </x:row>
    <x:row r="1259">
      <x:c r="A1259" t="n">
        <x:v>46296</x:v>
      </x:c>
      <x:c r="B1259" t="str">
        <x:v>Phase 13G / 13G-03</x:v>
      </x:c>
      <x:c r="C1259" t="str">
        <x:v>13G-03 Ask Nexus Suggested Questions Published</x:v>
      </x:c>
      <x:c r="D1259" t="str">
        <x:v>executive-benchmark-engine</x:v>
      </x:c>
      <x:c r="E1259" t="str">
        <x:v>4305f500996a9849a08c654872e6503db675b730</x:v>
      </x:c>
      <x:c r="F1259" t="str">
        <x:v>Published deterministic context-specific Ask Nexus suggested questions derived only from the existing authorized context envelope.</x:v>
      </x:c>
      <x:c r="G1259" t="str">
        <x:v>Exactly two authorized files changed. Focused tests 16 PASS; lint/build/diff-check PASS; boundary review CLEAN-SCOPE.</x:v>
      </x:c>
      <x:c r="H1259" t="str">
        <x:v>PASS / 13G-03 CLOSED / PUBLISHED</x:v>
      </x:c>
      <x:c r="I1259" t="str">
        <x:v>Maximum four suggestions with stable ordering and RFQ/project/company specificity. No route synthesis, permission inference, fact-value parsing, AI/data access or consequential-action phrasing.</x:v>
      </x:c>
      <x:c r="J1259" t="str">
        <x:v>Next executable canonical task: Phase 13G / 13G-04 — Add Guide This Page mode.</x:v>
      </x:c>
    </x:row>
    <x:row r="1260">
      <x:c r="A1260" t="n">
        <x:v>46296</x:v>
      </x:c>
      <x:c r="B1260" t="str">
        <x:v>Phase 13G / 13G-04</x:v>
      </x:c>
      <x:c r="C1260" t="str">
        <x:v>13G-04 Guide This Page Replay Mode Published</x:v>
      </x:c>
      <x:c r="D1260" t="str">
        <x:v>executive-benchmark-engine</x:v>
      </x:c>
      <x:c r="E1260" t="str">
        <x:v>6cd8ab4178274169bba26e6f3953d3c364480e15</x:v>
      </x:c>
      <x:c r="F1260" t="str">
        <x:v>Published an explicit user-invoked Guide This Page replay controller that reuses ExecutiveCoachmark and keeps active-step state caller-owned.</x:v>
      </x:c>
      <x:c r="G1260" t="str">
        <x:v>Exactly two authorized files changed. Focused tests 15 PASS; lint/build/diff-check PASS; boundary review CLEAN-SCOPE.</x:v>
      </x:c>
      <x:c r="H1260" t="str">
        <x:v>PASS / 13G-04 CLOSED / PUBLISHED</x:v>
      </x:c>
      <x:c r="I1260" t="str">
        <x:v>No auto-open, recurrence, persistence, hidden memory, DOM anchor lookup, focus/scroll takeover, routing, data/API/AI access or consequential action behavior.</x:v>
      </x:c>
      <x:c r="J1260" t="str">
        <x:v>Next executable canonical task: Phase 13G / 13G-05 — Support safe deep-link navigation actions.</x:v>
      </x:c>
    </x:row>
    <x:row r="1261">
      <x:c r="A1261" t="n">
        <x:v>46296</x:v>
      </x:c>
      <x:c r="B1261" t="str">
        <x:v>Phase 13G / 13G-05</x:v>
      </x:c>
      <x:c r="C1261" t="str">
        <x:v>13G-05 Safe Ask Nexus Deep Links Published</x:v>
      </x:c>
      <x:c r="D1261" t="str">
        <x:v>executive-benchmark-engine</x:v>
      </x:c>
      <x:c r="E1261" t="str">
        <x:v>6755bf19b4a8a2417e92e2c6993b5d14e791fc34</x:v>
      </x:c>
      <x:c r="F1261" t="str">
        <x:v>Published a pure safe deep-link action resolver that passes caller-authorized destinations through the canonical Ask Nexus trust policy and returns navigation-ready metadata only.</x:v>
      </x:c>
      <x:c r="G1261" t="str">
        <x:v>Exactly two authorized files changed. Focused tests 13 PASS; lint/build/diff-check PASS; boundary review CLEAN-SCOPE.</x:v>
      </x:c>
      <x:c r="H1261" t="str">
        <x:v>PASS / 13G-05 CLOSED / PUBLISHED</x:v>
      </x:c>
      <x:c r="I1261" t="str">
        <x:v>No route synthesis, application-nav dependency, role/procurement inference, navigation execution, mutations, consequential actions, or AI/data/API/database access.</x:v>
      </x:c>
      <x:c r="J1261" t="str">
        <x:v>Next executable canonical task: Phase 13G / 13G-06 — Support Why is this flagged? evidence view.</x:v>
      </x:c>
    </x:row>
    <x:row r="1262">
      <x:c r="A1262" t="n">
        <x:v>46296</x:v>
      </x:c>
      <x:c r="B1262" t="str">
        <x:v>Phase 13G / 13G-06</x:v>
      </x:c>
      <x:c r="C1262" t="str">
        <x:v>13G-06 Ask Nexus Evidence View Published</x:v>
      </x:c>
      <x:c r="D1262" t="str">
        <x:v>executive-benchmark-engine</x:v>
      </x:c>
      <x:c r="E1262" t="str">
        <x:v>972e3fc398429ec3d8609cfc0c39c5dcfef33de7</x:v>
      </x:c>
      <x:c r="F1262" t="str">
        <x:v>Published a pure Why-is-this-flagged evidence projection using caller-supplied claims, explanations, evidence sources, limitations, and trust-policy-gated source links.</x:v>
      </x:c>
      <x:c r="G1262" t="str">
        <x:v>Exactly two authorized files changed. Focused tests 12 PASS; lint/build/diff-check PASS; boundary review CLEAN-SCOPE.</x:v>
      </x:c>
      <x:c r="H1262" t="str">
        <x:v>PASS / 13G-06 CLOSED / PUBLISHED</x:v>
      </x:c>
      <x:c r="I1262" t="str">
        <x:v>No evidence discovery, scoring/risk/readiness logic, business-text inference, authorization inference, mutation, or AI/data/API/database access.</x:v>
      </x:c>
      <x:c r="J1262" t="str">
        <x:v>Next executable canonical task: Phase 13G / 13G-07 — Require confirmation for consequential assistant actions.</x:v>
      </x:c>
    </x:row>
    <x:row r="1263">
      <x:c r="A1263" t="n">
        <x:v>46296</x:v>
      </x:c>
      <x:c r="B1263" t="str">
        <x:v>Phase 13G / 13G-07</x:v>
      </x:c>
      <x:c r="C1263" t="str">
        <x:v>13G-07 Ask Nexus Consequential Confirmation Gate Published</x:v>
      </x:c>
      <x:c r="D1263" t="str">
        <x:v>executive-benchmark-engine</x:v>
      </x:c>
      <x:c r="E1263" t="str">
        <x:v>262b8975cbe9343cefd12412fa99e815f15b6ce8</x:v>
      </x:c>
      <x:c r="F1263" t="str">
        <x:v>Published a pure consequential-action confirmation contract that reuses the canonical Ask Nexus trust policy and requires permission plus explicit confirmation before execution eligibility.</x:v>
      </x:c>
      <x:c r="G1263" t="str">
        <x:v>Exactly two authorized files changed. Focused tests 12 PASS; lint/build/diff-check PASS; boundary review CLEAN-SCOPE.</x:v>
      </x:c>
      <x:c r="H1263" t="str">
        <x:v>PASS / 13G-07 CLOSED / PUBLISHED</x:v>
      </x:c>
      <x:c r="I1263" t="str">
        <x:v>No execution, mutation, domain authorization duplication, navigation, persistence, UI/dialog integration, or API/data/database access. Execution-time authorization revalidation remains mandatory.</x:v>
      </x:c>
      <x:c r="J1263" t="str">
        <x:v>Next executable canonical task: Phase 13G / 13G-08 — Test Ask Nexus permission inheritance.</x:v>
      </x:c>
    </x:row>
    <x:row r="1264">
      <x:c r="A1264" t="n">
        <x:v>46296</x:v>
      </x:c>
      <x:c r="B1264" t="str">
        <x:v>Phase 13G / 13G-08</x:v>
      </x:c>
      <x:c r="C1264" t="str">
        <x:v>13G-08 Ask Nexus RFQ Permission Scope Published</x:v>
      </x:c>
      <x:c r="D1264" t="str">
        <x:v>executive-benchmark-engine</x:v>
      </x:c>
      <x:c r="E1264" t="str">
        <x:v>3faecacf079c33323801f1fb020b21e7b065b4eb</x:v>
      </x:c>
      <x:c r="F1264" t="str">
        <x:v>Published a narrow Ask Nexus RFQ permission projection over authoritative RfqCapabilities with explicit fail-closed respondent behavior and no generic competitor-data scope.</x:v>
      </x:c>
      <x:c r="G1264" t="str">
        <x:v>Exactly two authorized files changed. Focused tests 10 PASS; lint/build/diff-check PASS; boundary review CLEAN-SCOPE.</x:v>
      </x:c>
      <x:c r="H1264" t="str">
        <x:v>PASS / 13G-08 CLOSED / PUBLISHED</x:v>
      </x:c>
      <x:c r="I1264" t="str">
        <x:v>Respondent issuer-only intelligence/commercial/recommendation scopes remain blocked even under malformed capability payloads; issuer scopes never widen beyond authoritative capability booleans.</x:v>
      </x:c>
      <x:c r="J1264" t="str">
        <x:v>Next executable canonical task: Phase 13G / 13G-09 — Define safe unavailable/low-confidence behavior.</x:v>
      </x:c>
    </x:row>
    <x:row r="1265">
      <x:c r="A1265" t="n">
        <x:v>46296</x:v>
      </x:c>
      <x:c r="B1265" t="str">
        <x:v>Phase 13G / 13G-09</x:v>
      </x:c>
      <x:c r="C1265" t="str">
        <x:v>13G-09 Ask Nexus Safe Availability Fallback Published</x:v>
      </x:c>
      <x:c r="D1265" t="str">
        <x:v>executive-benchmark-engine</x:v>
      </x:c>
      <x:c r="E1265" t="str">
        <x:v>58961e78cc2ae77720c07b98f2d59353f34c18da</x:v>
      </x:c>
      <x:c r="F1265" t="str">
        <x:v>Published a pure availability/low-confidence fallback contract that propagates caller-supplied uncertainty and prevents Ask Nexus from fabricating certainty.</x:v>
      </x:c>
      <x:c r="G1265" t="str">
        <x:v>Exactly two authorized files changed. Focused tests 10 PASS; lint/build/diff-check PASS; boundary review CLEAN-SCOPE.</x:v>
      </x:c>
      <x:c r="H1265" t="str">
        <x:v>PASS / 13G-09 CLOSED / PUBLISHED</x:v>
      </x:c>
      <x:c r="I1265" t="str">
        <x:v>Unavailable/limited evidence overrides confidence; malformed runtime states fail closed; no scoring, evidence discovery, business inference, execution, navigation or UI behavior.</x:v>
      </x:c>
      <x:c r="J1265" t="str">
        <x:v>Next executable canonical task: Phase 13G / 13G-10 — Lazy-load help/intelligence panel.</x:v>
      </x:c>
    </x:row>
    <x:row r="1266">
      <x:c r="A1266" t="n">
        <x:v>46296</x:v>
      </x:c>
      <x:c r="B1266" t="str">
        <x:v>Phase 13G / 13G-10</x:v>
      </x:c>
      <x:c r="C1266" t="str">
        <x:v>13G-10 Ask Nexus Lazy Performance Boundary Published / Phase 13G Closed</x:v>
      </x:c>
      <x:c r="D1266" t="str">
        <x:v>executive-benchmark-engine</x:v>
      </x:c>
      <x:c r="E1266" t="str">
        <x:v>35c81262a20beb7bfc8c8e0df9a051daa45d1497</x:v>
      </x:c>
      <x:c r="F1266" t="str">
        <x:v>Published a reusable next/dynamic wrapper for ExecutiveNexusGuide so closed help remains off the normal render path and the interactive drawer stays behind a client-only dynamic boundary.</x:v>
      </x:c>
      <x:c r="G1266" t="str">
        <x:v>Exactly two authorized files changed. Focused tests 7 PASS; lint/build/dynamic-boundary/diff-check PASS; boundary review CLEAN-SCOPE.</x:v>
      </x:c>
      <x:c r="H1266" t="str">
        <x:v>PASS / 13G-10 CLOSED / PUBLISHED / PHASE 13G 10 OF 10 CLOSED</x:v>
      </x:c>
      <x:c r="I1266" t="str">
        <x:v>No static runtime guide import, auto-prefetch/preload, local state ownership, Ask Nexus business logic, data/API/database/AI access, duplicated drawer UI, or page/layout change.</x:v>
      </x:c>
      <x:c r="J1266" t="str">
        <x:v>Next executable canonical task: Phase 13H / 13H-01 — Upgrade Executive Overview.</x:v>
      </x:c>
    </x:row>
    <x:row r="1267">
      <x:c r="A1267" t="n">
        <x:v>46296</x:v>
      </x:c>
      <x:c r="B1267" t="str">
        <x:v>Phase 13H / 13H-01</x:v>
      </x:c>
      <x:c r="C1267" t="str">
        <x:v>13H-01 Executive Overview Upgrade Published</x:v>
      </x:c>
      <x:c r="D1267" t="str">
        <x:v>executive-benchmark-engine</x:v>
      </x:c>
      <x:c r="E1267" t="str">
        <x:v>dfd7700c25f270a381d3fa81ec87a4911b346cf2</x:v>
      </x:c>
      <x:c r="F1267" t="str">
        <x:v>Published presentation-only upgrades to Executive Decision Context, Action Queue, and Portfolio Snapshot using existing executive primitives and tokens.</x:v>
      </x:c>
      <x:c r="G1267" t="str">
        <x:v>Exactly three authorized component files changed. Focused tests/lint/build/diff-check PASS; responsive/accessibility visual verification reported PASS; implementation visual rescore 9.4/10.</x:v>
      </x:c>
      <x:c r="H1267" t="str">
        <x:v>PASS / 13H-01 CLOSED / PUBLISHED</x:v>
      </x:c>
      <x:c r="I1267" t="str">
        <x:v>Dashboard page and golden test remained outside the commit; no business/data/procurement/confidentiality/route/design-system-source changes or new metrics/claims.</x:v>
      </x:c>
      <x:c r="J1267" t="str">
        <x:v>Next executable canonical task: Phase 13H / 13H-02 — Upgrade Procurement Center landing.</x:v>
      </x:c>
    </x:row>
    <x:row r="1268">
      <x:c r="A1268" t="n">
        <x:v>46296</x:v>
      </x:c>
      <x:c r="B1268" t="str">
        <x:v>Phase 13H / 13H-02</x:v>
      </x:c>
      <x:c r="C1268" t="str">
        <x:v>13H-02 Procurement Center Landing Upgrade Published</x:v>
      </x:c>
      <x:c r="D1268" t="str">
        <x:v>executive-benchmark-engine</x:v>
      </x:c>
      <x:c r="E1268" t="str">
        <x:v>f6e84ce88e0ca00ca74a1bea894a76c735b26419</x:v>
      </x:c>
      <x:c r="F1268" t="str">
        <x:v>Published a presentation-only Procurement Center landing upgrade using shared Executive Design System panels, metrics, badges, buttons and empty-state contracts.</x:v>
      </x:c>
      <x:c r="G1268" t="str">
        <x:v>Exactly one authorized file changed. Focused tests/lint/build/diff-check PASS; responsive/accessibility visual verification reported PASS; implementation visual rescore 9.4/10.</x:v>
      </x:c>
      <x:c r="H1268" t="str">
        <x:v>PASS / 13H-02 CLOSED / PUBLISHED</x:v>
      </x:c>
      <x:c r="I1268" t="str">
        <x:v>Marketplace view model, procurement authorization/data loading, sealed-budget behavior, invitation routing semantics and buyer/respondent modes remained unchanged.</x:v>
      </x:c>
      <x:c r="J1268" t="str">
        <x:v>Next executable canonical task: Phase 13H / 13H-03 — Upgrade RFQ Drafting &amp; Configuration.</x:v>
      </x:c>
    </x:row>
    <x:row r="1269">
      <x:c r="A1269" t="n">
        <x:v>46296</x:v>
      </x:c>
      <x:c r="B1269" t="str">
        <x:v>Phase 13H / 13H-03</x:v>
      </x:c>
      <x:c r="C1269" t="str">
        <x:v>13H-03 RFQ Drafting &amp; Configuration Upgrade Published</x:v>
      </x:c>
      <x:c r="D1269" t="str">
        <x:v>executive-benchmark-engine</x:v>
      </x:c>
      <x:c r="E1269" t="str">
        <x:v>e9a710ea187e6dccacab2432a3ab94b0bc9886f0</x:v>
      </x:c>
      <x:c r="F1269" t="str">
        <x:v>Published a presentation-only RFQ drafting/configuration upgrade using shared Executive Design System form, stepper, panel, dialog, progress and feedback contracts.</x:v>
      </x:c>
      <x:c r="G1269" t="str">
        <x:v>Exactly one authorized file changed. Focused tests/lint/build/diff-check PASS; responsive/accessibility visual verification reported PASS; implementation visual rescore 9.4/10.</x:v>
      </x:c>
      <x:c r="H1269" t="str">
        <x:v>PASS / 13H-03 CLOSED / PUBLISHED</x:v>
      </x:c>
      <x:c r="I1269" t="str">
        <x:v>Completeness, scope review, deadlines, autosave, acknowledgement gate, POST payload, replacement lineage, timers and redirect behavior remained unchanged; duplicate success UI was removed.</x:v>
      </x:c>
      <x:c r="J1269" t="str">
        <x:v>Next executable canonical task: Phase 13H / 13H-04 — Upgrade Market Engagement &amp; Publishing.</x:v>
      </x:c>
    </x:row>
    <x:row r="1270">
      <x:c r="A1270" t="n">
        <x:v>46296</x:v>
      </x:c>
      <x:c r="B1270" t="str">
        <x:v>Phase 13H / 13H-04</x:v>
      </x:c>
      <x:c r="C1270" t="str">
        <x:v>13H-04 Market Engagement &amp; Publishing Upgrade Published</x:v>
      </x:c>
      <x:c r="D1270" t="str">
        <x:v>executive-benchmark-engine</x:v>
      </x:c>
      <x:c r="E1270" t="str">
        <x:v>c21d2f045112bdd0af9b5acc363bedfe5a1d6648</x:v>
      </x:c>
      <x:c r="F1270" t="str">
        <x:v>Published a presentation-only RFQ market-engagement upgrade across the supplier invitation, AVL selection, delivery and result surfaces using shared Executive Design System contracts.</x:v>
      </x:c>
      <x:c r="G1270" t="str">
        <x:v>Exactly four authorized files changed. Focused tests/lint/build/diff-check PASS; responsive/accessibility visual verification reported PASS; implementation visual rescore 9.4/10.</x:v>
      </x:c>
      <x:c r="H1270" t="str">
        <x:v>PASS / 13H-04 CLOSED / PUBLISHED</x:v>
      </x:c>
      <x:c r="I1270" t="str">
        <x:v>Invitation/reuse/delivery truthfulness, secure invite-link fallback, AVL availability/selection and RFQ-vs-Workspace domain separation remained unchanged. No participation inference, quotation/award scope, parent RFQ page, RFI/Addenda, API/email/auth/data/database change.</x:v>
      </x:c>
      <x:c r="J1270" t="str">
        <x:v>Next executable canonical task: Phase 13H / 13H-05 — Upgrade Issuer RFI / Addenda Management.</x:v>
      </x:c>
    </x:row>
    <x:row r="1271">
      <x:c r="A1271" t="n">
        <x:v>46296</x:v>
      </x:c>
      <x:c r="B1271" t="str">
        <x:v>Phase 13H / 13H-05</x:v>
      </x:c>
      <x:c r="C1271" t="str">
        <x:v>13H-05 Issuer RFI / Addenda Management Upgrade Published</x:v>
      </x:c>
      <x:c r="D1271" t="str">
        <x:v>executive-benchmark-engine</x:v>
      </x:c>
      <x:c r="E1271" t="str">
        <x:v>74cdae5f556fb1c276ee430a1adc4b5a7d42ec05</x:v>
      </x:c>
      <x:c r="F1271" t="str">
        <x:v>Published presentation-only upgrades to Private RFI, governed Addenda management, and Addendum acknowledgement surfaces using shared Executive Design System contracts after first stabilizing the prerequisite governed package-change cluster.</x:v>
      </x:c>
      <x:c r="G1271" t="str">
        <x:v>Exactly three authorized UI files changed. Focused tests 93/93 PASS; lint/build/diff-check PASS; responsive/accessibility visual verification reported PASS; implementation visual rescore 9.35/10.</x:v>
      </x:c>
      <x:c r="H1271" t="str">
        <x:v>PASS / 13H-05 CLOSED / PUBLISHED</x:v>
      </x:c>
      <x:c r="I1271" t="str">
        <x:v>Private RFI confidentiality, governed package-change handoff, ordinary Addendum semantics, notification truthfulness and acknowledgement Clear/Blocked behavior remained unchanged. Prerequisite governance cluster published separately at 466b0ee1c8845a2e930a23c816a9a618814ebfd6.</x:v>
      </x:c>
      <x:c r="J1271" t="str">
        <x:v>Next executable canonical task: Phase 13H / 13H-06 — Upgrade Response Evaluation &amp; Award.</x:v>
      </x:c>
    </x:row>
    <x:row r="1272">
      <x:c r="A1272" t="n">
        <x:v>46296</x:v>
      </x:c>
      <x:c r="B1272" t="str">
        <x:v>Phase 13H / 13H-06</x:v>
      </x:c>
      <x:c r="C1272" t="str">
        <x:v>13H-06 Response Evaluation &amp; Award Upgrade Published</x:v>
      </x:c>
      <x:c r="D1272" t="str">
        <x:v>executive-benchmark-engine</x:v>
      </x:c>
      <x:c r="E1272" t="str">
        <x:v>2d8f4ae948eedbca4bc6bbd61f4c592499ff9e4a</x:v>
      </x:c>
      <x:c r="F1272" t="str">
        <x:v>Published presentation-only upgrades to RFQ quote comparison, recommended award path, and consequential award action using shared Executive Design System contracts.</x:v>
      </x:c>
      <x:c r="G1272" t="str">
        <x:v>Exactly three authorized files changed. Focused tests/lint/build/diff-check PASS; responsive/accessibility visual verification reported PASS; implementation visual rescore 9.34/10.</x:v>
      </x:c>
      <x:c r="H1272" t="str">
        <x:v>PASS / 13H-06 CLOSED / PUBLISHED</x:v>
      </x:c>
      <x:c r="I1272" t="str">
        <x:v>Commercial confidentiality, scoring/ranking, material-revalidation award gating, recommendation non-binding semantics, award API/confirmation/redirect/error-sanitization behavior remained unchanged.</x:v>
      </x:c>
      <x:c r="J1272" t="str">
        <x:v>Next executable canonical task: Phase 13H / 13H-07 — Upgrade Respondent RFQ Review &amp; Scoping.</x:v>
      </x:c>
    </x:row>
    <x:row r="1273">
      <x:c r="A1273" t="n">
        <x:v>46296</x:v>
      </x:c>
      <x:c r="B1273" t="str">
        <x:v>Phase 13H / 13H-07</x:v>
      </x:c>
      <x:c r="C1273" t="str">
        <x:v>13H-07 Respondent RFQ Review &amp; Scoping Upgrade Published</x:v>
      </x:c>
      <x:c r="D1273" t="str">
        <x:v>executive-benchmark-engine</x:v>
      </x:c>
      <x:c r="E1273" t="str">
        <x:v>5de338c618ce9d227654e1b744e591c362fad3bb</x:v>
      </x:c>
      <x:c r="F1273" t="str">
        <x:v>Published presentation-only upgrades to respondent procurement context, governance/confidentiality notices, and required-document review surfaces using shared Executive Design System contracts.</x:v>
      </x:c>
      <x:c r="G1273" t="str">
        <x:v>Exactly three authorized files changed. Focused tests 89/89 PASS; lint/build/diff-check PASS; accessibility PASS; respondent Document Requirements responsive QA passed with remaining surfaces code/contract verified.</x:v>
      </x:c>
      <x:c r="H1273" t="str">
        <x:v>PASS / 13H-07 CLOSED / PUBLISHED</x:v>
      </x:c>
      <x:c r="I1273" t="str">
        <x:v>Respondent read-only behavior, confidentiality/safe aggregate semantics, governed requirement mutation and handoff contracts, and commercial agency remained unchanged. No automated bid/no-bid recommendation or buyer-only intelligence was introduced.</x:v>
      </x:c>
      <x:c r="J1273" t="str">
        <x:v>Next executable canonical task: Phase 13H / 13H-08 — Upgrade Respondent RFI &amp; Clarifications.</x:v>
      </x:c>
    </x:row>
    <x:row r="1274">
      <x:c r="A1274" t="n">
        <x:v>46296</x:v>
      </x:c>
      <x:c r="B1274" t="str">
        <x:v>Phase 13H / 13H-08</x:v>
      </x:c>
      <x:c r="C1274" t="str">
        <x:v>13H-08 Respondent RFI &amp; Clarifications Upgrade Published</x:v>
      </x:c>
      <x:c r="D1274" t="str">
        <x:v>executive-benchmark-engine</x:v>
      </x:c>
      <x:c r="E1274" t="str">
        <x:v>b31effc48c13f6fbc8a5d972747acfd7e0cd2e1a</x:v>
      </x:c>
      <x:c r="F1274" t="str">
        <x:v>Closed 13H-08 with a one-file role-aware wrapper clarification after confirming the core respondent RFI/Addendum experience was already satisfied by the published 13H-05 implementation.</x:v>
      </x:c>
      <x:c r="G1274" t="str">
        <x:v>Exactly one authorized file changed. Focused tests 62/62 PASS; lint/build/diff-check PASS; desktop/tablet/mobile visual verification PASS; no horizontal overflow.</x:v>
      </x:c>
      <x:c r="H1274" t="str">
        <x:v>PASS / 13H-08 CLOSED / PUBLISHED</x:v>
      </x:c>
      <x:c r="I1274" t="str">
        <x:v>Private RFI creation, issuer response visibility, Addendum impact, acknowledgement Clear/Blocked semantics and all frozen 13H-05 component behavior remained unchanged. Respondent issuer-authority implication was removed from wrapper copy only.</x:v>
      </x:c>
      <x:c r="J1274" t="str">
        <x:v>Next executable canonical task: Phase 13H / 13H-09 — Upgrade Quote &amp; Proposal Preparation.</x:v>
      </x:c>
    </x:row>
    <x:row r="1275">
      <x:c r="A1275" t="n">
        <x:v>46296</x:v>
      </x:c>
      <x:c r="B1275" t="str">
        <x:v>Phase 13H / 13H-09</x:v>
      </x:c>
      <x:c r="C1275" t="str">
        <x:v>13H-09 Quote &amp; Proposal Preparation Upgrade Published</x:v>
      </x:c>
      <x:c r="D1275" t="str">
        <x:v>executive-benchmark-engine</x:v>
      </x:c>
      <x:c r="E1275" t="str">
        <x:v>1d92ab206de37f51b1608ddb7626f88f2802e41c</x:v>
      </x:c>
      <x:c r="F1275" t="str">
        <x:v>Published a one-file presentation-only upgrade to the respondent quote/proposal preparation workspace using shared Executive Design System contracts.</x:v>
      </x:c>
      <x:c r="G1275" t="str">
        <x:v>Exactly one authorized file changed. Focused tests/lint/build/diff-check PASS; accessibility PASS; no horizontal overflow; visual QA PARTIAL due fixture coverage limits.</x:v>
      </x:c>
      <x:c r="H1275" t="str">
        <x:v>PASS / 13H-09 CLOSED / PUBLISHED</x:v>
      </x:c>
      <x:c r="I1275" t="str">
        <x:v>Pricing, completeness/readiness, deadline risk, material revalidation, acknowledgement gating, reconfirm/resubmit semantics, quote API payloads and success redirect behavior remained unchanged.</x:v>
      </x:c>
      <x:c r="J1275" t="str">
        <x:v>Next executable canonical task: Phase 13H / 13H-10 — Upgrade Submission &amp; Award Tracking.</x:v>
      </x:c>
    </x:row>
    <x:row r="1276">
      <x:c r="A1276" t="n">
        <x:v>46296</x:v>
      </x:c>
      <x:c r="B1276" t="str">
        <x:v>Phase 13H / 13H-10</x:v>
      </x:c>
      <x:c r="C1276" t="str">
        <x:v>13H-10 Submission &amp; Award Tracking Upgrade Published</x:v>
      </x:c>
      <x:c r="D1276" t="str">
        <x:v>executive-benchmark-engine</x:v>
      </x:c>
      <x:c r="E1276" t="str">
        <x:v>4f0340ed8074028e3cfee407f3e04054a3ecbc17</x:v>
      </x:c>
      <x:c r="F1276" t="str">
        <x:v>Published a two-file presentation-only upgrade to respondent submission/outcome tracking after first closing the commercial-read and award-gating security prerequisite.</x:v>
      </x:c>
      <x:c r="G1276" t="str">
        <x:v>Exactly two authorized files changed. Focused tests/lint/build/diff-check PASS; desktop/tablet/mobile/deadline-context/accessibility verification PASS; visual rescore 9.4/10.</x:v>
      </x:c>
      <x:c r="H1276" t="str">
        <x:v>PASS / 13H-10 CLOSED / PUBLISHED</x:v>
      </x:c>
      <x:c r="I1276" t="str">
        <x:v>Own-quote isolation, competitor confidentiality, commercial-read authorization, pre-opening lockbox, status mapping, Approved/Awarded distinction, material revalidation, closed-state gating and outcome semantics remained unchanged. Security prerequisite published separately at 530dbae552f51c63f75e596850374d2d41179d20.</x:v>
      </x:c>
      <x:c r="J1276" t="str">
        <x:v>Next executable canonical task: Phase 13H / 13H-11 — Upgrade Activity Center.</x:v>
      </x:c>
    </x:row>
    <x:row r="1277">
      <x:c r="A1277" t="n">
        <x:v>46296</x:v>
      </x:c>
      <x:c r="B1277" t="str">
        <x:v>Phase 13H / 13H-11</x:v>
      </x:c>
      <x:c r="C1277" t="str">
        <x:v>13H-11 Activity Center Blocked — My Tasks Contract Missing</x:v>
      </x:c>
      <x:c r="D1277" t="str">
        <x:v>executive-benchmark-engine</x:v>
      </x:c>
      <x:c r="E1277" t="str">
        <x:v>c22ea4b1d111e061001372c5cb4442895919de50</x:v>
      </x:c>
      <x:c r="F1277" t="str">
        <x:v>Recorded a governed blocker after proving that the launch-frozen Activity Center supports Needs Attention, Updates and History only and explicitly forbids personal My Tasks derivation.</x:v>
      </x:c>
      <x:c r="G1277" t="str">
        <x:v>No code changes. Existing company-scoped notification query, RFQ source authorization, attention prioritization, Updates and History remain intact. Focused tests/lint/build/diff-check PASS; no horizontal overflow; visual acceptance cannot complete because required My Tasks semantics are not backed by an approved data/ownership model.</x:v>
      </x:c>
      <x:c r="H1277" t="str">
        <x:v>BLOCKED / 13H-11 OPEN</x:v>
      </x:c>
      <x:c r="I1277" t="str">
        <x:v>Resolution requires an approved task ownership/assignment contract or explicit Master Plan acceptance change. No new table/API/event taxonomy was invented.</x:v>
      </x:c>
      <x:c r="J1277" t="str">
        <x:v>Continue with dependency-independent Phase 13H / 13H-12 — Upgrade Project Portfolio; return to 13H-11 when the blocker is resolved.</x:v>
      </x:c>
    </x:row>
    <x:row r="1278">
      <x:c r="A1278" t="n">
        <x:v>46297</x:v>
      </x:c>
      <x:c r="B1278" t="str">
        <x:v>Phase 13H / 13H-12</x:v>
      </x:c>
      <x:c r="C1278" t="str">
        <x:v>13H-12 Project Portfolio Upgrade Published</x:v>
      </x:c>
      <x:c r="D1278" t="str">
        <x:v>executive-benchmark-engine</x:v>
      </x:c>
      <x:c r="E1278" t="str">
        <x:v>696400d4f4e8a8b8b453be19bbc23971b9148b1d</x:v>
      </x:c>
      <x:c r="F1278" t="str">
        <x:v>Published a five-file presentation-only Project Portfolio upgrade using shared Executive Design System patterns and more precise procurement wording.</x:v>
      </x:c>
      <x:c r="G1278" t="str">
        <x:v>Focused tests/lint/build/diff-check PASS; accessibility PASS; no horizontal overflow; live visual QA PARTIAL due safe-fixture limits; visual rescore 9.4/10.</x:v>
      </x:c>
      <x:c r="H1278" t="str">
        <x:v>PASS / 13H-12 CLOSED / PUBLISHED</x:v>
      </x:c>
      <x:c r="I1278" t="str">
        <x:v>Company scope, active membership, owner/admin create authorization, Project identity independence, Project Code association, same-company RFQ context, evidence-only insights and Award Recorded semantics preserved. No repository/API/RLS/auth/data or commercial-data expansion.</x:v>
      </x:c>
      <x:c r="J1278" t="str">
        <x:v>Next executable canonical task: Phase 13H / 13H-13 — Upgrade Company Network. 13H-11 remains blocked pending approved My Tasks semantics.</x:v>
      </x:c>
    </x:row>
    <x:row r="1279">
      <x:c r="A1279" t="n">
        <x:v>46297</x:v>
      </x:c>
      <x:c r="B1279" t="str">
        <x:v>Phase 13H / 13H-13</x:v>
      </x:c>
      <x:c r="C1279" t="str">
        <x:v>13H-13 Company Network Upgrade Published</x:v>
      </x:c>
      <x:c r="D1279" t="str">
        <x:v>executive-benchmark-engine</x:v>
      </x:c>
      <x:c r="E1279" t="str">
        <x:v>4be2577c78e99cf473101683461122a629965871</x:v>
      </x:c>
      <x:c r="F1279" t="str">
        <x:v>Published a three-file presentation-only Company Network discovery upgrade after separately removing unsafe public RFQ/audit disclosure.</x:v>
      </x:c>
      <x:c r="G1279" t="str">
        <x:v>Focused tests/lint/build/diff-check PASS; desktop/tablet/mobile/accessibility verification PASS; no horizontal overflow; visual rescore 9.4/10.</x:v>
      </x:c>
      <x:c r="H1279" t="str">
        <x:v>PASS / 13H-13 CLOSED / PUBLISHED</x:v>
      </x:c>
      <x:c r="I1279" t="str">
        <x:v>Company-neutral discovery, public capability taxonomy, public-only qualification filtering, factual verification wording and public-data confidentiality boundary preserved. Security prerequisite published separately at 312d5a4579176d8c43538786f69b7cf2f8af03a6. No RFQ/audit/commercial viewer-dependent data reintroduced.</x:v>
      </x:c>
      <x:c r="J1279" t="str">
        <x:v>Next executable canonical task: Phase 13H / 13H-14 — Upgrade Strategic Insights. 13H-11 remains blocked pending approved My Tasks semantics.</x:v>
      </x:c>
    </x:row>
    <x:row r="1280">
      <x:c r="A1280" t="n">
        <x:v>46297</x:v>
      </x:c>
      <x:c r="B1280" t="str">
        <x:v>Phase 13H / 13H-14</x:v>
      </x:c>
      <x:c r="C1280" t="str">
        <x:v>13H-14 Strategic Insights Blocked — Analytics Freeze Conflict</x:v>
      </x:c>
      <x:c r="D1280" t="str">
        <x:v>executive-benchmark-engine</x:v>
      </x:c>
      <x:c r="E1280" t="str">
        <x:v>d5b7b81b7e36ea54fe20514f90ef85224e502716</x:v>
      </x:c>
      <x:c r="F1280" t="str">
        <x:v>Recorded a governed blocker after read-only reconciliation proved that Strategic Insights maps to the previously Product-Gate-frozen /analytics surface and no explicit freeze supersede is authorized.</x:v>
      </x:c>
      <x:c r="G1280" t="str">
        <x:v>No code changes. Commercial confidentiality, recommendation-vs-award semantics and evidence/inference truthfulness remain intact. Current HEAD baseline estimated at 9.3/10; observed shell design-system drift is not authorized to fix under the active freeze.</x:v>
      </x:c>
      <x:c r="H1280" t="str">
        <x:v>BLOCKED / 13H-14 OPEN</x:v>
      </x:c>
      <x:c r="I1280" t="str">
        <x:v>Substantial unrelated dirty Analytics WIP remains excluded. Resolution requires explicit Product Owner/Master Plan authorization to reopen exact presentation files or explicit acceptance that prior Product-Gate evidence satisfies 13H-14.</x:v>
      </x:c>
      <x:c r="J1280" t="str">
        <x:v>Continue with dependency-independent Phase 13H / 13H-15 — Upgrade Identity &amp; Profile; return to 13H-14 only after freeze resolution.</x:v>
      </x:c>
    </x:row>
    <x:row r="1281">
      <x:c r="A1281" t="n">
        <x:v>46297</x:v>
      </x:c>
      <x:c r="B1281" t="str">
        <x:v>Phase 13H / 13H-15</x:v>
      </x:c>
      <x:c r="C1281" t="str">
        <x:v>13H-15 Identity &amp; Profile Upgrade Published</x:v>
      </x:c>
      <x:c r="D1281" t="str">
        <x:v>executive-benchmark-engine</x:v>
      </x:c>
      <x:c r="E1281" t="str">
        <x:v>611e561dcb9df09033545adf8e119894b6728fe4</x:v>
      </x:c>
      <x:c r="F1281" t="str">
        <x:v>Published a five-file presentation-only Identity &amp; Profile upgrade covering Professional Identity and Company Profile surfaces.</x:v>
      </x:c>
      <x:c r="G1281" t="str">
        <x:v>Lint/build/diff-check PASS; desktop/tablet/mobile/accessibility verification PASS; no horizontal overflow; visual rescore 9.5/10. Known stale Location N/A assertion remains out of scope and unchanged.</x:v>
      </x:c>
      <x:c r="H1281" t="str">
        <x:v>PASS / 13H-15 CLOSED / PUBLISHED</x:v>
      </x:c>
      <x:c r="I1281" t="str">
        <x:v>Professional identity, job-title, account-email, company identity, network-role and company-management authorization semantics preserved. No API/RLS/database, Team &amp; Access, invitations, ownership/governance or unrelated domain changes.</x:v>
      </x:c>
      <x:c r="J1281" t="str">
        <x:v>Next executable canonical task: Phase 13H / 13H-16 — Upgrade Team &amp; Access. Preserve the stale Location N/A assertion as a separate pre-existing defect until its owning scope is addressed.</x:v>
      </x:c>
    </x:row>
    <x:row r="1282">
      <x:c r="A1282" t="n">
        <x:v>46297</x:v>
      </x:c>
      <x:c r="B1282" t="str">
        <x:v>Phase 13H / 13H-16</x:v>
      </x:c>
      <x:c r="C1282" t="str">
        <x:v>13H-16 Team &amp; Access Upgrade Published</x:v>
      </x:c>
      <x:c r="D1282" t="str">
        <x:v>executive-benchmark-engine</x:v>
      </x:c>
      <x:c r="E1282" t="str">
        <x:v>542704f3183c597357ce1dd9237914648c3ee103</x:v>
      </x:c>
      <x:c r="F1282" t="str">
        <x:v>Published a four-file presentation-only Team &amp; Access upgrade covering company members, workspace invitations, member actions, and invitation actions.</x:v>
      </x:c>
      <x:c r="G1282" t="str">
        <x:v>Focused tests/lint/build/diff-check PASS; desktop/tablet/mobile/accessibility verification PASS; no horizontal overflow; visual rescore 9.4/10.</x:v>
      </x:c>
      <x:c r="H1282" t="str">
        <x:v>PASS / 13H-16 CLOSED / PUBLISHED</x:v>
      </x:c>
      <x:c r="I1282" t="str">
        <x:v>Workspace Membership, Workspace Role, Procurement Function, Workspace Invitation and RFQ Invitation remain distinct. Owner/self protections and owner/admin authority preserved. No API/RLS/database, Company Profile, Professional Identity, Ownership/Governance or RFQ Invitation business-flow changes.</x:v>
      </x:c>
      <x:c r="J1282" t="str">
        <x:v>Next executable canonical task: Phase 13H / 13H-17 — Upgrade Capabilities &amp; Qualifications. Keep the stale Location N/A assertion out of scope until its owning surface is addressed.</x:v>
      </x:c>
    </x:row>
    <x:row r="1283">
      <x:c r="A1283" t="n">
        <x:v>46297</x:v>
      </x:c>
      <x:c r="B1283" t="str">
        <x:v>Phase 13H / 13H-17</x:v>
      </x:c>
      <x:c r="C1283" t="str">
        <x:v>13H-17 Capabilities &amp; Qualifications Upgrade Published</x:v>
      </x:c>
      <x:c r="D1283" t="str">
        <x:v>executive-benchmark-engine</x:v>
      </x:c>
      <x:c r="E1283" t="str">
        <x:v>3601c38fdd9b2ee88f82dd3a299d9b3e0f67f653</x:v>
      </x:c>
      <x:c r="F1283" t="str">
        <x:v>Published a two-file presentation-only Capabilities &amp; Qualifications editor upgrade.</x:v>
      </x:c>
      <x:c r="G1283" t="str">
        <x:v>Focused tests/lint/build/diff-check PASS; desktop/tablet/mobile/accessibility verification PASS; no horizontal overflow; visual rescore 9.4/10.</x:v>
      </x:c>
      <x:c r="H1283" t="str">
        <x:v>PASS / 13H-17 CLOSED / PUBLISHED</x:v>
      </x:c>
      <x:c r="I1283" t="str">
        <x:v>Capability and qualification taxonomy, normalization, deduplication, limits, API payloads and qualification public-visibility semantics preserved. Credential Identifier remains workspace-only. No Public Company Network/display/API/RLS/database changes.</x:v>
      </x:c>
      <x:c r="J1283" t="str">
        <x:v>Next executable canonical task: Phase 13H / 13H-18 — Upgrade Compliance &amp; Documents. Keep the stale Location N/A assertion out of scope until its owning surface is addressed.</x:v>
      </x:c>
    </x:row>
    <x:row r="1284">
      <x:c r="A1284" t="n">
        <x:v>46297</x:v>
      </x:c>
      <x:c r="B1284" t="str">
        <x:v>Phase 13H / 13H-18</x:v>
      </x:c>
      <x:c r="C1284" t="str">
        <x:v>13H-18 Compliance &amp; Documents Upgrade Published</x:v>
      </x:c>
      <x:c r="D1284" t="str">
        <x:v>executive-benchmark-engine</x:v>
      </x:c>
      <x:c r="E1284" t="str">
        <x:v>2b663f0cd7da74f2400a252406122c506dccb0ea</x:v>
      </x:c>
      <x:c r="F1284" t="str">
        <x:v>Published a two-file presentation-only Compliance &amp; Documents editor upgrade.</x:v>
      </x:c>
      <x:c r="G1284" t="str">
        <x:v>Focused tests/lint/build/diff-check PASS; desktop/tablet/mobile/accessibility verification PASS; no horizontal overflow; visual rescore 9.4/10.</x:v>
      </x:c>
      <x:c r="H1284" t="str">
        <x:v>PASS / 13H-18 CLOSED / PUBLISHED</x:v>
      </x:c>
      <x:c r="I1284" t="str">
        <x:v>Compliance/document taxonomy, self-declared framing, date/status derivation, upload/replace/download/delete behavior, storage and API contracts preserved. No Public Company Network/display/API/RLS/database changes.</x:v>
      </x:c>
      <x:c r="J1284" t="str">
        <x:v>Next executable canonical task: Phase 13H / 13H-19 — Upgrade Policies &amp; Approvals. Keep the stale Location N/A assertion out of scope until its owning surface is addressed.</x:v>
      </x:c>
    </x:row>
    <x:row r="1285">
      <x:c r="A1285" t="n">
        <x:v>46297</x:v>
      </x:c>
      <x:c r="B1285" t="str">
        <x:v>Phase 13H / 13H-19</x:v>
      </x:c>
      <x:c r="C1285" t="str">
        <x:v>13H-19 Policies &amp; Approvals Upgrade Published</x:v>
      </x:c>
      <x:c r="D1285" t="str">
        <x:v>executive-benchmark-engine</x:v>
      </x:c>
      <x:c r="E1285" t="str">
        <x:v>306a4006ce77602e7d662eb7ef59e6a39204e11d</x:v>
      </x:c>
      <x:c r="F1285" t="str">
        <x:v>Published a one-file presentation-only Policies &amp; Approvals governance overview upgrade.</x:v>
      </x:c>
      <x:c r="G1285" t="str">
        <x:v>Focused governance tests/lint/build/diff-check PASS; desktop/tablet/mobile/accessibility verification PASS; no horizontal overflow; visual rescore 9.4/10.</x:v>
      </x:c>
      <x:c r="H1285" t="str">
        <x:v>PASS / 13H-19 CLOSED / PUBLISHED</x:v>
      </x:c>
      <x:c r="I1285" t="str">
        <x:v>Read-only overview preserved; no new approval workflow/mutation controls. Workspace vs RFQ invitations, quotation vs award, RFQ-only award workflow, platform-governed verification and ownership boundaries remain intact.</x:v>
      </x:c>
      <x:c r="J1285" t="str">
        <x:v>Next executable canonical task: Phase 13H / 13H-20 — Upgrade Integrations &amp; Settings. Keep the stale Location N/A assertion out of scope until its owning surface is addressed.</x:v>
      </x:c>
    </x:row>
    <x:row r="1286">
      <x:c r="A1286" t="n">
        <x:v>46297</x:v>
      </x:c>
      <x:c r="B1286" t="str">
        <x:v>Phase 13H / 13H-20</x:v>
      </x:c>
      <x:c r="C1286" t="str">
        <x:v>13H-20 Integrations &amp; Settings Upgrade Published</x:v>
      </x:c>
      <x:c r="D1286" t="str">
        <x:v>executive-benchmark-engine</x:v>
      </x:c>
      <x:c r="E1286" t="str">
        <x:v>0e577c1cbf442c89b4459775ced89c3c0f86cca6</x:v>
      </x:c>
      <x:c r="F1286" t="str">
        <x:v>Published a one-file presentation-only Workspace Settings utility/configuration shell upgrade.</x:v>
      </x:c>
      <x:c r="G1286" t="str">
        <x:v>Focused tests/lint/build/diff-check PASS; authenticated real-route desktop/tablet/mobile/accessibility verification PASS; no horizontal overflow; no introduced console errors; visual rescore 9.3/10.</x:v>
      </x:c>
      <x:c r="H1286" t="str">
        <x:v>PASS / 13H-20 CLOSED / PUBLISHED</x:v>
      </x:c>
      <x:c r="I1286" t="str">
        <x:v>No fake integration surface, operational KPI/dashboard content, environment/provider configuration, auth/data/authorization/API/RLS/database or closed-section-internal changes. Existing fail-closed unauthenticated identity behavior unchanged.</x:v>
      </x:c>
      <x:c r="J1286" t="str">
        <x:v>Phase 13H has no remaining Not Started tasks but remains BLOCKED by 13H-11 and 13H-14. Reconcile those blockers before 13I-01.</x:v>
      </x:c>
    </x:row>
    <x:row r="1287">
      <x:c r="A1287" t="n">
        <x:v>46297</x:v>
      </x:c>
      <x:c r="B1287" t="str">
        <x:v>Phase 13H / 13H-14</x:v>
      </x:c>
      <x:c r="C1287" t="str">
        <x:v>13H-14 Strategic Insights Limited Exception Published</x:v>
      </x:c>
      <x:c r="D1287" t="str">
        <x:v>executive-benchmark-engine</x:v>
      </x:c>
      <x:c r="E1287" t="str">
        <x:v>6a412c36425d3ad6c50d53b4804c0370dc766000</x:v>
      </x:c>
      <x:c r="F1287" t="str">
        <x:v>Published a one-file presentation-only Strategic Insights upgrade from an isolated clean worktree, preserving the unrelated dirty analytics/M4 main-worktree cluster.</x:v>
      </x:c>
      <x:c r="G1287" t="str">
        <x:v>Authenticated desktop/tablet/mobile/accessibility QA PASS; lint/build/diff-check PASS; analytics permission test PASS 22/22; three truthfulness-test failures independently reproduced on clean HEAD and classified as pre-existing baseline defects; no new failures introduced.</x:v>
      </x:c>
      <x:c r="H1287" t="str">
        <x:v>PASS / 13H-14 CLOSED / PUBLISHED</x:v>
      </x:c>
      <x:c r="I1287" t="str">
        <x:v>Analytics business logic, source loader, commercial gating/confidentiality, score/readiness logic, report/export/narrative/M4 consumers, section IDs/hrefs, API/RLS/database and child analytics components unchanged.</x:v>
      </x:c>
      <x:c r="J1287" t="str">
        <x:v>Phase 13H remains BLOCKED only by 13H-11 Activity Center / My Tasks data-model contract. Do not start 13I-01 until that blocker is formally dispositioned.</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fd9a0259eaf54614"/>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c10c461d35c14663"/>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Completed</x:v>
      </x:c>
      <x:c r="J10"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str">
        <x:v>Completed</x:v>
      </x:c>
      <x:c r="J11" s="133" t="str">
        <x:v>U6 / Phase 13G CLOSED — 13G-01 through 13G-10 PASS/CLOSED/PUBLISHED. Ask Nexus now has trust boundaries, authorized context, suggested questions, Guide This Page replay, safe deep links, evidence views, consequential-action confirmation, RFQ permission inheritance, safe unavailable/low-confidence fallbacks, and a lazy ExecutiveNexusGuide performance boundary. Next executable canonical task: 13H-01 Upgrade Executive Overview.</x:v>
      </x:c>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str">
        <x:v>Blocked</x:v>
      </x:c>
      <x:c r="J12" s="133" t="str">
        <x:v>U7 / Phase 13H BLOCKED — 19 of 20 page-upgrade tasks are PASS/CLOSED/PUBLISHED. 13H-14 Strategic Insights is now PASS/CLOSED via a one-file presentation-only limited exception executed in an isolated clean worktree; the unrelated main-worktree analytics/M4 rewrite cluster remains untouched. 13H-11 remains the sole blocker because the approved Activity Center contract has no canonical My Tasks ownership/assignee/due-date model. Do not start 13I-01 final rescoring until 13H-11 is formally dispositioned under the Master Plan.</x:v>
      </x:c>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f4c6b6dd42bd479b"/>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853944045b5343b3"/>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c301a4410c5c45e6"/>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09d77efbb77b4792"/>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