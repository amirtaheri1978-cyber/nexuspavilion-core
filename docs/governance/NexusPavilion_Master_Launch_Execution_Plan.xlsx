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7c414aabf804115" /></Relationships>
</file>

<file path=xl/workbook.xml><?xml version="1.0" encoding="utf-8"?>
<x:workbook xmlns:x="http://schemas.openxmlformats.org/spreadsheetml/2006/main">
  <x:sheets>
    <x:sheet xmlns:r="http://schemas.openxmlformats.org/officeDocument/2006/relationships" name="01 Master Plan" sheetId="1" r:id="Rccb7aae7c1cd484d"/>
    <x:sheet xmlns:r="http://schemas.openxmlformats.org/officeDocument/2006/relationships" name="03 Launch Gates" sheetId="2" r:id="R906611fd339c4f60"/>
    <x:sheet xmlns:r="http://schemas.openxmlformats.org/officeDocument/2006/relationships" name="00 Dashboard" sheetId="3" r:id="Rc5c9e2af84904012"/>
    <x:sheet xmlns:r="http://schemas.openxmlformats.org/officeDocument/2006/relationships" name="04 Cursor Tasks" sheetId="4" r:id="R91b77e1d6aed4a87"/>
    <x:sheet xmlns:r="http://schemas.openxmlformats.org/officeDocument/2006/relationships" name="05 UAT Matrix" sheetId="5" r:id="Rbd0f17ba949f4106"/>
    <x:sheet xmlns:r="http://schemas.openxmlformats.org/officeDocument/2006/relationships" name="06 Security Matrix" sheetId="6" r:id="Rafe047da6b4a4e6c"/>
    <x:sheet xmlns:r="http://schemas.openxmlformats.org/officeDocument/2006/relationships" name="07 Risks" sheetId="7" r:id="Rbcb9f98e2b164e19"/>
    <x:sheet xmlns:r="http://schemas.openxmlformats.org/officeDocument/2006/relationships" name="08 Architecture" sheetId="8" r:id="R944eac2ddebe4710"/>
    <x:sheet xmlns:r="http://schemas.openxmlformats.org/officeDocument/2006/relationships" name="09 Release Checklist" sheetId="9" r:id="R7a7408cba78b4051"/>
    <x:sheet xmlns:r="http://schemas.openxmlformats.org/officeDocument/2006/relationships" name="10 Change Log" sheetId="10" r:id="R13d3a4210953402e"/>
    <x:sheet xmlns:r="http://schemas.openxmlformats.org/officeDocument/2006/relationships" name="11 Scope &amp; Roadmap" sheetId="11" r:id="Rc4751fbd64b7469d"/>
    <x:sheet xmlns:r="http://schemas.openxmlformats.org/officeDocument/2006/relationships" name="12 How to Use" sheetId="12" r:id="Rf10acdb0144e4af6"/>
    <x:sheet xmlns:r="http://schemas.openxmlformats.org/officeDocument/2006/relationships" name="13 UI Program" sheetId="13" r:id="Rd0a040c559cc48cc"/>
    <x:sheet xmlns:r="http://schemas.openxmlformats.org/officeDocument/2006/relationships" name="14 UI Scorecard" sheetId="14" r:id="Rf459fda12a704f51"/>
    <x:sheet xmlns:r="http://schemas.openxmlformats.org/officeDocument/2006/relationships" name="15 Motion Guidance" sheetId="15" r:id="R87cf136efa3f4f86"/>
    <x:sheet xmlns:r="http://schemas.openxmlformats.org/officeDocument/2006/relationships" name="16 Design Standards" sheetId="16" r:id="Re2e355758e3641ba"/>
    <x:sheet xmlns:r="http://schemas.openxmlformats.org/officeDocument/2006/relationships" name="17 Corporate Platform" sheetId="17" r:id="R77c00839e81e438e"/>
    <x:sheet xmlns:r="http://schemas.openxmlformats.org/officeDocument/2006/relationships" name="18 Analytics Reuse Map" sheetId="18" r:id="R38fb0a09a5bb4d20"/>
    <x:sheet xmlns:r="http://schemas.openxmlformats.org/officeDocument/2006/relationships" name="19 Executive Insights Discovery" sheetId="19" r:id="R63d6f883206b4451"/>
    <x:sheet xmlns:r="http://schemas.openxmlformats.org/officeDocument/2006/relationships" name="20 Procurement Insights Discovery" sheetId="20" r:id="R4f3d3fcfaf074866"/>
    <x:sheet xmlns:r="http://schemas.openxmlformats.org/officeDocument/2006/relationships" name="21 Commercial Insights Discovery" sheetId="21" r:id="R836be96970f84135"/>
    <x:sheet xmlns:r="http://schemas.openxmlformats.org/officeDocument/2006/relationships" name="22 Project Insights Discovery" sheetId="22" r:id="R72fc95d86d3d4de5"/>
    <x:sheet xmlns:r="http://schemas.openxmlformats.org/officeDocument/2006/relationships" name="23 Performance Discovery" sheetId="23" r:id="R99d8711469664768"/>
    <x:sheet xmlns:r="http://schemas.openxmlformats.org/officeDocument/2006/relationships" name="24 Risk Compliance Discovery" sheetId="24" r:id="Rbc65a0a6f38f45b3"/>
    <x:sheet xmlns:r="http://schemas.openxmlformats.org/officeDocument/2006/relationships" name="25 Commercial Handoff" sheetId="25" r:id="R9c8149382c8e4204"/>
    <x:sheet xmlns:r="http://schemas.openxmlformats.org/officeDocument/2006/relationships" name="26 RFQ Governance" sheetId="26" r:id="Rb099321407a74f2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fcb8ef59d374358" /><Relationship Type="http://schemas.openxmlformats.org/officeDocument/2006/relationships/theme" Target="/xl/theme/theme1.xml" Id="R73eb23c3b04a45f8" /><Relationship Type="http://schemas.openxmlformats.org/officeDocument/2006/relationships/sharedStrings" Target="/xl/sharedStrings.xml" Id="R9f63666f19f74042" /><Relationship Type="http://schemas.openxmlformats.org/officeDocument/2006/relationships/worksheet" Target="/xl/worksheets/sheet1.xml" Id="Rccb7aae7c1cd484d" /><Relationship Type="http://schemas.openxmlformats.org/officeDocument/2006/relationships/worksheet" Target="/xl/worksheets/sheet2.xml" Id="R906611fd339c4f60" /><Relationship Type="http://schemas.openxmlformats.org/officeDocument/2006/relationships/worksheet" Target="/xl/worksheets/sheet3.xml" Id="Rc5c9e2af84904012" /><Relationship Type="http://schemas.openxmlformats.org/officeDocument/2006/relationships/worksheet" Target="/xl/worksheets/sheet4.xml" Id="R91b77e1d6aed4a87" /><Relationship Type="http://schemas.openxmlformats.org/officeDocument/2006/relationships/worksheet" Target="/xl/worksheets/sheet5.xml" Id="Rbd0f17ba949f4106" /><Relationship Type="http://schemas.openxmlformats.org/officeDocument/2006/relationships/worksheet" Target="/xl/worksheets/sheet6.xml" Id="Rafe047da6b4a4e6c" /><Relationship Type="http://schemas.openxmlformats.org/officeDocument/2006/relationships/worksheet" Target="/xl/worksheets/sheet7.xml" Id="Rbcb9f98e2b164e19" /><Relationship Type="http://schemas.openxmlformats.org/officeDocument/2006/relationships/worksheet" Target="/xl/worksheets/sheet8.xml" Id="R944eac2ddebe4710" /><Relationship Type="http://schemas.openxmlformats.org/officeDocument/2006/relationships/worksheet" Target="/xl/worksheets/sheet9.xml" Id="R7a7408cba78b4051" /><Relationship Type="http://schemas.openxmlformats.org/officeDocument/2006/relationships/worksheet" Target="/xl/worksheets/sheet10.xml" Id="R13d3a4210953402e" /><Relationship Type="http://schemas.openxmlformats.org/officeDocument/2006/relationships/worksheet" Target="/xl/worksheets/sheet11.xml" Id="Rc4751fbd64b7469d" /><Relationship Type="http://schemas.openxmlformats.org/officeDocument/2006/relationships/worksheet" Target="/xl/worksheets/sheet12.xml" Id="Rf10acdb0144e4af6" /><Relationship Type="http://schemas.openxmlformats.org/officeDocument/2006/relationships/worksheet" Target="/xl/worksheets/sheet13.xml" Id="Rd0a040c559cc48cc" /><Relationship Type="http://schemas.openxmlformats.org/officeDocument/2006/relationships/worksheet" Target="/xl/worksheets/sheet14.xml" Id="Rf459fda12a704f51" /><Relationship Type="http://schemas.openxmlformats.org/officeDocument/2006/relationships/worksheet" Target="/xl/worksheets/sheet15.xml" Id="R87cf136efa3f4f86" /><Relationship Type="http://schemas.openxmlformats.org/officeDocument/2006/relationships/worksheet" Target="/xl/worksheets/sheet16.xml" Id="Re2e355758e3641ba" /><Relationship Type="http://schemas.openxmlformats.org/officeDocument/2006/relationships/worksheet" Target="/xl/worksheets/sheet17.xml" Id="R77c00839e81e438e" /><Relationship Type="http://schemas.openxmlformats.org/officeDocument/2006/relationships/worksheet" Target="/xl/worksheets/sheet18.xml" Id="R38fb0a09a5bb4d20" /><Relationship Type="http://schemas.openxmlformats.org/officeDocument/2006/relationships/worksheet" Target="/xl/worksheets/sheet19.xml" Id="R63d6f883206b4451" /><Relationship Type="http://schemas.openxmlformats.org/officeDocument/2006/relationships/worksheet" Target="/xl/worksheets/sheet20.xml" Id="R4f3d3fcfaf074866" /><Relationship Type="http://schemas.openxmlformats.org/officeDocument/2006/relationships/worksheet" Target="/xl/worksheets/sheet21.xml" Id="R836be96970f84135" /><Relationship Type="http://schemas.openxmlformats.org/officeDocument/2006/relationships/worksheet" Target="/xl/worksheets/sheet22.xml" Id="R72fc95d86d3d4de5" /><Relationship Type="http://schemas.openxmlformats.org/officeDocument/2006/relationships/worksheet" Target="/xl/worksheets/sheet23.xml" Id="R99d8711469664768" /><Relationship Type="http://schemas.openxmlformats.org/officeDocument/2006/relationships/worksheet" Target="/xl/worksheets/sheet24.xml" Id="Rbc65a0a6f38f45b3" /><Relationship Type="http://schemas.openxmlformats.org/officeDocument/2006/relationships/worksheet" Target="/xl/worksheets/sheet25.xml" Id="R9c8149382c8e4204" /><Relationship Type="http://schemas.openxmlformats.org/officeDocument/2006/relationships/worksheet" Target="/xl/worksheets/sheet26.xml" Id="Rb099321407a74f21" /></Relationships>
</file>

<file path=xl/drawings/_rels/drawing1.xml.rels>&#65279;<?xml version="1.0" encoding="utf-8"?><Relationships xmlns="http://schemas.openxmlformats.org/package/2006/relationships"><Relationship Type="http://schemas.openxmlformats.org/officeDocument/2006/relationships/chart" Target="/xl/drawings/charts/chart1.xml" Id="Rc62e2af730e14e79"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62e2af730e14e79"/>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b4a9f8625a248fd" /></Relationships>
</file>

<file path=xl/worksheets/_rels/sheet2.xml.rels>&#65279;<?xml version="1.0" encoding="utf-8"?><Relationships xmlns="http://schemas.openxmlformats.org/package/2006/relationships"><Relationship Type="http://schemas.openxmlformats.org/officeDocument/2006/relationships/table" Target="/xl/tables/table2.xml" Id="R3198d3d12dad4dc6" /></Relationships>
</file>

<file path=xl/worksheets/_rels/sheet3.xml.rels>&#65279;<?xml version="1.0" encoding="utf-8"?><Relationships xmlns="http://schemas.openxmlformats.org/package/2006/relationships"><Relationship Type="http://schemas.openxmlformats.org/officeDocument/2006/relationships/drawing" Target="/xl/drawings/drawing1.xml" Id="Raa119a3987d24c66" /></Relationships>
</file>

<file path=xl/worksheets/_rels/sheet4.xml.rels>&#65279;<?xml version="1.0" encoding="utf-8"?><Relationships xmlns="http://schemas.openxmlformats.org/package/2006/relationships"><Relationship Type="http://schemas.openxmlformats.org/officeDocument/2006/relationships/table" Target="/xl/tables/table3.xml" Id="R336b72d5c3c34672" /></Relationships>
</file>

<file path=xl/worksheets/_rels/sheet5.xml.rels>&#65279;<?xml version="1.0" encoding="utf-8"?><Relationships xmlns="http://schemas.openxmlformats.org/package/2006/relationships"><Relationship Type="http://schemas.openxmlformats.org/officeDocument/2006/relationships/table" Target="/xl/tables/table4.xml" Id="R6fe1a3a7d5ec41e3" /></Relationships>
</file>

<file path=xl/worksheets/_rels/sheet6.xml.rels>&#65279;<?xml version="1.0" encoding="utf-8"?><Relationships xmlns="http://schemas.openxmlformats.org/package/2006/relationships"><Relationship Type="http://schemas.openxmlformats.org/officeDocument/2006/relationships/table" Target="/xl/tables/table5.xml" Id="R570e7bafc4c84ffd" /></Relationships>
</file>

<file path=xl/worksheets/_rels/sheet7.xml.rels>&#65279;<?xml version="1.0" encoding="utf-8"?><Relationships xmlns="http://schemas.openxmlformats.org/package/2006/relationships"><Relationship Type="http://schemas.openxmlformats.org/officeDocument/2006/relationships/table" Target="/xl/tables/table6.xml" Id="R70ca5132157445c2" /></Relationships>
</file>

<file path=xl/worksheets/_rels/sheet9.xml.rels>&#65279;<?xml version="1.0" encoding="utf-8"?><Relationships xmlns="http://schemas.openxmlformats.org/package/2006/relationships"><Relationship Type="http://schemas.openxmlformats.org/officeDocument/2006/relationships/table" Target="/xl/tables/table7.xml" Id="Rfbcd310946644905" /></Relationships>
</file>

<file path=xl/worksheets/_rels/sheet10.xml.rels>&#65279;<?xml version="1.0" encoding="utf-8"?><Relationships xmlns="http://schemas.openxmlformats.org/package/2006/relationships"><Relationship Type="http://schemas.openxmlformats.org/officeDocument/2006/relationships/table" Target="/xl/tables/table8.xml" Id="R3187c35d2125445d" /></Relationships>
</file>

<file path=xl/worksheets/_rels/sheet11.xml.rels>&#65279;<?xml version="1.0" encoding="utf-8"?><Relationships xmlns="http://schemas.openxmlformats.org/package/2006/relationships"><Relationship Type="http://schemas.openxmlformats.org/officeDocument/2006/relationships/table" Target="/xl/tables/table9.xml" Id="R2284d826b9d940e4" /></Relationships>
</file>

<file path=xl/worksheets/_rels/sheet13.xml.rels>&#65279;<?xml version="1.0" encoding="utf-8"?><Relationships xmlns="http://schemas.openxmlformats.org/package/2006/relationships"><Relationship Type="http://schemas.openxmlformats.org/officeDocument/2006/relationships/table" Target="/xl/tables/table10.xml" Id="R6a2328d658944eb1" /></Relationships>
</file>

<file path=xl/worksheets/_rels/sheet14.xml.rels>&#65279;<?xml version="1.0" encoding="utf-8"?><Relationships xmlns="http://schemas.openxmlformats.org/package/2006/relationships"><Relationship Type="http://schemas.openxmlformats.org/officeDocument/2006/relationships/table" Target="/xl/tables/table11.xml" Id="Rc9d01476521b4a75" /></Relationships>
</file>

<file path=xl/worksheets/_rels/sheet15.xml.rels>&#65279;<?xml version="1.0" encoding="utf-8"?><Relationships xmlns="http://schemas.openxmlformats.org/package/2006/relationships"><Relationship Type="http://schemas.openxmlformats.org/officeDocument/2006/relationships/table" Target="/xl/tables/table12.xml" Id="Rcc4c2d43444d43e1" /></Relationships>
</file>

<file path=xl/worksheets/_rels/sheet16.xml.rels>&#65279;<?xml version="1.0" encoding="utf-8"?><Relationships xmlns="http://schemas.openxmlformats.org/package/2006/relationships"><Relationship Type="http://schemas.openxmlformats.org/officeDocument/2006/relationships/table" Target="/xl/tables/table13.xml" Id="R09c5e8b65e844052"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eb4a9f8625a248fd"/>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3198d3d12dad4dc6"/>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333</x:v>
      </x:c>
      <x:c r="D6" s="133" t="inlineStr">
        <x:is>
          <x:t xml:space="preserve">G0A — Corporate platform architecture ready</x:t>
        </x:is>
      </x:c>
      <x:c r="E6" s="32" t="str">
        <x:f>'03 Launch Gates'!D20</x:f>
        <x:v>Completed</x:v>
      </x:c>
      <x:c r="G6" t="inlineStr">
        <x:is>
          <x:t xml:space="preserve">UI Tasks Complete</x:t>
        </x:is>
      </x:c>
      <x:c r="H6" t="n">
        <x:f>SUM(B36:B46)</x:f>
        <x:v>111</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0.9073569482288828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0.9309090909090909</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6</x:v>
      </x:c>
      <x:c r="C44" s="28" t="n">
        <x:f>COUNTIFS('01 Master Plan'!C$5:C$383,A44,'01 Master Plan'!H$5:H$383,"In Progress")</x:f>
        <x:v>0</x:v>
      </x:c>
      <x:c r="D44" s="28" t="n">
        <x:f>COUNTIFS('01 Master Plan'!C$5:C$383,A44,'01 Master Plan'!H$5:H$383,"Not Started")</x:f>
        <x:v>14</x:v>
      </x:c>
      <x:c r="E44" s="28" t="n">
        <x:f>COUNTIFS('01 Master Plan'!C$5:C$383,A44,'01 Master Plan'!H$5:H$383,"Blocked")</x:f>
        <x:v>0</x:v>
      </x:c>
      <x:c r="F44" s="28" t="n">
        <x:f>COUNTIFS('01 Master Plan'!C$5:C$383,A44,'01 Master Plan'!H$5:H$383,"Deferred")</x:f>
        <x:v>0</x:v>
      </x:c>
      <x:c r="G44" s="258" t="n">
        <x:f>IFERROR(B44/(B44+C44+D44+E44),0)</x:f>
        <x:v>0.3</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aa119a3987d24c66"/>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36b72d5c3c34672"/>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6fe1a3a7d5ec41e3"/>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570e7bafc4c84ffd"/>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70ca5132157445c2"/>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fbcd310946644905"/>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3187c35d2125445d"/>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2284d826b9d940e4"/>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13H-06 PASS/CLOSED/PUBLISHED. Core issuer-side executive, sourcing, drafting, engagement, RFI/Addenda, evaluation and award surfaces now use the shared Executive Design System while preserving procurement confidentiality and governance semantics. Next executable canonical task: 13H-07 Upgrade Respondent RFQ Review &amp; Scoping.</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6a2328d658944eb1"/>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c9d01476521b4a75"/>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cc4c2d43444d43e1"/>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09c5e8b65e844052"/>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