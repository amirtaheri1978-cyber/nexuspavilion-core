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ea4e0ea7cb4ac1" /></Relationships>
</file>

<file path=xl/workbook.xml><?xml version="1.0" encoding="utf-8"?>
<x:workbook xmlns:x="http://schemas.openxmlformats.org/spreadsheetml/2006/main">
  <x:sheets>
    <x:sheet xmlns:r="http://schemas.openxmlformats.org/officeDocument/2006/relationships" name="01 Master Plan" sheetId="1" r:id="R4c1d3e1d5fb44f6b"/>
    <x:sheet xmlns:r="http://schemas.openxmlformats.org/officeDocument/2006/relationships" name="03 Launch Gates" sheetId="2" r:id="R367a3c1e885c4b9a"/>
    <x:sheet xmlns:r="http://schemas.openxmlformats.org/officeDocument/2006/relationships" name="00 Dashboard" sheetId="3" r:id="Rb432824995aa45f8"/>
    <x:sheet xmlns:r="http://schemas.openxmlformats.org/officeDocument/2006/relationships" name="04 Cursor Tasks" sheetId="4" r:id="R76018e86831248ed"/>
    <x:sheet xmlns:r="http://schemas.openxmlformats.org/officeDocument/2006/relationships" name="05 UAT Matrix" sheetId="5" r:id="Rb77e46636b5a405a"/>
    <x:sheet xmlns:r="http://schemas.openxmlformats.org/officeDocument/2006/relationships" name="06 Security Matrix" sheetId="6" r:id="Rf288869ad50748c0"/>
    <x:sheet xmlns:r="http://schemas.openxmlformats.org/officeDocument/2006/relationships" name="07 Risks" sheetId="7" r:id="R933901b0574c47ab"/>
    <x:sheet xmlns:r="http://schemas.openxmlformats.org/officeDocument/2006/relationships" name="08 Architecture" sheetId="8" r:id="Rb44e21782c924cc7"/>
    <x:sheet xmlns:r="http://schemas.openxmlformats.org/officeDocument/2006/relationships" name="09 Release Checklist" sheetId="9" r:id="R29431540d284428f"/>
    <x:sheet xmlns:r="http://schemas.openxmlformats.org/officeDocument/2006/relationships" name="10 Change Log" sheetId="10" r:id="R13d1c307fa95445c"/>
    <x:sheet xmlns:r="http://schemas.openxmlformats.org/officeDocument/2006/relationships" name="11 Scope &amp; Roadmap" sheetId="11" r:id="R168b24a04f574fc7"/>
    <x:sheet xmlns:r="http://schemas.openxmlformats.org/officeDocument/2006/relationships" name="12 How to Use" sheetId="12" r:id="R996c8df3d669431c"/>
    <x:sheet xmlns:r="http://schemas.openxmlformats.org/officeDocument/2006/relationships" name="13 UI Program" sheetId="13" r:id="R97d4fe05f4134f41"/>
    <x:sheet xmlns:r="http://schemas.openxmlformats.org/officeDocument/2006/relationships" name="14 UI Scorecard" sheetId="14" r:id="Rd4858aad50274e26"/>
    <x:sheet xmlns:r="http://schemas.openxmlformats.org/officeDocument/2006/relationships" name="15 Motion Guidance" sheetId="15" r:id="Ra87ddc3229cb48be"/>
    <x:sheet xmlns:r="http://schemas.openxmlformats.org/officeDocument/2006/relationships" name="16 Design Standards" sheetId="16" r:id="Rd19f5d8b71934608"/>
    <x:sheet xmlns:r="http://schemas.openxmlformats.org/officeDocument/2006/relationships" name="17 Corporate Platform" sheetId="17" r:id="Rcf985d5c1e8f4b68"/>
    <x:sheet xmlns:r="http://schemas.openxmlformats.org/officeDocument/2006/relationships" name="18 Analytics Reuse Map" sheetId="18" r:id="Reb8c766ef4664171"/>
    <x:sheet xmlns:r="http://schemas.openxmlformats.org/officeDocument/2006/relationships" name="19 Executive Insights Discovery" sheetId="19" r:id="Re99f5fc6003f405c"/>
    <x:sheet xmlns:r="http://schemas.openxmlformats.org/officeDocument/2006/relationships" name="20 Procurement Insights Discovery" sheetId="20" r:id="Re53acf1cdbda40e0"/>
    <x:sheet xmlns:r="http://schemas.openxmlformats.org/officeDocument/2006/relationships" name="21 Commercial Insights Discovery" sheetId="21" r:id="R4e8acde3b81547dd"/>
    <x:sheet xmlns:r="http://schemas.openxmlformats.org/officeDocument/2006/relationships" name="22 Project Insights Discovery" sheetId="22" r:id="R8f531212505c4206"/>
    <x:sheet xmlns:r="http://schemas.openxmlformats.org/officeDocument/2006/relationships" name="23 Performance Discovery" sheetId="23" r:id="Re41d9e7d7e44458a"/>
    <x:sheet xmlns:r="http://schemas.openxmlformats.org/officeDocument/2006/relationships" name="24 Risk Compliance Discovery" sheetId="24" r:id="R5c9901891c254dda"/>
    <x:sheet xmlns:r="http://schemas.openxmlformats.org/officeDocument/2006/relationships" name="25 Commercial Handoff" sheetId="25" r:id="R06cdb2c4df144a0b"/>
    <x:sheet xmlns:r="http://schemas.openxmlformats.org/officeDocument/2006/relationships" name="26 RFQ Governance" sheetId="26" r:id="Re9305f46e9c14d5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ed10b195704b5a" /><Relationship Type="http://schemas.openxmlformats.org/officeDocument/2006/relationships/theme" Target="/xl/theme/theme1.xml" Id="R395e162cfd9b43e1" /><Relationship Type="http://schemas.openxmlformats.org/officeDocument/2006/relationships/sharedStrings" Target="/xl/sharedStrings.xml" Id="R4bbba6efbf8f45e3" /><Relationship Type="http://schemas.openxmlformats.org/officeDocument/2006/relationships/worksheet" Target="/xl/worksheets/sheet1.xml" Id="R4c1d3e1d5fb44f6b" /><Relationship Type="http://schemas.openxmlformats.org/officeDocument/2006/relationships/worksheet" Target="/xl/worksheets/sheet2.xml" Id="R367a3c1e885c4b9a" /><Relationship Type="http://schemas.openxmlformats.org/officeDocument/2006/relationships/worksheet" Target="/xl/worksheets/sheet3.xml" Id="Rb432824995aa45f8" /><Relationship Type="http://schemas.openxmlformats.org/officeDocument/2006/relationships/worksheet" Target="/xl/worksheets/sheet4.xml" Id="R76018e86831248ed" /><Relationship Type="http://schemas.openxmlformats.org/officeDocument/2006/relationships/worksheet" Target="/xl/worksheets/sheet5.xml" Id="Rb77e46636b5a405a" /><Relationship Type="http://schemas.openxmlformats.org/officeDocument/2006/relationships/worksheet" Target="/xl/worksheets/sheet6.xml" Id="Rf288869ad50748c0" /><Relationship Type="http://schemas.openxmlformats.org/officeDocument/2006/relationships/worksheet" Target="/xl/worksheets/sheet7.xml" Id="R933901b0574c47ab" /><Relationship Type="http://schemas.openxmlformats.org/officeDocument/2006/relationships/worksheet" Target="/xl/worksheets/sheet8.xml" Id="Rb44e21782c924cc7" /><Relationship Type="http://schemas.openxmlformats.org/officeDocument/2006/relationships/worksheet" Target="/xl/worksheets/sheet9.xml" Id="R29431540d284428f" /><Relationship Type="http://schemas.openxmlformats.org/officeDocument/2006/relationships/worksheet" Target="/xl/worksheets/sheet10.xml" Id="R13d1c307fa95445c" /><Relationship Type="http://schemas.openxmlformats.org/officeDocument/2006/relationships/worksheet" Target="/xl/worksheets/sheet11.xml" Id="R168b24a04f574fc7" /><Relationship Type="http://schemas.openxmlformats.org/officeDocument/2006/relationships/worksheet" Target="/xl/worksheets/sheet12.xml" Id="R996c8df3d669431c" /><Relationship Type="http://schemas.openxmlformats.org/officeDocument/2006/relationships/worksheet" Target="/xl/worksheets/sheet13.xml" Id="R97d4fe05f4134f41" /><Relationship Type="http://schemas.openxmlformats.org/officeDocument/2006/relationships/worksheet" Target="/xl/worksheets/sheet14.xml" Id="Rd4858aad50274e26" /><Relationship Type="http://schemas.openxmlformats.org/officeDocument/2006/relationships/worksheet" Target="/xl/worksheets/sheet15.xml" Id="Ra87ddc3229cb48be" /><Relationship Type="http://schemas.openxmlformats.org/officeDocument/2006/relationships/worksheet" Target="/xl/worksheets/sheet16.xml" Id="Rd19f5d8b71934608" /><Relationship Type="http://schemas.openxmlformats.org/officeDocument/2006/relationships/worksheet" Target="/xl/worksheets/sheet17.xml" Id="Rcf985d5c1e8f4b68" /><Relationship Type="http://schemas.openxmlformats.org/officeDocument/2006/relationships/worksheet" Target="/xl/worksheets/sheet18.xml" Id="Reb8c766ef4664171" /><Relationship Type="http://schemas.openxmlformats.org/officeDocument/2006/relationships/worksheet" Target="/xl/worksheets/sheet19.xml" Id="Re99f5fc6003f405c" /><Relationship Type="http://schemas.openxmlformats.org/officeDocument/2006/relationships/worksheet" Target="/xl/worksheets/sheet20.xml" Id="Re53acf1cdbda40e0" /><Relationship Type="http://schemas.openxmlformats.org/officeDocument/2006/relationships/worksheet" Target="/xl/worksheets/sheet21.xml" Id="R4e8acde3b81547dd" /><Relationship Type="http://schemas.openxmlformats.org/officeDocument/2006/relationships/worksheet" Target="/xl/worksheets/sheet22.xml" Id="R8f531212505c4206" /><Relationship Type="http://schemas.openxmlformats.org/officeDocument/2006/relationships/worksheet" Target="/xl/worksheets/sheet23.xml" Id="Re41d9e7d7e44458a" /><Relationship Type="http://schemas.openxmlformats.org/officeDocument/2006/relationships/worksheet" Target="/xl/worksheets/sheet24.xml" Id="R5c9901891c254dda" /><Relationship Type="http://schemas.openxmlformats.org/officeDocument/2006/relationships/worksheet" Target="/xl/worksheets/sheet25.xml" Id="R06cdb2c4df144a0b" /><Relationship Type="http://schemas.openxmlformats.org/officeDocument/2006/relationships/worksheet" Target="/xl/worksheets/sheet26.xml" Id="Re9305f46e9c14d59" /></Relationships>
</file>

<file path=xl/drawings/_rels/drawing1.xml.rels>&#65279;<?xml version="1.0" encoding="utf-8"?><Relationships xmlns="http://schemas.openxmlformats.org/package/2006/relationships"><Relationship Type="http://schemas.openxmlformats.org/officeDocument/2006/relationships/chart" Target="/xl/drawings/charts/chart1.xml" Id="R32e0d36d29934c8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2e0d36d29934c8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4915f48baa442a" /></Relationships>
</file>

<file path=xl/worksheets/_rels/sheet2.xml.rels>&#65279;<?xml version="1.0" encoding="utf-8"?><Relationships xmlns="http://schemas.openxmlformats.org/package/2006/relationships"><Relationship Type="http://schemas.openxmlformats.org/officeDocument/2006/relationships/table" Target="/xl/tables/table2.xml" Id="Rf2cd0527383e4925" /></Relationships>
</file>

<file path=xl/worksheets/_rels/sheet3.xml.rels>&#65279;<?xml version="1.0" encoding="utf-8"?><Relationships xmlns="http://schemas.openxmlformats.org/package/2006/relationships"><Relationship Type="http://schemas.openxmlformats.org/officeDocument/2006/relationships/drawing" Target="/xl/drawings/drawing1.xml" Id="R91856373882a406a" /></Relationships>
</file>

<file path=xl/worksheets/_rels/sheet4.xml.rels>&#65279;<?xml version="1.0" encoding="utf-8"?><Relationships xmlns="http://schemas.openxmlformats.org/package/2006/relationships"><Relationship Type="http://schemas.openxmlformats.org/officeDocument/2006/relationships/table" Target="/xl/tables/table3.xml" Id="Ra70f6968715e4f58" /></Relationships>
</file>

<file path=xl/worksheets/_rels/sheet5.xml.rels>&#65279;<?xml version="1.0" encoding="utf-8"?><Relationships xmlns="http://schemas.openxmlformats.org/package/2006/relationships"><Relationship Type="http://schemas.openxmlformats.org/officeDocument/2006/relationships/table" Target="/xl/tables/table4.xml" Id="R7fe15daf2b7d40b5" /></Relationships>
</file>

<file path=xl/worksheets/_rels/sheet6.xml.rels>&#65279;<?xml version="1.0" encoding="utf-8"?><Relationships xmlns="http://schemas.openxmlformats.org/package/2006/relationships"><Relationship Type="http://schemas.openxmlformats.org/officeDocument/2006/relationships/table" Target="/xl/tables/table5.xml" Id="Raeb7de9dcfc244ef" /></Relationships>
</file>

<file path=xl/worksheets/_rels/sheet7.xml.rels>&#65279;<?xml version="1.0" encoding="utf-8"?><Relationships xmlns="http://schemas.openxmlformats.org/package/2006/relationships"><Relationship Type="http://schemas.openxmlformats.org/officeDocument/2006/relationships/table" Target="/xl/tables/table6.xml" Id="R20dfda5254c04e02" /></Relationships>
</file>

<file path=xl/worksheets/_rels/sheet9.xml.rels>&#65279;<?xml version="1.0" encoding="utf-8"?><Relationships xmlns="http://schemas.openxmlformats.org/package/2006/relationships"><Relationship Type="http://schemas.openxmlformats.org/officeDocument/2006/relationships/table" Target="/xl/tables/table7.xml" Id="R3becec23618b4bea" /></Relationships>
</file>

<file path=xl/worksheets/_rels/sheet10.xml.rels>&#65279;<?xml version="1.0" encoding="utf-8"?><Relationships xmlns="http://schemas.openxmlformats.org/package/2006/relationships"><Relationship Type="http://schemas.openxmlformats.org/officeDocument/2006/relationships/table" Target="/xl/tables/table8.xml" Id="R33dc0c3371424187" /></Relationships>
</file>

<file path=xl/worksheets/_rels/sheet11.xml.rels>&#65279;<?xml version="1.0" encoding="utf-8"?><Relationships xmlns="http://schemas.openxmlformats.org/package/2006/relationships"><Relationship Type="http://schemas.openxmlformats.org/officeDocument/2006/relationships/table" Target="/xl/tables/table9.xml" Id="Rfe3c7d188ae842ec" /></Relationships>
</file>

<file path=xl/worksheets/_rels/sheet13.xml.rels>&#65279;<?xml version="1.0" encoding="utf-8"?><Relationships xmlns="http://schemas.openxmlformats.org/package/2006/relationships"><Relationship Type="http://schemas.openxmlformats.org/officeDocument/2006/relationships/table" Target="/xl/tables/table10.xml" Id="R48c65d6715e94282" /></Relationships>
</file>

<file path=xl/worksheets/_rels/sheet14.xml.rels>&#65279;<?xml version="1.0" encoding="utf-8"?><Relationships xmlns="http://schemas.openxmlformats.org/package/2006/relationships"><Relationship Type="http://schemas.openxmlformats.org/officeDocument/2006/relationships/table" Target="/xl/tables/table11.xml" Id="R0e56049596524a90" /></Relationships>
</file>

<file path=xl/worksheets/_rels/sheet15.xml.rels>&#65279;<?xml version="1.0" encoding="utf-8"?><Relationships xmlns="http://schemas.openxmlformats.org/package/2006/relationships"><Relationship Type="http://schemas.openxmlformats.org/officeDocument/2006/relationships/table" Target="/xl/tables/table12.xml" Id="Rf6bb560568a04567" /></Relationships>
</file>

<file path=xl/worksheets/_rels/sheet16.xml.rels>&#65279;<?xml version="1.0" encoding="utf-8"?><Relationships xmlns="http://schemas.openxmlformats.org/package/2006/relationships"><Relationship Type="http://schemas.openxmlformats.org/officeDocument/2006/relationships/table" Target="/xl/tables/table13.xml" Id="R351868c4b93e4b4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c4915f48baa442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2cd0527383e492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261</x:v>
      </x:c>
      <x:c r="D6" s="133" t="inlineStr">
        <x:is>
          <x:t xml:space="preserve">G0A — Corporate platform architecture ready</x:t>
        </x:is>
      </x:c>
      <x:c r="E6" s="32" t="str">
        <x:f>'03 Launch Gates'!D20</x:f>
        <x:v>Completed</x:v>
      </x:c>
      <x:c r="G6" t="inlineStr">
        <x:is>
          <x:t xml:space="preserve">UI Tasks Complete</x:t>
        </x:is>
      </x:c>
      <x:c r="H6" t="n">
        <x:f>SUM(B36:B46)</x:f>
        <x:v>39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0.7111716621253406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0.730909090909091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4</x:v>
      </x:c>
      <x:c r="C37" s="133" t="n">
        <x:f>COUNTIFS('01 Master Plan'!C$5:C$383,A37,'01 Master Plan'!H$5:H$383,"In Progress")</x:f>
        <x:v>0</x:v>
      </x:c>
      <x:c r="D37" s="133" t="n">
        <x:f>COUNTIFS('01 Master Plan'!C$5:C$383,A37,'01 Master Plan'!H$5:H$383,"Not Started")</x:f>
        <x:v>8</x:v>
      </x:c>
      <x:c r="E37" s="133" t="n">
        <x:f>COUNTIFS('01 Master Plan'!C$5:C$383,A37,'01 Master Plan'!H$5:H$383,"Blocked")</x:f>
        <x:v>0</x:v>
      </x:c>
      <x:c r="F37" s="133" t="n">
        <x:f>COUNTIFS('01 Master Plan'!C$5:C$383,A37,'01 Master Plan'!H$5:H$383,"Deferred")</x:f>
        <x:v>0</x:v>
      </x:c>
      <x:c r="G37" s="255" t="n">
        <x:f>IFERROR(B37/(B37+C37+D37+E37),0)</x:f>
        <x:v>0.3333333333333333</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91856373882a406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70f6968715e4f5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7fe15daf2b7d40b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eb7de9dcfc244e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0dfda5254c04e0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becec23618b4be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3dc0c337142418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e3c7d188ae842e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semantic colors, 13B-02 light/system compatibility, 13B-03 typography, and 13B-04 spacing/grid complete. Next: 13B-05 surface/border/radius/elevation.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8c65d6715e9428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e56049596524a9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6bb560568a0456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51868c4b93e4b4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