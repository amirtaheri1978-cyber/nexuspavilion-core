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610faee6797422b" /></Relationships>
</file>

<file path=xl/workbook.xml><?xml version="1.0" encoding="utf-8"?>
<x:workbook xmlns:x="http://schemas.openxmlformats.org/spreadsheetml/2006/main">
  <x:sheets>
    <x:sheet xmlns:r="http://schemas.openxmlformats.org/officeDocument/2006/relationships" name="01 Master Plan" sheetId="1" r:id="Re69b00b11f63419c"/>
    <x:sheet xmlns:r="http://schemas.openxmlformats.org/officeDocument/2006/relationships" name="03 Launch Gates" sheetId="2" r:id="R870636debf6546e6"/>
    <x:sheet xmlns:r="http://schemas.openxmlformats.org/officeDocument/2006/relationships" name="00 Dashboard" sheetId="3" r:id="R5b00884ec0464a73"/>
    <x:sheet xmlns:r="http://schemas.openxmlformats.org/officeDocument/2006/relationships" name="04 Cursor Tasks" sheetId="4" r:id="Rc61c405080194021"/>
    <x:sheet xmlns:r="http://schemas.openxmlformats.org/officeDocument/2006/relationships" name="05 UAT Matrix" sheetId="5" r:id="R7f1c8853fd7d4032"/>
    <x:sheet xmlns:r="http://schemas.openxmlformats.org/officeDocument/2006/relationships" name="06 Security Matrix" sheetId="6" r:id="R59b128d6a60c49c3"/>
    <x:sheet xmlns:r="http://schemas.openxmlformats.org/officeDocument/2006/relationships" name="07 Risks" sheetId="7" r:id="Re95789a29f2044b1"/>
    <x:sheet xmlns:r="http://schemas.openxmlformats.org/officeDocument/2006/relationships" name="08 Architecture" sheetId="8" r:id="R51135b8497ab4250"/>
    <x:sheet xmlns:r="http://schemas.openxmlformats.org/officeDocument/2006/relationships" name="09 Release Checklist" sheetId="9" r:id="R740f5b41c88440f3"/>
    <x:sheet xmlns:r="http://schemas.openxmlformats.org/officeDocument/2006/relationships" name="10 Change Log" sheetId="10" r:id="Rfca4c400ad534222"/>
    <x:sheet xmlns:r="http://schemas.openxmlformats.org/officeDocument/2006/relationships" name="11 Scope &amp; Roadmap" sheetId="11" r:id="R8e34cbd2550740ec"/>
    <x:sheet xmlns:r="http://schemas.openxmlformats.org/officeDocument/2006/relationships" name="12 How to Use" sheetId="12" r:id="R7ba61255687c4e82"/>
    <x:sheet xmlns:r="http://schemas.openxmlformats.org/officeDocument/2006/relationships" name="13 UI Program" sheetId="13" r:id="Rab368490c1ac480a"/>
    <x:sheet xmlns:r="http://schemas.openxmlformats.org/officeDocument/2006/relationships" name="14 UI Scorecard" sheetId="14" r:id="R24e298b7764e49dd"/>
    <x:sheet xmlns:r="http://schemas.openxmlformats.org/officeDocument/2006/relationships" name="15 Motion Guidance" sheetId="15" r:id="Rf70379d2adc947ba"/>
    <x:sheet xmlns:r="http://schemas.openxmlformats.org/officeDocument/2006/relationships" name="16 Design Standards" sheetId="16" r:id="Rdc6e3e77c9a54009"/>
    <x:sheet xmlns:r="http://schemas.openxmlformats.org/officeDocument/2006/relationships" name="17 Corporate Platform" sheetId="17" r:id="R643111d8a8524fed"/>
    <x:sheet xmlns:r="http://schemas.openxmlformats.org/officeDocument/2006/relationships" name="18 Analytics Reuse Map" sheetId="18" r:id="Rf0eb1e2dd53c4238"/>
    <x:sheet xmlns:r="http://schemas.openxmlformats.org/officeDocument/2006/relationships" name="19 Executive Insights Discovery" sheetId="19" r:id="R7e052db251884853"/>
    <x:sheet xmlns:r="http://schemas.openxmlformats.org/officeDocument/2006/relationships" name="20 Procurement Insights Discovery" sheetId="20" r:id="R205d475d35524aa8"/>
    <x:sheet xmlns:r="http://schemas.openxmlformats.org/officeDocument/2006/relationships" name="21 Commercial Insights Discovery" sheetId="21" r:id="R8b2d11ca82f24e4d"/>
    <x:sheet xmlns:r="http://schemas.openxmlformats.org/officeDocument/2006/relationships" name="22 Project Insights Discovery" sheetId="22" r:id="R0feb3e04a7144af9"/>
    <x:sheet xmlns:r="http://schemas.openxmlformats.org/officeDocument/2006/relationships" name="23 Performance Discovery" sheetId="23" r:id="Re957fe522944400c"/>
    <x:sheet xmlns:r="http://schemas.openxmlformats.org/officeDocument/2006/relationships" name="24 Risk Compliance Discovery" sheetId="24" r:id="R6cb8e89221684b13"/>
    <x:sheet xmlns:r="http://schemas.openxmlformats.org/officeDocument/2006/relationships" name="25 Commercial Handoff" sheetId="25" r:id="Read509bb20c544ac"/>
    <x:sheet xmlns:r="http://schemas.openxmlformats.org/officeDocument/2006/relationships" name="26 RFQ Governance" sheetId="26" r:id="Ra21c6700c0b34ff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834d307068e4208" /><Relationship Type="http://schemas.openxmlformats.org/officeDocument/2006/relationships/theme" Target="/xl/theme/theme1.xml" Id="Rfb3e0e102a864dc1" /><Relationship Type="http://schemas.openxmlformats.org/officeDocument/2006/relationships/sharedStrings" Target="/xl/sharedStrings.xml" Id="R3e639bc1ce85478f" /><Relationship Type="http://schemas.openxmlformats.org/officeDocument/2006/relationships/worksheet" Target="/xl/worksheets/sheet1.xml" Id="Re69b00b11f63419c" /><Relationship Type="http://schemas.openxmlformats.org/officeDocument/2006/relationships/worksheet" Target="/xl/worksheets/sheet2.xml" Id="R870636debf6546e6" /><Relationship Type="http://schemas.openxmlformats.org/officeDocument/2006/relationships/worksheet" Target="/xl/worksheets/sheet3.xml" Id="R5b00884ec0464a73" /><Relationship Type="http://schemas.openxmlformats.org/officeDocument/2006/relationships/worksheet" Target="/xl/worksheets/sheet4.xml" Id="Rc61c405080194021" /><Relationship Type="http://schemas.openxmlformats.org/officeDocument/2006/relationships/worksheet" Target="/xl/worksheets/sheet5.xml" Id="R7f1c8853fd7d4032" /><Relationship Type="http://schemas.openxmlformats.org/officeDocument/2006/relationships/worksheet" Target="/xl/worksheets/sheet6.xml" Id="R59b128d6a60c49c3" /><Relationship Type="http://schemas.openxmlformats.org/officeDocument/2006/relationships/worksheet" Target="/xl/worksheets/sheet7.xml" Id="Re95789a29f2044b1" /><Relationship Type="http://schemas.openxmlformats.org/officeDocument/2006/relationships/worksheet" Target="/xl/worksheets/sheet8.xml" Id="R51135b8497ab4250" /><Relationship Type="http://schemas.openxmlformats.org/officeDocument/2006/relationships/worksheet" Target="/xl/worksheets/sheet9.xml" Id="R740f5b41c88440f3" /><Relationship Type="http://schemas.openxmlformats.org/officeDocument/2006/relationships/worksheet" Target="/xl/worksheets/sheet10.xml" Id="Rfca4c400ad534222" /><Relationship Type="http://schemas.openxmlformats.org/officeDocument/2006/relationships/worksheet" Target="/xl/worksheets/sheet11.xml" Id="R8e34cbd2550740ec" /><Relationship Type="http://schemas.openxmlformats.org/officeDocument/2006/relationships/worksheet" Target="/xl/worksheets/sheet12.xml" Id="R7ba61255687c4e82" /><Relationship Type="http://schemas.openxmlformats.org/officeDocument/2006/relationships/worksheet" Target="/xl/worksheets/sheet13.xml" Id="Rab368490c1ac480a" /><Relationship Type="http://schemas.openxmlformats.org/officeDocument/2006/relationships/worksheet" Target="/xl/worksheets/sheet14.xml" Id="R24e298b7764e49dd" /><Relationship Type="http://schemas.openxmlformats.org/officeDocument/2006/relationships/worksheet" Target="/xl/worksheets/sheet15.xml" Id="Rf70379d2adc947ba" /><Relationship Type="http://schemas.openxmlformats.org/officeDocument/2006/relationships/worksheet" Target="/xl/worksheets/sheet16.xml" Id="Rdc6e3e77c9a54009" /><Relationship Type="http://schemas.openxmlformats.org/officeDocument/2006/relationships/worksheet" Target="/xl/worksheets/sheet17.xml" Id="R643111d8a8524fed" /><Relationship Type="http://schemas.openxmlformats.org/officeDocument/2006/relationships/worksheet" Target="/xl/worksheets/sheet18.xml" Id="Rf0eb1e2dd53c4238" /><Relationship Type="http://schemas.openxmlformats.org/officeDocument/2006/relationships/worksheet" Target="/xl/worksheets/sheet19.xml" Id="R7e052db251884853" /><Relationship Type="http://schemas.openxmlformats.org/officeDocument/2006/relationships/worksheet" Target="/xl/worksheets/sheet20.xml" Id="R205d475d35524aa8" /><Relationship Type="http://schemas.openxmlformats.org/officeDocument/2006/relationships/worksheet" Target="/xl/worksheets/sheet21.xml" Id="R8b2d11ca82f24e4d" /><Relationship Type="http://schemas.openxmlformats.org/officeDocument/2006/relationships/worksheet" Target="/xl/worksheets/sheet22.xml" Id="R0feb3e04a7144af9" /><Relationship Type="http://schemas.openxmlformats.org/officeDocument/2006/relationships/worksheet" Target="/xl/worksheets/sheet23.xml" Id="Re957fe522944400c" /><Relationship Type="http://schemas.openxmlformats.org/officeDocument/2006/relationships/worksheet" Target="/xl/worksheets/sheet24.xml" Id="R6cb8e89221684b13" /><Relationship Type="http://schemas.openxmlformats.org/officeDocument/2006/relationships/worksheet" Target="/xl/worksheets/sheet25.xml" Id="Read509bb20c544ac" /><Relationship Type="http://schemas.openxmlformats.org/officeDocument/2006/relationships/worksheet" Target="/xl/worksheets/sheet26.xml" Id="Ra21c6700c0b34ff3" /></Relationships>
</file>

<file path=xl/drawings/_rels/drawing1.xml.rels>&#65279;<?xml version="1.0" encoding="utf-8"?><Relationships xmlns="http://schemas.openxmlformats.org/package/2006/relationships"><Relationship Type="http://schemas.openxmlformats.org/officeDocument/2006/relationships/chart" Target="/xl/drawings/charts/chart1.xml" Id="R36edf34f839c463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6edf34f839c463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6c50746b80c4af7" /></Relationships>
</file>

<file path=xl/worksheets/_rels/sheet2.xml.rels>&#65279;<?xml version="1.0" encoding="utf-8"?><Relationships xmlns="http://schemas.openxmlformats.org/package/2006/relationships"><Relationship Type="http://schemas.openxmlformats.org/officeDocument/2006/relationships/table" Target="/xl/tables/table2.xml" Id="R5ce9625b2d5e4b7d" /></Relationships>
</file>

<file path=xl/worksheets/_rels/sheet3.xml.rels>&#65279;<?xml version="1.0" encoding="utf-8"?><Relationships xmlns="http://schemas.openxmlformats.org/package/2006/relationships"><Relationship Type="http://schemas.openxmlformats.org/officeDocument/2006/relationships/drawing" Target="/xl/drawings/drawing1.xml" Id="R56e9449144c9444a" /></Relationships>
</file>

<file path=xl/worksheets/_rels/sheet4.xml.rels>&#65279;<?xml version="1.0" encoding="utf-8"?><Relationships xmlns="http://schemas.openxmlformats.org/package/2006/relationships"><Relationship Type="http://schemas.openxmlformats.org/officeDocument/2006/relationships/table" Target="/xl/tables/table3.xml" Id="Rf61b80a55cc24baf" /></Relationships>
</file>

<file path=xl/worksheets/_rels/sheet5.xml.rels>&#65279;<?xml version="1.0" encoding="utf-8"?><Relationships xmlns="http://schemas.openxmlformats.org/package/2006/relationships"><Relationship Type="http://schemas.openxmlformats.org/officeDocument/2006/relationships/table" Target="/xl/tables/table4.xml" Id="R4605ec0b03314be7" /></Relationships>
</file>

<file path=xl/worksheets/_rels/sheet6.xml.rels>&#65279;<?xml version="1.0" encoding="utf-8"?><Relationships xmlns="http://schemas.openxmlformats.org/package/2006/relationships"><Relationship Type="http://schemas.openxmlformats.org/officeDocument/2006/relationships/table" Target="/xl/tables/table5.xml" Id="R6427b87933de42d5" /></Relationships>
</file>

<file path=xl/worksheets/_rels/sheet7.xml.rels>&#65279;<?xml version="1.0" encoding="utf-8"?><Relationships xmlns="http://schemas.openxmlformats.org/package/2006/relationships"><Relationship Type="http://schemas.openxmlformats.org/officeDocument/2006/relationships/table" Target="/xl/tables/table6.xml" Id="Ra7881b3da8234c8c" /></Relationships>
</file>

<file path=xl/worksheets/_rels/sheet9.xml.rels>&#65279;<?xml version="1.0" encoding="utf-8"?><Relationships xmlns="http://schemas.openxmlformats.org/package/2006/relationships"><Relationship Type="http://schemas.openxmlformats.org/officeDocument/2006/relationships/table" Target="/xl/tables/table7.xml" Id="R6616c941e0a14063" /></Relationships>
</file>

<file path=xl/worksheets/_rels/sheet10.xml.rels>&#65279;<?xml version="1.0" encoding="utf-8"?><Relationships xmlns="http://schemas.openxmlformats.org/package/2006/relationships"><Relationship Type="http://schemas.openxmlformats.org/officeDocument/2006/relationships/table" Target="/xl/tables/table8.xml" Id="Rd4718a4d42d443f5" /></Relationships>
</file>

<file path=xl/worksheets/_rels/sheet11.xml.rels>&#65279;<?xml version="1.0" encoding="utf-8"?><Relationships xmlns="http://schemas.openxmlformats.org/package/2006/relationships"><Relationship Type="http://schemas.openxmlformats.org/officeDocument/2006/relationships/table" Target="/xl/tables/table9.xml" Id="Rc0d87f8e23e94f33" /></Relationships>
</file>

<file path=xl/worksheets/_rels/sheet13.xml.rels>&#65279;<?xml version="1.0" encoding="utf-8"?><Relationships xmlns="http://schemas.openxmlformats.org/package/2006/relationships"><Relationship Type="http://schemas.openxmlformats.org/officeDocument/2006/relationships/table" Target="/xl/tables/table10.xml" Id="R1cc846246c7140d4" /></Relationships>
</file>

<file path=xl/worksheets/_rels/sheet14.xml.rels>&#65279;<?xml version="1.0" encoding="utf-8"?><Relationships xmlns="http://schemas.openxmlformats.org/package/2006/relationships"><Relationship Type="http://schemas.openxmlformats.org/officeDocument/2006/relationships/table" Target="/xl/tables/table11.xml" Id="R2fb4c950709d4bcd" /></Relationships>
</file>

<file path=xl/worksheets/_rels/sheet15.xml.rels>&#65279;<?xml version="1.0" encoding="utf-8"?><Relationships xmlns="http://schemas.openxmlformats.org/package/2006/relationships"><Relationship Type="http://schemas.openxmlformats.org/officeDocument/2006/relationships/table" Target="/xl/tables/table12.xml" Id="Re1784541e5dd4449" /></Relationships>
</file>

<file path=xl/worksheets/_rels/sheet16.xml.rels>&#65279;<?xml version="1.0" encoding="utf-8"?><Relationships xmlns="http://schemas.openxmlformats.org/package/2006/relationships"><Relationship Type="http://schemas.openxmlformats.org/officeDocument/2006/relationships/table" Target="/xl/tables/table13.xml" Id="R9d7d75e3ffae4a2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b6c50746b80c4af7"/>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5ce9625b2d5e4b7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274</x:v>
      </x:c>
      <x:c r="D6" s="133" t="inlineStr">
        <x:is>
          <x:t xml:space="preserve">G0A — Corporate platform architecture ready</x:t>
        </x:is>
      </x:c>
      <x:c r="E6" s="32" t="str">
        <x:f>'03 Launch Gates'!D20</x:f>
        <x:v>Completed</x:v>
      </x:c>
      <x:c r="G6" t="inlineStr">
        <x:is>
          <x:t xml:space="preserve">UI Tasks Complete</x:t>
        </x:is>
      </x:c>
      <x:c r="H6" t="n">
        <x:f>SUM(B36:B46)</x:f>
        <x:v>52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0.7465940054495913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0.7745454545454545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5</x:v>
      </x:c>
      <x:c r="C38" s="133" t="n">
        <x:f>COUNTIFS('01 Master Plan'!C$5:C$383,A38,'01 Master Plan'!H$5:H$383,"In Progress")</x:f>
        <x:v>0</x:v>
      </x:c>
      <x:c r="D38" s="133" t="n">
        <x:f>COUNTIFS('01 Master Plan'!C$5:C$383,A38,'01 Master Plan'!H$5:H$383,"Not Started")</x:f>
        <x:v>12</x:v>
      </x:c>
      <x:c r="E38" s="133" t="n">
        <x:f>COUNTIFS('01 Master Plan'!C$5:C$383,A38,'01 Master Plan'!H$5:H$383,"Blocked")</x:f>
        <x:v>0</x:v>
      </x:c>
      <x:c r="F38" s="133" t="n">
        <x:f>COUNTIFS('01 Master Plan'!C$5:C$383,A38,'01 Master Plan'!H$5:H$383,"Deferred")</x:f>
        <x:v>0</x:v>
      </x:c>
      <x:c r="G38" s="255" t="n">
        <x:f>IFERROR(B38/(B38+C38+D38+E38),0)</x:f>
        <x:v>0.29411764705882354</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6e9449144c9444a"/>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61b80a55cc24baf"/>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4605ec0b03314be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427b87933de42d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7881b3da8234c8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6616c941e0a14063"/>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4718a4d42d443f5"/>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0d87f8e23e94f33"/>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button system, 13C-02 form controls, 13C-03 date/deadline controls, 13C-04 badges/status chips, and 13C-05 canonical card roles complete. Next: 13C-06 Standardize enterprise tables.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1cc846246c7140d4"/>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fb4c950709d4bcd"/>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1784541e5dd444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d7d75e3ffae4a2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