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6fed505aaad43a5" /></Relationships>
</file>

<file path=xl/workbook.xml><?xml version="1.0" encoding="utf-8"?>
<x:workbook xmlns:x="http://schemas.openxmlformats.org/spreadsheetml/2006/main">
  <x:sheets>
    <x:sheet xmlns:r="http://schemas.openxmlformats.org/officeDocument/2006/relationships" name="01 Master Plan" sheetId="1" r:id="Rf9ef8e4e62a64d25"/>
    <x:sheet xmlns:r="http://schemas.openxmlformats.org/officeDocument/2006/relationships" name="03 Launch Gates" sheetId="2" r:id="R31712e48f1cc495e"/>
    <x:sheet xmlns:r="http://schemas.openxmlformats.org/officeDocument/2006/relationships" name="00 Dashboard" sheetId="3" r:id="R3b3a3e00868f48f8"/>
    <x:sheet xmlns:r="http://schemas.openxmlformats.org/officeDocument/2006/relationships" name="04 Cursor Tasks" sheetId="4" r:id="R8d375bed94d14d96"/>
    <x:sheet xmlns:r="http://schemas.openxmlformats.org/officeDocument/2006/relationships" name="05 UAT Matrix" sheetId="5" r:id="R37889849b440403f"/>
    <x:sheet xmlns:r="http://schemas.openxmlformats.org/officeDocument/2006/relationships" name="06 Security Matrix" sheetId="6" r:id="Rd0c5d6c9a2834607"/>
    <x:sheet xmlns:r="http://schemas.openxmlformats.org/officeDocument/2006/relationships" name="07 Risks" sheetId="7" r:id="Rd44e37d8ee664c7b"/>
    <x:sheet xmlns:r="http://schemas.openxmlformats.org/officeDocument/2006/relationships" name="08 Architecture" sheetId="8" r:id="R955fcf0c4acf477c"/>
    <x:sheet xmlns:r="http://schemas.openxmlformats.org/officeDocument/2006/relationships" name="09 Release Checklist" sheetId="9" r:id="R7930bb41fd99436d"/>
    <x:sheet xmlns:r="http://schemas.openxmlformats.org/officeDocument/2006/relationships" name="10 Change Log" sheetId="10" r:id="Rb50c42a4dcbc41f0"/>
    <x:sheet xmlns:r="http://schemas.openxmlformats.org/officeDocument/2006/relationships" name="11 Scope &amp; Roadmap" sheetId="11" r:id="R0607f4b573f24ef2"/>
    <x:sheet xmlns:r="http://schemas.openxmlformats.org/officeDocument/2006/relationships" name="12 How to Use" sheetId="12" r:id="Ra4ffd94c813b4673"/>
    <x:sheet xmlns:r="http://schemas.openxmlformats.org/officeDocument/2006/relationships" name="13 UI Program" sheetId="13" r:id="R9b3c15b2878a49df"/>
    <x:sheet xmlns:r="http://schemas.openxmlformats.org/officeDocument/2006/relationships" name="14 UI Scorecard" sheetId="14" r:id="R0c58f7b2aa5143be"/>
    <x:sheet xmlns:r="http://schemas.openxmlformats.org/officeDocument/2006/relationships" name="15 Motion Guidance" sheetId="15" r:id="Rdea4c76ac561493e"/>
    <x:sheet xmlns:r="http://schemas.openxmlformats.org/officeDocument/2006/relationships" name="16 Design Standards" sheetId="16" r:id="Ra76546066b5249d9"/>
    <x:sheet xmlns:r="http://schemas.openxmlformats.org/officeDocument/2006/relationships" name="17 Corporate Platform" sheetId="17" r:id="R87686aac8a014266"/>
    <x:sheet xmlns:r="http://schemas.openxmlformats.org/officeDocument/2006/relationships" name="18 Analytics Reuse Map" sheetId="18" r:id="Rac7eb41692f64f28"/>
    <x:sheet xmlns:r="http://schemas.openxmlformats.org/officeDocument/2006/relationships" name="19 Executive Insights Discovery" sheetId="19" r:id="R86ea62a7fff84abb"/>
    <x:sheet xmlns:r="http://schemas.openxmlformats.org/officeDocument/2006/relationships" name="20 Procurement Insights Discovery" sheetId="20" r:id="Rf4dc60873f964335"/>
    <x:sheet xmlns:r="http://schemas.openxmlformats.org/officeDocument/2006/relationships" name="21 Commercial Insights Discovery" sheetId="21" r:id="R4aaf28bee0b74841"/>
    <x:sheet xmlns:r="http://schemas.openxmlformats.org/officeDocument/2006/relationships" name="22 Project Insights Discovery" sheetId="22" r:id="R8fa6dd6e5f56490d"/>
    <x:sheet xmlns:r="http://schemas.openxmlformats.org/officeDocument/2006/relationships" name="23 Performance Discovery" sheetId="23" r:id="R577a82acb7184fa4"/>
    <x:sheet xmlns:r="http://schemas.openxmlformats.org/officeDocument/2006/relationships" name="24 Risk Compliance Discovery" sheetId="24" r:id="Rb7a9a3de69fb4d33"/>
    <x:sheet xmlns:r="http://schemas.openxmlformats.org/officeDocument/2006/relationships" name="25 Commercial Handoff" sheetId="25" r:id="R9e565b59cbf24928"/>
    <x:sheet xmlns:r="http://schemas.openxmlformats.org/officeDocument/2006/relationships" name="26 RFQ Governance" sheetId="26" r:id="R6de74cb492a240b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8197e44eeeb4796" /><Relationship Type="http://schemas.openxmlformats.org/officeDocument/2006/relationships/theme" Target="/xl/theme/theme1.xml" Id="Rb0259b26e2d7469a" /><Relationship Type="http://schemas.openxmlformats.org/officeDocument/2006/relationships/sharedStrings" Target="/xl/sharedStrings.xml" Id="R70376f98f15f42c1" /><Relationship Type="http://schemas.openxmlformats.org/officeDocument/2006/relationships/worksheet" Target="/xl/worksheets/sheet1.xml" Id="Rf9ef8e4e62a64d25" /><Relationship Type="http://schemas.openxmlformats.org/officeDocument/2006/relationships/worksheet" Target="/xl/worksheets/sheet2.xml" Id="R31712e48f1cc495e" /><Relationship Type="http://schemas.openxmlformats.org/officeDocument/2006/relationships/worksheet" Target="/xl/worksheets/sheet3.xml" Id="R3b3a3e00868f48f8" /><Relationship Type="http://schemas.openxmlformats.org/officeDocument/2006/relationships/worksheet" Target="/xl/worksheets/sheet4.xml" Id="R8d375bed94d14d96" /><Relationship Type="http://schemas.openxmlformats.org/officeDocument/2006/relationships/worksheet" Target="/xl/worksheets/sheet5.xml" Id="R37889849b440403f" /><Relationship Type="http://schemas.openxmlformats.org/officeDocument/2006/relationships/worksheet" Target="/xl/worksheets/sheet6.xml" Id="Rd0c5d6c9a2834607" /><Relationship Type="http://schemas.openxmlformats.org/officeDocument/2006/relationships/worksheet" Target="/xl/worksheets/sheet7.xml" Id="Rd44e37d8ee664c7b" /><Relationship Type="http://schemas.openxmlformats.org/officeDocument/2006/relationships/worksheet" Target="/xl/worksheets/sheet8.xml" Id="R955fcf0c4acf477c" /><Relationship Type="http://schemas.openxmlformats.org/officeDocument/2006/relationships/worksheet" Target="/xl/worksheets/sheet9.xml" Id="R7930bb41fd99436d" /><Relationship Type="http://schemas.openxmlformats.org/officeDocument/2006/relationships/worksheet" Target="/xl/worksheets/sheet10.xml" Id="Rb50c42a4dcbc41f0" /><Relationship Type="http://schemas.openxmlformats.org/officeDocument/2006/relationships/worksheet" Target="/xl/worksheets/sheet11.xml" Id="R0607f4b573f24ef2" /><Relationship Type="http://schemas.openxmlformats.org/officeDocument/2006/relationships/worksheet" Target="/xl/worksheets/sheet12.xml" Id="Ra4ffd94c813b4673" /><Relationship Type="http://schemas.openxmlformats.org/officeDocument/2006/relationships/worksheet" Target="/xl/worksheets/sheet13.xml" Id="R9b3c15b2878a49df" /><Relationship Type="http://schemas.openxmlformats.org/officeDocument/2006/relationships/worksheet" Target="/xl/worksheets/sheet14.xml" Id="R0c58f7b2aa5143be" /><Relationship Type="http://schemas.openxmlformats.org/officeDocument/2006/relationships/worksheet" Target="/xl/worksheets/sheet15.xml" Id="Rdea4c76ac561493e" /><Relationship Type="http://schemas.openxmlformats.org/officeDocument/2006/relationships/worksheet" Target="/xl/worksheets/sheet16.xml" Id="Ra76546066b5249d9" /><Relationship Type="http://schemas.openxmlformats.org/officeDocument/2006/relationships/worksheet" Target="/xl/worksheets/sheet17.xml" Id="R87686aac8a014266" /><Relationship Type="http://schemas.openxmlformats.org/officeDocument/2006/relationships/worksheet" Target="/xl/worksheets/sheet18.xml" Id="Rac7eb41692f64f28" /><Relationship Type="http://schemas.openxmlformats.org/officeDocument/2006/relationships/worksheet" Target="/xl/worksheets/sheet19.xml" Id="R86ea62a7fff84abb" /><Relationship Type="http://schemas.openxmlformats.org/officeDocument/2006/relationships/worksheet" Target="/xl/worksheets/sheet20.xml" Id="Rf4dc60873f964335" /><Relationship Type="http://schemas.openxmlformats.org/officeDocument/2006/relationships/worksheet" Target="/xl/worksheets/sheet21.xml" Id="R4aaf28bee0b74841" /><Relationship Type="http://schemas.openxmlformats.org/officeDocument/2006/relationships/worksheet" Target="/xl/worksheets/sheet22.xml" Id="R8fa6dd6e5f56490d" /><Relationship Type="http://schemas.openxmlformats.org/officeDocument/2006/relationships/worksheet" Target="/xl/worksheets/sheet23.xml" Id="R577a82acb7184fa4" /><Relationship Type="http://schemas.openxmlformats.org/officeDocument/2006/relationships/worksheet" Target="/xl/worksheets/sheet24.xml" Id="Rb7a9a3de69fb4d33" /><Relationship Type="http://schemas.openxmlformats.org/officeDocument/2006/relationships/worksheet" Target="/xl/worksheets/sheet25.xml" Id="R9e565b59cbf24928" /><Relationship Type="http://schemas.openxmlformats.org/officeDocument/2006/relationships/worksheet" Target="/xl/worksheets/sheet26.xml" Id="R6de74cb492a240b1" /></Relationships>
</file>

<file path=xl/drawings/_rels/drawing1.xml.rels>&#65279;<?xml version="1.0" encoding="utf-8"?><Relationships xmlns="http://schemas.openxmlformats.org/package/2006/relationships"><Relationship Type="http://schemas.openxmlformats.org/officeDocument/2006/relationships/chart" Target="/xl/drawings/charts/chart1.xml" Id="Rc137639d1cff4ae7"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37639d1cff4ae7"/>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6cd0c54ca4e4fab" /></Relationships>
</file>

<file path=xl/worksheets/_rels/sheet2.xml.rels>&#65279;<?xml version="1.0" encoding="utf-8"?><Relationships xmlns="http://schemas.openxmlformats.org/package/2006/relationships"><Relationship Type="http://schemas.openxmlformats.org/officeDocument/2006/relationships/table" Target="/xl/tables/table2.xml" Id="Re8964aecacdf4556" /></Relationships>
</file>

<file path=xl/worksheets/_rels/sheet3.xml.rels>&#65279;<?xml version="1.0" encoding="utf-8"?><Relationships xmlns="http://schemas.openxmlformats.org/package/2006/relationships"><Relationship Type="http://schemas.openxmlformats.org/officeDocument/2006/relationships/drawing" Target="/xl/drawings/drawing1.xml" Id="Rf4dce445fea546e4" /></Relationships>
</file>

<file path=xl/worksheets/_rels/sheet4.xml.rels>&#65279;<?xml version="1.0" encoding="utf-8"?><Relationships xmlns="http://schemas.openxmlformats.org/package/2006/relationships"><Relationship Type="http://schemas.openxmlformats.org/officeDocument/2006/relationships/table" Target="/xl/tables/table3.xml" Id="R441399093cb84140" /></Relationships>
</file>

<file path=xl/worksheets/_rels/sheet5.xml.rels>&#65279;<?xml version="1.0" encoding="utf-8"?><Relationships xmlns="http://schemas.openxmlformats.org/package/2006/relationships"><Relationship Type="http://schemas.openxmlformats.org/officeDocument/2006/relationships/table" Target="/xl/tables/table4.xml" Id="R16824e72f6094020" /></Relationships>
</file>

<file path=xl/worksheets/_rels/sheet6.xml.rels>&#65279;<?xml version="1.0" encoding="utf-8"?><Relationships xmlns="http://schemas.openxmlformats.org/package/2006/relationships"><Relationship Type="http://schemas.openxmlformats.org/officeDocument/2006/relationships/table" Target="/xl/tables/table5.xml" Id="Rcd4100364f9e4a6f" /></Relationships>
</file>

<file path=xl/worksheets/_rels/sheet7.xml.rels>&#65279;<?xml version="1.0" encoding="utf-8"?><Relationships xmlns="http://schemas.openxmlformats.org/package/2006/relationships"><Relationship Type="http://schemas.openxmlformats.org/officeDocument/2006/relationships/table" Target="/xl/tables/table6.xml" Id="R2b9d6e029634455a" /></Relationships>
</file>

<file path=xl/worksheets/_rels/sheet9.xml.rels>&#65279;<?xml version="1.0" encoding="utf-8"?><Relationships xmlns="http://schemas.openxmlformats.org/package/2006/relationships"><Relationship Type="http://schemas.openxmlformats.org/officeDocument/2006/relationships/table" Target="/xl/tables/table7.xml" Id="Rf0dfdcf77a044cc1" /></Relationships>
</file>

<file path=xl/worksheets/_rels/sheet10.xml.rels>&#65279;<?xml version="1.0" encoding="utf-8"?><Relationships xmlns="http://schemas.openxmlformats.org/package/2006/relationships"><Relationship Type="http://schemas.openxmlformats.org/officeDocument/2006/relationships/table" Target="/xl/tables/table8.xml" Id="R41de491cdc114b39" /></Relationships>
</file>

<file path=xl/worksheets/_rels/sheet11.xml.rels>&#65279;<?xml version="1.0" encoding="utf-8"?><Relationships xmlns="http://schemas.openxmlformats.org/package/2006/relationships"><Relationship Type="http://schemas.openxmlformats.org/officeDocument/2006/relationships/table" Target="/xl/tables/table9.xml" Id="Rfcbb608031a746fe" /></Relationships>
</file>

<file path=xl/worksheets/_rels/sheet13.xml.rels>&#65279;<?xml version="1.0" encoding="utf-8"?><Relationships xmlns="http://schemas.openxmlformats.org/package/2006/relationships"><Relationship Type="http://schemas.openxmlformats.org/officeDocument/2006/relationships/table" Target="/xl/tables/table10.xml" Id="Rb0f2e2f83a9a4dd5" /></Relationships>
</file>

<file path=xl/worksheets/_rels/sheet14.xml.rels>&#65279;<?xml version="1.0" encoding="utf-8"?><Relationships xmlns="http://schemas.openxmlformats.org/package/2006/relationships"><Relationship Type="http://schemas.openxmlformats.org/officeDocument/2006/relationships/table" Target="/xl/tables/table11.xml" Id="R78115f3f3c174473" /></Relationships>
</file>

<file path=xl/worksheets/_rels/sheet15.xml.rels>&#65279;<?xml version="1.0" encoding="utf-8"?><Relationships xmlns="http://schemas.openxmlformats.org/package/2006/relationships"><Relationship Type="http://schemas.openxmlformats.org/officeDocument/2006/relationships/table" Target="/xl/tables/table12.xml" Id="R50fa33ae82b34b4c" /></Relationships>
</file>

<file path=xl/worksheets/_rels/sheet16.xml.rels>&#65279;<?xml version="1.0" encoding="utf-8"?><Relationships xmlns="http://schemas.openxmlformats.org/package/2006/relationships"><Relationship Type="http://schemas.openxmlformats.org/officeDocument/2006/relationships/table" Target="/xl/tables/table13.xml" Id="R92aa4aead629480f"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c6cd0c54ca4e4fab"/>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e8964aecacdf4556"/>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311</x:v>
      </x:c>
      <x:c r="D6" s="133" t="inlineStr">
        <x:is>
          <x:t xml:space="preserve">G0A — Corporate platform architecture ready</x:t>
        </x:is>
      </x:c>
      <x:c r="E6" s="32" t="str">
        <x:f>'03 Launch Gates'!D20</x:f>
        <x:v>Completed</x:v>
      </x:c>
      <x:c r="G6" t="inlineStr">
        <x:is>
          <x:t xml:space="preserve">UI Tasks Complete</x:t>
        </x:is>
      </x:c>
      <x:c r="H6" t="n">
        <x:f>SUM(B36:B46)</x:f>
        <x:v>89</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0.8474114441416893</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8</x:v>
      </x:c>
      <x:c r="C42" s="133" t="n">
        <x:f>COUNTIFS('01 Master Plan'!C$5:C$383,A42,'01 Master Plan'!H$5:H$383,"In Progress")</x:f>
        <x:v>0</x:v>
      </x:c>
      <x:c r="D42" s="133" t="n">
        <x:f>COUNTIFS('01 Master Plan'!C$5:C$383,A42,'01 Master Plan'!H$5:H$383,"Not Started")</x:f>
        <x:v>6</x:v>
      </x:c>
      <x:c r="E42" s="133" t="n">
        <x:f>COUNTIFS('01 Master Plan'!C$5:C$383,A42,'01 Master Plan'!H$5:H$383,"Blocked")</x:f>
        <x:v>0</x:v>
      </x:c>
      <x:c r="F42" s="133" t="n">
        <x:f>COUNTIFS('01 Master Plan'!C$5:C$383,A42,'01 Master Plan'!H$5:H$383,"Deferred")</x:f>
        <x:v>0</x:v>
      </x:c>
      <x:c r="G42" s="255" t="n">
        <x:f>IFERROR(B42/(B42+C42+D42+E42),0)</x:f>
        <x:v>0.5714285714285714</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f4dce445fea546e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441399093cb84140"/>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16824e72f6094020"/>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d4100364f9e4a6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b9d6e029634455a"/>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f0dfdcf77a044cc1"/>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41de491cdc114b39"/>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fcbb608031a746f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IN PROGRESS — 13F-01 through 13F-08 PASS/CLOSED/PUBLISHED. The guidance taxonomy, eligibility/frequency/memory contracts and reusable L1 Inline Hint, L2 Guidance Card, L3 Anchored Coachmark and Nexus Guide side-panel primitives are now available. Nexus Guide remains presentation-only and caller-supplied; Ask Nexus interactive intelligence remains reserved for Phase 13G. Next executable canonical task: 13F-09 Add RFI/clarification contextual guidance.</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In Progress</x:v>
      </x:c>
      <x:c r="J10" s="133" t="str">
        <x:v>U5 / Phase 13F IN PROGRESS — 13F-01 through 13F-08 PASS/CLOSED/PUBLISHED. The guidance taxonomy, eligibility/frequency/memory contracts and reusable L1 Inline Hint, L2 Guidance Card, L3 Anchored Coachmark and Nexus Guide side-panel primitives are now available. Nexus Guide remains presentation-only and caller-supplied; Ask Nexus interactive intelligence remains reserved for Phase 13G. Next executable canonical task: 13F-09 Add RFI/clarification contextual guidance.</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b0f2e2f83a9a4dd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78115f3f3c174473"/>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50fa33ae82b34b4c"/>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92aa4aead629480f"/>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