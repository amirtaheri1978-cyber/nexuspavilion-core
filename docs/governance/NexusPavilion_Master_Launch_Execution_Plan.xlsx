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ffe4e7d9784c01" /></Relationships>
</file>

<file path=xl/workbook.xml><?xml version="1.0" encoding="utf-8"?>
<x:workbook xmlns:x="http://schemas.openxmlformats.org/spreadsheetml/2006/main">
  <x:sheets>
    <x:sheet xmlns:r="http://schemas.openxmlformats.org/officeDocument/2006/relationships" name="01 Master Plan" sheetId="1" r:id="R30a3118d7f774867"/>
    <x:sheet xmlns:r="http://schemas.openxmlformats.org/officeDocument/2006/relationships" name="03 Launch Gates" sheetId="2" r:id="R46dafa98fa9c4dc7"/>
    <x:sheet xmlns:r="http://schemas.openxmlformats.org/officeDocument/2006/relationships" name="00 Dashboard" sheetId="3" r:id="R386461f4364a43e7"/>
    <x:sheet xmlns:r="http://schemas.openxmlformats.org/officeDocument/2006/relationships" name="04 Cursor Tasks" sheetId="4" r:id="Re472f45551ae4554"/>
    <x:sheet xmlns:r="http://schemas.openxmlformats.org/officeDocument/2006/relationships" name="05 UAT Matrix" sheetId="5" r:id="R7aed79b191554f65"/>
    <x:sheet xmlns:r="http://schemas.openxmlformats.org/officeDocument/2006/relationships" name="06 Security Matrix" sheetId="6" r:id="Rd60ce264fa694945"/>
    <x:sheet xmlns:r="http://schemas.openxmlformats.org/officeDocument/2006/relationships" name="07 Risks" sheetId="7" r:id="R2a0ceee7fdcd41d1"/>
    <x:sheet xmlns:r="http://schemas.openxmlformats.org/officeDocument/2006/relationships" name="08 Architecture" sheetId="8" r:id="R6319b83dc6c34fbd"/>
    <x:sheet xmlns:r="http://schemas.openxmlformats.org/officeDocument/2006/relationships" name="09 Release Checklist" sheetId="9" r:id="R12e4fc62f9a1414f"/>
    <x:sheet xmlns:r="http://schemas.openxmlformats.org/officeDocument/2006/relationships" name="10 Change Log" sheetId="10" r:id="R8fbd34ed85d4477a"/>
    <x:sheet xmlns:r="http://schemas.openxmlformats.org/officeDocument/2006/relationships" name="11 Scope &amp; Roadmap" sheetId="11" r:id="Rde044aab15234e60"/>
    <x:sheet xmlns:r="http://schemas.openxmlformats.org/officeDocument/2006/relationships" name="12 How to Use" sheetId="12" r:id="R08c1882a6dd84268"/>
    <x:sheet xmlns:r="http://schemas.openxmlformats.org/officeDocument/2006/relationships" name="13 UI Program" sheetId="13" r:id="R86300b76225b4e98"/>
    <x:sheet xmlns:r="http://schemas.openxmlformats.org/officeDocument/2006/relationships" name="14 UI Scorecard" sheetId="14" r:id="Rd6e20ab414344917"/>
    <x:sheet xmlns:r="http://schemas.openxmlformats.org/officeDocument/2006/relationships" name="15 Motion Guidance" sheetId="15" r:id="R93985f84a79745b2"/>
    <x:sheet xmlns:r="http://schemas.openxmlformats.org/officeDocument/2006/relationships" name="16 Design Standards" sheetId="16" r:id="Rfb88ceadc6984678"/>
    <x:sheet xmlns:r="http://schemas.openxmlformats.org/officeDocument/2006/relationships" name="17 Corporate Platform" sheetId="17" r:id="R6398acf0f694466e"/>
    <x:sheet xmlns:r="http://schemas.openxmlformats.org/officeDocument/2006/relationships" name="18 Analytics Reuse Map" sheetId="18" r:id="Rda8739b0ebba4154"/>
    <x:sheet xmlns:r="http://schemas.openxmlformats.org/officeDocument/2006/relationships" name="19 Executive Insights Discovery" sheetId="19" r:id="R4f9fe6f70a8443b1"/>
    <x:sheet xmlns:r="http://schemas.openxmlformats.org/officeDocument/2006/relationships" name="20 Procurement Insights Discovery" sheetId="20" r:id="R06b3b6bc546a4d41"/>
    <x:sheet xmlns:r="http://schemas.openxmlformats.org/officeDocument/2006/relationships" name="21 Commercial Insights Discovery" sheetId="21" r:id="R0892ea8c3a14471f"/>
    <x:sheet xmlns:r="http://schemas.openxmlformats.org/officeDocument/2006/relationships" name="22 Project Insights Discovery" sheetId="22" r:id="Re17be3c693644331"/>
    <x:sheet xmlns:r="http://schemas.openxmlformats.org/officeDocument/2006/relationships" name="23 Performance Discovery" sheetId="23" r:id="Rd3ba8fd6b65447fa"/>
    <x:sheet xmlns:r="http://schemas.openxmlformats.org/officeDocument/2006/relationships" name="24 Risk Compliance Discovery" sheetId="24" r:id="R364358a199724086"/>
    <x:sheet xmlns:r="http://schemas.openxmlformats.org/officeDocument/2006/relationships" name="25 Commercial Handoff" sheetId="25" r:id="Rd20e38e83ae64c40"/>
    <x:sheet xmlns:r="http://schemas.openxmlformats.org/officeDocument/2006/relationships" name="26 RFQ Governance" sheetId="26" r:id="R449a0dcb10a84fa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7c96146fa74408e" /><Relationship Type="http://schemas.openxmlformats.org/officeDocument/2006/relationships/theme" Target="/xl/theme/theme1.xml" Id="R6a6c34d19cfa41e2" /><Relationship Type="http://schemas.openxmlformats.org/officeDocument/2006/relationships/sharedStrings" Target="/xl/sharedStrings.xml" Id="Rc557df755e2d4dd7" /><Relationship Type="http://schemas.openxmlformats.org/officeDocument/2006/relationships/worksheet" Target="/xl/worksheets/sheet1.xml" Id="R30a3118d7f774867" /><Relationship Type="http://schemas.openxmlformats.org/officeDocument/2006/relationships/worksheet" Target="/xl/worksheets/sheet2.xml" Id="R46dafa98fa9c4dc7" /><Relationship Type="http://schemas.openxmlformats.org/officeDocument/2006/relationships/worksheet" Target="/xl/worksheets/sheet3.xml" Id="R386461f4364a43e7" /><Relationship Type="http://schemas.openxmlformats.org/officeDocument/2006/relationships/worksheet" Target="/xl/worksheets/sheet4.xml" Id="Re472f45551ae4554" /><Relationship Type="http://schemas.openxmlformats.org/officeDocument/2006/relationships/worksheet" Target="/xl/worksheets/sheet5.xml" Id="R7aed79b191554f65" /><Relationship Type="http://schemas.openxmlformats.org/officeDocument/2006/relationships/worksheet" Target="/xl/worksheets/sheet6.xml" Id="Rd60ce264fa694945" /><Relationship Type="http://schemas.openxmlformats.org/officeDocument/2006/relationships/worksheet" Target="/xl/worksheets/sheet7.xml" Id="R2a0ceee7fdcd41d1" /><Relationship Type="http://schemas.openxmlformats.org/officeDocument/2006/relationships/worksheet" Target="/xl/worksheets/sheet8.xml" Id="R6319b83dc6c34fbd" /><Relationship Type="http://schemas.openxmlformats.org/officeDocument/2006/relationships/worksheet" Target="/xl/worksheets/sheet9.xml" Id="R12e4fc62f9a1414f" /><Relationship Type="http://schemas.openxmlformats.org/officeDocument/2006/relationships/worksheet" Target="/xl/worksheets/sheet10.xml" Id="R8fbd34ed85d4477a" /><Relationship Type="http://schemas.openxmlformats.org/officeDocument/2006/relationships/worksheet" Target="/xl/worksheets/sheet11.xml" Id="Rde044aab15234e60" /><Relationship Type="http://schemas.openxmlformats.org/officeDocument/2006/relationships/worksheet" Target="/xl/worksheets/sheet12.xml" Id="R08c1882a6dd84268" /><Relationship Type="http://schemas.openxmlformats.org/officeDocument/2006/relationships/worksheet" Target="/xl/worksheets/sheet13.xml" Id="R86300b76225b4e98" /><Relationship Type="http://schemas.openxmlformats.org/officeDocument/2006/relationships/worksheet" Target="/xl/worksheets/sheet14.xml" Id="Rd6e20ab414344917" /><Relationship Type="http://schemas.openxmlformats.org/officeDocument/2006/relationships/worksheet" Target="/xl/worksheets/sheet15.xml" Id="R93985f84a79745b2" /><Relationship Type="http://schemas.openxmlformats.org/officeDocument/2006/relationships/worksheet" Target="/xl/worksheets/sheet16.xml" Id="Rfb88ceadc6984678" /><Relationship Type="http://schemas.openxmlformats.org/officeDocument/2006/relationships/worksheet" Target="/xl/worksheets/sheet17.xml" Id="R6398acf0f694466e" /><Relationship Type="http://schemas.openxmlformats.org/officeDocument/2006/relationships/worksheet" Target="/xl/worksheets/sheet18.xml" Id="Rda8739b0ebba4154" /><Relationship Type="http://schemas.openxmlformats.org/officeDocument/2006/relationships/worksheet" Target="/xl/worksheets/sheet19.xml" Id="R4f9fe6f70a8443b1" /><Relationship Type="http://schemas.openxmlformats.org/officeDocument/2006/relationships/worksheet" Target="/xl/worksheets/sheet20.xml" Id="R06b3b6bc546a4d41" /><Relationship Type="http://schemas.openxmlformats.org/officeDocument/2006/relationships/worksheet" Target="/xl/worksheets/sheet21.xml" Id="R0892ea8c3a14471f" /><Relationship Type="http://schemas.openxmlformats.org/officeDocument/2006/relationships/worksheet" Target="/xl/worksheets/sheet22.xml" Id="Re17be3c693644331" /><Relationship Type="http://schemas.openxmlformats.org/officeDocument/2006/relationships/worksheet" Target="/xl/worksheets/sheet23.xml" Id="Rd3ba8fd6b65447fa" /><Relationship Type="http://schemas.openxmlformats.org/officeDocument/2006/relationships/worksheet" Target="/xl/worksheets/sheet24.xml" Id="R364358a199724086" /><Relationship Type="http://schemas.openxmlformats.org/officeDocument/2006/relationships/worksheet" Target="/xl/worksheets/sheet25.xml" Id="Rd20e38e83ae64c40" /><Relationship Type="http://schemas.openxmlformats.org/officeDocument/2006/relationships/worksheet" Target="/xl/worksheets/sheet26.xml" Id="R449a0dcb10a84fa1" /></Relationships>
</file>

<file path=xl/drawings/_rels/drawing1.xml.rels>&#65279;<?xml version="1.0" encoding="utf-8"?><Relationships xmlns="http://schemas.openxmlformats.org/package/2006/relationships"><Relationship Type="http://schemas.openxmlformats.org/officeDocument/2006/relationships/chart" Target="/xl/drawings/charts/chart1.xml" Id="R070e277e96a6451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70e277e96a6451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01bb6bbae6242ae" /></Relationships>
</file>

<file path=xl/worksheets/_rels/sheet2.xml.rels>&#65279;<?xml version="1.0" encoding="utf-8"?><Relationships xmlns="http://schemas.openxmlformats.org/package/2006/relationships"><Relationship Type="http://schemas.openxmlformats.org/officeDocument/2006/relationships/table" Target="/xl/tables/table2.xml" Id="R64f9116b2b924f9d" /></Relationships>
</file>

<file path=xl/worksheets/_rels/sheet3.xml.rels>&#65279;<?xml version="1.0" encoding="utf-8"?><Relationships xmlns="http://schemas.openxmlformats.org/package/2006/relationships"><Relationship Type="http://schemas.openxmlformats.org/officeDocument/2006/relationships/drawing" Target="/xl/drawings/drawing1.xml" Id="R72102abdd42e47a8" /></Relationships>
</file>

<file path=xl/worksheets/_rels/sheet4.xml.rels>&#65279;<?xml version="1.0" encoding="utf-8"?><Relationships xmlns="http://schemas.openxmlformats.org/package/2006/relationships"><Relationship Type="http://schemas.openxmlformats.org/officeDocument/2006/relationships/table" Target="/xl/tables/table3.xml" Id="R3ff54ae347464bdc" /></Relationships>
</file>

<file path=xl/worksheets/_rels/sheet5.xml.rels>&#65279;<?xml version="1.0" encoding="utf-8"?><Relationships xmlns="http://schemas.openxmlformats.org/package/2006/relationships"><Relationship Type="http://schemas.openxmlformats.org/officeDocument/2006/relationships/table" Target="/xl/tables/table4.xml" Id="R278320a8ce35459e" /></Relationships>
</file>

<file path=xl/worksheets/_rels/sheet6.xml.rels>&#65279;<?xml version="1.0" encoding="utf-8"?><Relationships xmlns="http://schemas.openxmlformats.org/package/2006/relationships"><Relationship Type="http://schemas.openxmlformats.org/officeDocument/2006/relationships/table" Target="/xl/tables/table5.xml" Id="Rca0bac8a17eb4fce" /></Relationships>
</file>

<file path=xl/worksheets/_rels/sheet7.xml.rels>&#65279;<?xml version="1.0" encoding="utf-8"?><Relationships xmlns="http://schemas.openxmlformats.org/package/2006/relationships"><Relationship Type="http://schemas.openxmlformats.org/officeDocument/2006/relationships/table" Target="/xl/tables/table6.xml" Id="Rba28264afb914829" /></Relationships>
</file>

<file path=xl/worksheets/_rels/sheet9.xml.rels>&#65279;<?xml version="1.0" encoding="utf-8"?><Relationships xmlns="http://schemas.openxmlformats.org/package/2006/relationships"><Relationship Type="http://schemas.openxmlformats.org/officeDocument/2006/relationships/table" Target="/xl/tables/table7.xml" Id="R7f26126dce074fff" /></Relationships>
</file>

<file path=xl/worksheets/_rels/sheet10.xml.rels>&#65279;<?xml version="1.0" encoding="utf-8"?><Relationships xmlns="http://schemas.openxmlformats.org/package/2006/relationships"><Relationship Type="http://schemas.openxmlformats.org/officeDocument/2006/relationships/table" Target="/xl/tables/table8.xml" Id="Re608eec4f78a4145" /></Relationships>
</file>

<file path=xl/worksheets/_rels/sheet11.xml.rels>&#65279;<?xml version="1.0" encoding="utf-8"?><Relationships xmlns="http://schemas.openxmlformats.org/package/2006/relationships"><Relationship Type="http://schemas.openxmlformats.org/officeDocument/2006/relationships/table" Target="/xl/tables/table9.xml" Id="Rc71cae20177244db" /></Relationships>
</file>

<file path=xl/worksheets/_rels/sheet13.xml.rels>&#65279;<?xml version="1.0" encoding="utf-8"?><Relationships xmlns="http://schemas.openxmlformats.org/package/2006/relationships"><Relationship Type="http://schemas.openxmlformats.org/officeDocument/2006/relationships/table" Target="/xl/tables/table10.xml" Id="R25bd42307a0b4184" /></Relationships>
</file>

<file path=xl/worksheets/_rels/sheet14.xml.rels>&#65279;<?xml version="1.0" encoding="utf-8"?><Relationships xmlns="http://schemas.openxmlformats.org/package/2006/relationships"><Relationship Type="http://schemas.openxmlformats.org/officeDocument/2006/relationships/table" Target="/xl/tables/table11.xml" Id="Raed3d14146384b38" /></Relationships>
</file>

<file path=xl/worksheets/_rels/sheet15.xml.rels>&#65279;<?xml version="1.0" encoding="utf-8"?><Relationships xmlns="http://schemas.openxmlformats.org/package/2006/relationships"><Relationship Type="http://schemas.openxmlformats.org/officeDocument/2006/relationships/table" Target="/xl/tables/table12.xml" Id="Rac44e62c19d1443c" /></Relationships>
</file>

<file path=xl/worksheets/_rels/sheet16.xml.rels>&#65279;<?xml version="1.0" encoding="utf-8"?><Relationships xmlns="http://schemas.openxmlformats.org/package/2006/relationships"><Relationship Type="http://schemas.openxmlformats.org/officeDocument/2006/relationships/table" Target="/xl/tables/table13.xml" Id="R80eede375c24402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01bb6bbae6242ae"/>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4f9116b2b924f9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273</x:v>
      </x:c>
      <x:c r="D6" s="133" t="inlineStr">
        <x:is>
          <x:t xml:space="preserve">G0A — Corporate platform architecture ready</x:t>
        </x:is>
      </x:c>
      <x:c r="E6" s="32" t="str">
        <x:f>'03 Launch Gates'!D20</x:f>
        <x:v>Completed</x:v>
      </x:c>
      <x:c r="G6" t="inlineStr">
        <x:is>
          <x:t xml:space="preserve">UI Tasks Complete</x:t>
        </x:is>
      </x:c>
      <x:c r="H6" t="n">
        <x:f>SUM(B36:B46)</x:f>
        <x:v>51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0.7438692098092643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0.7709090909090909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4</x:v>
      </x:c>
      <x:c r="C38" s="133" t="n">
        <x:f>COUNTIFS('01 Master Plan'!C$5:C$383,A38,'01 Master Plan'!H$5:H$383,"In Progress")</x:f>
        <x:v>0</x:v>
      </x:c>
      <x:c r="D38" s="133" t="n">
        <x:f>COUNTIFS('01 Master Plan'!C$5:C$383,A38,'01 Master Plan'!H$5:H$383,"Not Started")</x:f>
        <x:v>13</x:v>
      </x:c>
      <x:c r="E38" s="133" t="n">
        <x:f>COUNTIFS('01 Master Plan'!C$5:C$383,A38,'01 Master Plan'!H$5:H$383,"Blocked")</x:f>
        <x:v>0</x:v>
      </x:c>
      <x:c r="F38" s="133" t="n">
        <x:f>COUNTIFS('01 Master Plan'!C$5:C$383,A38,'01 Master Plan'!H$5:H$383,"Deferred")</x:f>
        <x:v>0</x:v>
      </x:c>
      <x:c r="G38" s="255" t="n">
        <x:f>IFERROR(B38/(B38+C38+D38+E38),0)</x:f>
        <x:v>0.23529411764705882</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2102abdd42e47a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ff54ae347464bd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78320a8ce35459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a0bac8a17eb4fc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a28264afb91482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f26126dce074ff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608eec4f78a414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71cae20177244d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button system, 13C-02 form controls, 13C-03 date/deadline controls, and 13C-04 badges/status chips complete. Next: 13C-05 Standardize card roles.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5bd42307a0b418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ed3d14146384b3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c44e62c19d1443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0eede375c24402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