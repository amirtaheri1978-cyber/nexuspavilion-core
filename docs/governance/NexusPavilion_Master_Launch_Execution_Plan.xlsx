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64c530566b4bc2" /></Relationships>
</file>

<file path=xl/workbook.xml><?xml version="1.0" encoding="utf-8"?>
<x:workbook xmlns:x="http://schemas.openxmlformats.org/spreadsheetml/2006/main">
  <x:sheets>
    <x:sheet xmlns:r="http://schemas.openxmlformats.org/officeDocument/2006/relationships" name="01 Master Plan" sheetId="1" r:id="Rbee88760047043f7"/>
    <x:sheet xmlns:r="http://schemas.openxmlformats.org/officeDocument/2006/relationships" name="03 Launch Gates" sheetId="2" r:id="R846df7fe2ba84689"/>
    <x:sheet xmlns:r="http://schemas.openxmlformats.org/officeDocument/2006/relationships" name="00 Dashboard" sheetId="3" r:id="R6022ef695516499c"/>
    <x:sheet xmlns:r="http://schemas.openxmlformats.org/officeDocument/2006/relationships" name="04 Cursor Tasks" sheetId="4" r:id="R02dcfb1448884f15"/>
    <x:sheet xmlns:r="http://schemas.openxmlformats.org/officeDocument/2006/relationships" name="05 UAT Matrix" sheetId="5" r:id="Rc8c93e5532214327"/>
    <x:sheet xmlns:r="http://schemas.openxmlformats.org/officeDocument/2006/relationships" name="06 Security Matrix" sheetId="6" r:id="R70f5e4b1a2b34560"/>
    <x:sheet xmlns:r="http://schemas.openxmlformats.org/officeDocument/2006/relationships" name="07 Risks" sheetId="7" r:id="R28697a8f8a164524"/>
    <x:sheet xmlns:r="http://schemas.openxmlformats.org/officeDocument/2006/relationships" name="08 Architecture" sheetId="8" r:id="Rfaacdc99df3c4ffa"/>
    <x:sheet xmlns:r="http://schemas.openxmlformats.org/officeDocument/2006/relationships" name="09 Release Checklist" sheetId="9" r:id="Ra535db6e2dcd4fc5"/>
    <x:sheet xmlns:r="http://schemas.openxmlformats.org/officeDocument/2006/relationships" name="10 Change Log" sheetId="10" r:id="Ra166bbe5f0ba49c1"/>
    <x:sheet xmlns:r="http://schemas.openxmlformats.org/officeDocument/2006/relationships" name="11 Scope &amp; Roadmap" sheetId="11" r:id="R6edd97ac83a041b2"/>
    <x:sheet xmlns:r="http://schemas.openxmlformats.org/officeDocument/2006/relationships" name="12 How to Use" sheetId="12" r:id="Refe9c1067ea44bd8"/>
    <x:sheet xmlns:r="http://schemas.openxmlformats.org/officeDocument/2006/relationships" name="13 UI Program" sheetId="13" r:id="R156079cc13ed4e6f"/>
    <x:sheet xmlns:r="http://schemas.openxmlformats.org/officeDocument/2006/relationships" name="14 UI Scorecard" sheetId="14" r:id="R2d9a31fc2f664c80"/>
    <x:sheet xmlns:r="http://schemas.openxmlformats.org/officeDocument/2006/relationships" name="15 Motion Guidance" sheetId="15" r:id="R8bf8c3ff03844658"/>
    <x:sheet xmlns:r="http://schemas.openxmlformats.org/officeDocument/2006/relationships" name="16 Design Standards" sheetId="16" r:id="Reb9f60c3fe9d4377"/>
    <x:sheet xmlns:r="http://schemas.openxmlformats.org/officeDocument/2006/relationships" name="17 Corporate Platform" sheetId="17" r:id="R3882f5e0b38c4fa2"/>
    <x:sheet xmlns:r="http://schemas.openxmlformats.org/officeDocument/2006/relationships" name="18 Analytics Reuse Map" sheetId="18" r:id="R7dec49cdf443445d"/>
    <x:sheet xmlns:r="http://schemas.openxmlformats.org/officeDocument/2006/relationships" name="19 Executive Insights Discovery" sheetId="19" r:id="Rf308a01fcf334974"/>
    <x:sheet xmlns:r="http://schemas.openxmlformats.org/officeDocument/2006/relationships" name="20 Procurement Insights Discovery" sheetId="20" r:id="R068d8c1209634163"/>
    <x:sheet xmlns:r="http://schemas.openxmlformats.org/officeDocument/2006/relationships" name="21 Commercial Insights Discovery" sheetId="21" r:id="R01760d1481244735"/>
    <x:sheet xmlns:r="http://schemas.openxmlformats.org/officeDocument/2006/relationships" name="22 Project Insights Discovery" sheetId="22" r:id="Rcd83978051624886"/>
    <x:sheet xmlns:r="http://schemas.openxmlformats.org/officeDocument/2006/relationships" name="23 Performance Discovery" sheetId="23" r:id="R6179a00d83dd4be9"/>
    <x:sheet xmlns:r="http://schemas.openxmlformats.org/officeDocument/2006/relationships" name="24 Risk Compliance Discovery" sheetId="24" r:id="Rae5a00c111014f4f"/>
    <x:sheet xmlns:r="http://schemas.openxmlformats.org/officeDocument/2006/relationships" name="25 Commercial Handoff" sheetId="25" r:id="R537bc73f10f64cf0"/>
    <x:sheet xmlns:r="http://schemas.openxmlformats.org/officeDocument/2006/relationships" name="26 RFQ Governance" sheetId="26" r:id="R3cdcd8b95f2747c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280e6af41234ffc" /><Relationship Type="http://schemas.openxmlformats.org/officeDocument/2006/relationships/theme" Target="/xl/theme/theme1.xml" Id="R5da6c1f1fe224bcb" /><Relationship Type="http://schemas.openxmlformats.org/officeDocument/2006/relationships/sharedStrings" Target="/xl/sharedStrings.xml" Id="Rdfc5832e81dc409f" /><Relationship Type="http://schemas.openxmlformats.org/officeDocument/2006/relationships/worksheet" Target="/xl/worksheets/sheet1.xml" Id="Rbee88760047043f7" /><Relationship Type="http://schemas.openxmlformats.org/officeDocument/2006/relationships/worksheet" Target="/xl/worksheets/sheet2.xml" Id="R846df7fe2ba84689" /><Relationship Type="http://schemas.openxmlformats.org/officeDocument/2006/relationships/worksheet" Target="/xl/worksheets/sheet3.xml" Id="R6022ef695516499c" /><Relationship Type="http://schemas.openxmlformats.org/officeDocument/2006/relationships/worksheet" Target="/xl/worksheets/sheet4.xml" Id="R02dcfb1448884f15" /><Relationship Type="http://schemas.openxmlformats.org/officeDocument/2006/relationships/worksheet" Target="/xl/worksheets/sheet5.xml" Id="Rc8c93e5532214327" /><Relationship Type="http://schemas.openxmlformats.org/officeDocument/2006/relationships/worksheet" Target="/xl/worksheets/sheet6.xml" Id="R70f5e4b1a2b34560" /><Relationship Type="http://schemas.openxmlformats.org/officeDocument/2006/relationships/worksheet" Target="/xl/worksheets/sheet7.xml" Id="R28697a8f8a164524" /><Relationship Type="http://schemas.openxmlformats.org/officeDocument/2006/relationships/worksheet" Target="/xl/worksheets/sheet8.xml" Id="Rfaacdc99df3c4ffa" /><Relationship Type="http://schemas.openxmlformats.org/officeDocument/2006/relationships/worksheet" Target="/xl/worksheets/sheet9.xml" Id="Ra535db6e2dcd4fc5" /><Relationship Type="http://schemas.openxmlformats.org/officeDocument/2006/relationships/worksheet" Target="/xl/worksheets/sheet10.xml" Id="Ra166bbe5f0ba49c1" /><Relationship Type="http://schemas.openxmlformats.org/officeDocument/2006/relationships/worksheet" Target="/xl/worksheets/sheet11.xml" Id="R6edd97ac83a041b2" /><Relationship Type="http://schemas.openxmlformats.org/officeDocument/2006/relationships/worksheet" Target="/xl/worksheets/sheet12.xml" Id="Refe9c1067ea44bd8" /><Relationship Type="http://schemas.openxmlformats.org/officeDocument/2006/relationships/worksheet" Target="/xl/worksheets/sheet13.xml" Id="R156079cc13ed4e6f" /><Relationship Type="http://schemas.openxmlformats.org/officeDocument/2006/relationships/worksheet" Target="/xl/worksheets/sheet14.xml" Id="R2d9a31fc2f664c80" /><Relationship Type="http://schemas.openxmlformats.org/officeDocument/2006/relationships/worksheet" Target="/xl/worksheets/sheet15.xml" Id="R8bf8c3ff03844658" /><Relationship Type="http://schemas.openxmlformats.org/officeDocument/2006/relationships/worksheet" Target="/xl/worksheets/sheet16.xml" Id="Reb9f60c3fe9d4377" /><Relationship Type="http://schemas.openxmlformats.org/officeDocument/2006/relationships/worksheet" Target="/xl/worksheets/sheet17.xml" Id="R3882f5e0b38c4fa2" /><Relationship Type="http://schemas.openxmlformats.org/officeDocument/2006/relationships/worksheet" Target="/xl/worksheets/sheet18.xml" Id="R7dec49cdf443445d" /><Relationship Type="http://schemas.openxmlformats.org/officeDocument/2006/relationships/worksheet" Target="/xl/worksheets/sheet19.xml" Id="Rf308a01fcf334974" /><Relationship Type="http://schemas.openxmlformats.org/officeDocument/2006/relationships/worksheet" Target="/xl/worksheets/sheet20.xml" Id="R068d8c1209634163" /><Relationship Type="http://schemas.openxmlformats.org/officeDocument/2006/relationships/worksheet" Target="/xl/worksheets/sheet21.xml" Id="R01760d1481244735" /><Relationship Type="http://schemas.openxmlformats.org/officeDocument/2006/relationships/worksheet" Target="/xl/worksheets/sheet22.xml" Id="Rcd83978051624886" /><Relationship Type="http://schemas.openxmlformats.org/officeDocument/2006/relationships/worksheet" Target="/xl/worksheets/sheet23.xml" Id="R6179a00d83dd4be9" /><Relationship Type="http://schemas.openxmlformats.org/officeDocument/2006/relationships/worksheet" Target="/xl/worksheets/sheet24.xml" Id="Rae5a00c111014f4f" /><Relationship Type="http://schemas.openxmlformats.org/officeDocument/2006/relationships/worksheet" Target="/xl/worksheets/sheet25.xml" Id="R537bc73f10f64cf0" /><Relationship Type="http://schemas.openxmlformats.org/officeDocument/2006/relationships/worksheet" Target="/xl/worksheets/sheet26.xml" Id="R3cdcd8b95f2747cf" /></Relationships>
</file>

<file path=xl/drawings/_rels/drawing1.xml.rels>&#65279;<?xml version="1.0" encoding="utf-8"?><Relationships xmlns="http://schemas.openxmlformats.org/package/2006/relationships"><Relationship Type="http://schemas.openxmlformats.org/officeDocument/2006/relationships/chart" Target="/xl/drawings/charts/chart1.xml" Id="R5b1b239634da495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b1b239634da495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e8761afb2634f9f" /></Relationships>
</file>

<file path=xl/worksheets/_rels/sheet2.xml.rels>&#65279;<?xml version="1.0" encoding="utf-8"?><Relationships xmlns="http://schemas.openxmlformats.org/package/2006/relationships"><Relationship Type="http://schemas.openxmlformats.org/officeDocument/2006/relationships/table" Target="/xl/tables/table2.xml" Id="R112e878856a84b48" /></Relationships>
</file>

<file path=xl/worksheets/_rels/sheet3.xml.rels>&#65279;<?xml version="1.0" encoding="utf-8"?><Relationships xmlns="http://schemas.openxmlformats.org/package/2006/relationships"><Relationship Type="http://schemas.openxmlformats.org/officeDocument/2006/relationships/drawing" Target="/xl/drawings/drawing1.xml" Id="R8767df0604a344af" /></Relationships>
</file>

<file path=xl/worksheets/_rels/sheet4.xml.rels>&#65279;<?xml version="1.0" encoding="utf-8"?><Relationships xmlns="http://schemas.openxmlformats.org/package/2006/relationships"><Relationship Type="http://schemas.openxmlformats.org/officeDocument/2006/relationships/table" Target="/xl/tables/table3.xml" Id="Re7faa56e9a49477a" /></Relationships>
</file>

<file path=xl/worksheets/_rels/sheet5.xml.rels>&#65279;<?xml version="1.0" encoding="utf-8"?><Relationships xmlns="http://schemas.openxmlformats.org/package/2006/relationships"><Relationship Type="http://schemas.openxmlformats.org/officeDocument/2006/relationships/table" Target="/xl/tables/table4.xml" Id="R182643073e2342b2" /></Relationships>
</file>

<file path=xl/worksheets/_rels/sheet6.xml.rels>&#65279;<?xml version="1.0" encoding="utf-8"?><Relationships xmlns="http://schemas.openxmlformats.org/package/2006/relationships"><Relationship Type="http://schemas.openxmlformats.org/officeDocument/2006/relationships/table" Target="/xl/tables/table5.xml" Id="Rc6d894d005a14807" /></Relationships>
</file>

<file path=xl/worksheets/_rels/sheet7.xml.rels>&#65279;<?xml version="1.0" encoding="utf-8"?><Relationships xmlns="http://schemas.openxmlformats.org/package/2006/relationships"><Relationship Type="http://schemas.openxmlformats.org/officeDocument/2006/relationships/table" Target="/xl/tables/table6.xml" Id="R92eab31ed6254f4f" /></Relationships>
</file>

<file path=xl/worksheets/_rels/sheet9.xml.rels>&#65279;<?xml version="1.0" encoding="utf-8"?><Relationships xmlns="http://schemas.openxmlformats.org/package/2006/relationships"><Relationship Type="http://schemas.openxmlformats.org/officeDocument/2006/relationships/table" Target="/xl/tables/table7.xml" Id="Rb206f59885c04438" /></Relationships>
</file>

<file path=xl/worksheets/_rels/sheet10.xml.rels>&#65279;<?xml version="1.0" encoding="utf-8"?><Relationships xmlns="http://schemas.openxmlformats.org/package/2006/relationships"><Relationship Type="http://schemas.openxmlformats.org/officeDocument/2006/relationships/table" Target="/xl/tables/table8.xml" Id="Ra4695c8762d246c3" /></Relationships>
</file>

<file path=xl/worksheets/_rels/sheet11.xml.rels>&#65279;<?xml version="1.0" encoding="utf-8"?><Relationships xmlns="http://schemas.openxmlformats.org/package/2006/relationships"><Relationship Type="http://schemas.openxmlformats.org/officeDocument/2006/relationships/table" Target="/xl/tables/table9.xml" Id="R72936e6cf7464a8c" /></Relationships>
</file>

<file path=xl/worksheets/_rels/sheet13.xml.rels>&#65279;<?xml version="1.0" encoding="utf-8"?><Relationships xmlns="http://schemas.openxmlformats.org/package/2006/relationships"><Relationship Type="http://schemas.openxmlformats.org/officeDocument/2006/relationships/table" Target="/xl/tables/table10.xml" Id="R3a2949bb93ab455f" /></Relationships>
</file>

<file path=xl/worksheets/_rels/sheet14.xml.rels>&#65279;<?xml version="1.0" encoding="utf-8"?><Relationships xmlns="http://schemas.openxmlformats.org/package/2006/relationships"><Relationship Type="http://schemas.openxmlformats.org/officeDocument/2006/relationships/table" Target="/xl/tables/table11.xml" Id="R5e1bedb37a934dde" /></Relationships>
</file>

<file path=xl/worksheets/_rels/sheet15.xml.rels>&#65279;<?xml version="1.0" encoding="utf-8"?><Relationships xmlns="http://schemas.openxmlformats.org/package/2006/relationships"><Relationship Type="http://schemas.openxmlformats.org/officeDocument/2006/relationships/table" Target="/xl/tables/table12.xml" Id="Rd317e57a256d42a8" /></Relationships>
</file>

<file path=xl/worksheets/_rels/sheet16.xml.rels>&#65279;<?xml version="1.0" encoding="utf-8"?><Relationships xmlns="http://schemas.openxmlformats.org/package/2006/relationships"><Relationship Type="http://schemas.openxmlformats.org/officeDocument/2006/relationships/table" Target="/xl/tables/table13.xml" Id="R68372f6be50e4c7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e8761afb2634f9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112e878856a84b4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339</x:v>
      </x:c>
      <x:c r="D6" s="133" t="inlineStr">
        <x:is>
          <x:t xml:space="preserve">G0A — Corporate platform architecture ready</x:t>
        </x:is>
      </x:c>
      <x:c r="E6" s="32" t="str">
        <x:f>'03 Launch Gates'!D20</x:f>
        <x:v>Completed</x:v>
      </x:c>
      <x:c r="G6" t="inlineStr">
        <x:is>
          <x:t xml:space="preserve">UI Tasks Complete</x:t>
        </x:is>
      </x:c>
      <x:c r="H6" t="n">
        <x:f>SUM(B36:B46)</x:f>
        <x:v>117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0.9237057220708447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12</x:v>
      </x:c>
      <x:c r="C44" s="28" t="n">
        <x:f>COUNTIFS('01 Master Plan'!C$5:C$383,A44,'01 Master Plan'!H$5:H$383,"In Progress")</x:f>
        <x:v>0</x:v>
      </x:c>
      <x:c r="D44" s="28" t="n">
        <x:f>COUNTIFS('01 Master Plan'!C$5:C$383,A44,'01 Master Plan'!H$5:H$383,"Not Started")</x:f>
        <x:v>6</x:v>
      </x:c>
      <x:c r="E44" s="28" t="n">
        <x:f>COUNTIFS('01 Master Plan'!C$5:C$383,A44,'01 Master Plan'!H$5:H$383,"Blocked")</x:f>
        <x:v>2</x:v>
      </x:c>
      <x:c r="F44" s="28" t="n">
        <x:f>COUNTIFS('01 Master Plan'!C$5:C$383,A44,'01 Master Plan'!H$5:H$383,"Deferred")</x:f>
        <x:v>0</x:v>
      </x:c>
      <x:c r="G44" s="258" t="n">
        <x:f>IFERROR(B44/(B44+C44+D44+E44),0)</x:f>
        <x:v>0.6</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767df0604a344a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7faa56e9a49477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82643073e2342b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6d894d005a1480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2eab31ed6254f4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206f59885c0443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a4695c8762d246c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2936e6cf7464a8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and 13H-12 through 13H-13 PASS/CLOSED/PUBLISHED; 13H-11 remains BLOCKED pending an approved My Tasks ownership/data contract; 13H-14 is BLOCKED because canonical Strategic Insights is the previously Product-Gate-frozen /analytics surface and no explicit freeze supersede has been authorized. No dirty Analytics WIP was adopted. Next dependency-independent executable canonical task: 13H-15 Upgrade Identity &amp; Profile.</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a2949bb93ab455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5e1bedb37a934dd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317e57a256d42a8"/>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8372f6be50e4c7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