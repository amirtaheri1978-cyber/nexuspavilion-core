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7a301d1b3db48ad" /></Relationships>
</file>

<file path=xl/workbook.xml><?xml version="1.0" encoding="utf-8"?>
<x:workbook xmlns:x="http://schemas.openxmlformats.org/spreadsheetml/2006/main">
  <x:sheets>
    <x:sheet xmlns:r="http://schemas.openxmlformats.org/officeDocument/2006/relationships" name="01 Master Plan" sheetId="1" r:id="R11379e1ace514ae3"/>
    <x:sheet xmlns:r="http://schemas.openxmlformats.org/officeDocument/2006/relationships" name="03 Launch Gates" sheetId="2" r:id="R820020e6bfb4445a"/>
    <x:sheet xmlns:r="http://schemas.openxmlformats.org/officeDocument/2006/relationships" name="00 Dashboard" sheetId="3" r:id="Rdfd2adc903b94dad"/>
    <x:sheet xmlns:r="http://schemas.openxmlformats.org/officeDocument/2006/relationships" name="04 Cursor Tasks" sheetId="4" r:id="R6398c00162224abf"/>
    <x:sheet xmlns:r="http://schemas.openxmlformats.org/officeDocument/2006/relationships" name="05 UAT Matrix" sheetId="5" r:id="R5245d5a161144a65"/>
    <x:sheet xmlns:r="http://schemas.openxmlformats.org/officeDocument/2006/relationships" name="06 Security Matrix" sheetId="6" r:id="R16811277c72843bf"/>
    <x:sheet xmlns:r="http://schemas.openxmlformats.org/officeDocument/2006/relationships" name="07 Risks" sheetId="7" r:id="R9dc7681289424bd2"/>
    <x:sheet xmlns:r="http://schemas.openxmlformats.org/officeDocument/2006/relationships" name="08 Architecture" sheetId="8" r:id="R51a44e6d34584816"/>
    <x:sheet xmlns:r="http://schemas.openxmlformats.org/officeDocument/2006/relationships" name="09 Release Checklist" sheetId="9" r:id="R2f787c7de23248f4"/>
    <x:sheet xmlns:r="http://schemas.openxmlformats.org/officeDocument/2006/relationships" name="10 Change Log" sheetId="10" r:id="R68eff54054344cf0"/>
    <x:sheet xmlns:r="http://schemas.openxmlformats.org/officeDocument/2006/relationships" name="11 Scope &amp; Roadmap" sheetId="11" r:id="R547a72f7d6804910"/>
    <x:sheet xmlns:r="http://schemas.openxmlformats.org/officeDocument/2006/relationships" name="12 How to Use" sheetId="12" r:id="R27aa71e9ddf947b2"/>
    <x:sheet xmlns:r="http://schemas.openxmlformats.org/officeDocument/2006/relationships" name="13 UI Program" sheetId="13" r:id="R7c21afb506574cf5"/>
    <x:sheet xmlns:r="http://schemas.openxmlformats.org/officeDocument/2006/relationships" name="14 UI Scorecard" sheetId="14" r:id="R7b4748077a1b4575"/>
    <x:sheet xmlns:r="http://schemas.openxmlformats.org/officeDocument/2006/relationships" name="15 Motion Guidance" sheetId="15" r:id="Rd03ccbb2a67247ae"/>
    <x:sheet xmlns:r="http://schemas.openxmlformats.org/officeDocument/2006/relationships" name="16 Design Standards" sheetId="16" r:id="Rd90ba83b2ae548d6"/>
    <x:sheet xmlns:r="http://schemas.openxmlformats.org/officeDocument/2006/relationships" name="17 Corporate Platform" sheetId="17" r:id="R788944c2e9324a6f"/>
    <x:sheet xmlns:r="http://schemas.openxmlformats.org/officeDocument/2006/relationships" name="18 Analytics Reuse Map" sheetId="18" r:id="R9d96dcffca414e20"/>
    <x:sheet xmlns:r="http://schemas.openxmlformats.org/officeDocument/2006/relationships" name="19 Executive Insights Discovery" sheetId="19" r:id="R7a45b0ca26884dd4"/>
    <x:sheet xmlns:r="http://schemas.openxmlformats.org/officeDocument/2006/relationships" name="20 Procurement Insights Discovery" sheetId="20" r:id="Rb4545e9b0db7457d"/>
    <x:sheet xmlns:r="http://schemas.openxmlformats.org/officeDocument/2006/relationships" name="21 Commercial Insights Discovery" sheetId="21" r:id="Re7e7f367a4de4d4a"/>
    <x:sheet xmlns:r="http://schemas.openxmlformats.org/officeDocument/2006/relationships" name="22 Project Insights Discovery" sheetId="22" r:id="R806606fe1982476f"/>
    <x:sheet xmlns:r="http://schemas.openxmlformats.org/officeDocument/2006/relationships" name="23 Performance Discovery" sheetId="23" r:id="Radc09a96985e48e3"/>
    <x:sheet xmlns:r="http://schemas.openxmlformats.org/officeDocument/2006/relationships" name="24 Risk Compliance Discovery" sheetId="24" r:id="R2fd522026ad24b6b"/>
    <x:sheet xmlns:r="http://schemas.openxmlformats.org/officeDocument/2006/relationships" name="25 Commercial Handoff" sheetId="25" r:id="R90961d3ebb3c46f5"/>
    <x:sheet xmlns:r="http://schemas.openxmlformats.org/officeDocument/2006/relationships" name="26 RFQ Governance" sheetId="26" r:id="R895d5a44905e4d8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de99002e868427c" /><Relationship Type="http://schemas.openxmlformats.org/officeDocument/2006/relationships/theme" Target="/xl/theme/theme1.xml" Id="R67060ffbee244f59" /><Relationship Type="http://schemas.openxmlformats.org/officeDocument/2006/relationships/sharedStrings" Target="/xl/sharedStrings.xml" Id="R9074a0229a494e89" /><Relationship Type="http://schemas.openxmlformats.org/officeDocument/2006/relationships/worksheet" Target="/xl/worksheets/sheet1.xml" Id="R11379e1ace514ae3" /><Relationship Type="http://schemas.openxmlformats.org/officeDocument/2006/relationships/worksheet" Target="/xl/worksheets/sheet2.xml" Id="R820020e6bfb4445a" /><Relationship Type="http://schemas.openxmlformats.org/officeDocument/2006/relationships/worksheet" Target="/xl/worksheets/sheet3.xml" Id="Rdfd2adc903b94dad" /><Relationship Type="http://schemas.openxmlformats.org/officeDocument/2006/relationships/worksheet" Target="/xl/worksheets/sheet4.xml" Id="R6398c00162224abf" /><Relationship Type="http://schemas.openxmlformats.org/officeDocument/2006/relationships/worksheet" Target="/xl/worksheets/sheet5.xml" Id="R5245d5a161144a65" /><Relationship Type="http://schemas.openxmlformats.org/officeDocument/2006/relationships/worksheet" Target="/xl/worksheets/sheet6.xml" Id="R16811277c72843bf" /><Relationship Type="http://schemas.openxmlformats.org/officeDocument/2006/relationships/worksheet" Target="/xl/worksheets/sheet7.xml" Id="R9dc7681289424bd2" /><Relationship Type="http://schemas.openxmlformats.org/officeDocument/2006/relationships/worksheet" Target="/xl/worksheets/sheet8.xml" Id="R51a44e6d34584816" /><Relationship Type="http://schemas.openxmlformats.org/officeDocument/2006/relationships/worksheet" Target="/xl/worksheets/sheet9.xml" Id="R2f787c7de23248f4" /><Relationship Type="http://schemas.openxmlformats.org/officeDocument/2006/relationships/worksheet" Target="/xl/worksheets/sheet10.xml" Id="R68eff54054344cf0" /><Relationship Type="http://schemas.openxmlformats.org/officeDocument/2006/relationships/worksheet" Target="/xl/worksheets/sheet11.xml" Id="R547a72f7d6804910" /><Relationship Type="http://schemas.openxmlformats.org/officeDocument/2006/relationships/worksheet" Target="/xl/worksheets/sheet12.xml" Id="R27aa71e9ddf947b2" /><Relationship Type="http://schemas.openxmlformats.org/officeDocument/2006/relationships/worksheet" Target="/xl/worksheets/sheet13.xml" Id="R7c21afb506574cf5" /><Relationship Type="http://schemas.openxmlformats.org/officeDocument/2006/relationships/worksheet" Target="/xl/worksheets/sheet14.xml" Id="R7b4748077a1b4575" /><Relationship Type="http://schemas.openxmlformats.org/officeDocument/2006/relationships/worksheet" Target="/xl/worksheets/sheet15.xml" Id="Rd03ccbb2a67247ae" /><Relationship Type="http://schemas.openxmlformats.org/officeDocument/2006/relationships/worksheet" Target="/xl/worksheets/sheet16.xml" Id="Rd90ba83b2ae548d6" /><Relationship Type="http://schemas.openxmlformats.org/officeDocument/2006/relationships/worksheet" Target="/xl/worksheets/sheet17.xml" Id="R788944c2e9324a6f" /><Relationship Type="http://schemas.openxmlformats.org/officeDocument/2006/relationships/worksheet" Target="/xl/worksheets/sheet18.xml" Id="R9d96dcffca414e20" /><Relationship Type="http://schemas.openxmlformats.org/officeDocument/2006/relationships/worksheet" Target="/xl/worksheets/sheet19.xml" Id="R7a45b0ca26884dd4" /><Relationship Type="http://schemas.openxmlformats.org/officeDocument/2006/relationships/worksheet" Target="/xl/worksheets/sheet20.xml" Id="Rb4545e9b0db7457d" /><Relationship Type="http://schemas.openxmlformats.org/officeDocument/2006/relationships/worksheet" Target="/xl/worksheets/sheet21.xml" Id="Re7e7f367a4de4d4a" /><Relationship Type="http://schemas.openxmlformats.org/officeDocument/2006/relationships/worksheet" Target="/xl/worksheets/sheet22.xml" Id="R806606fe1982476f" /><Relationship Type="http://schemas.openxmlformats.org/officeDocument/2006/relationships/worksheet" Target="/xl/worksheets/sheet23.xml" Id="Radc09a96985e48e3" /><Relationship Type="http://schemas.openxmlformats.org/officeDocument/2006/relationships/worksheet" Target="/xl/worksheets/sheet24.xml" Id="R2fd522026ad24b6b" /><Relationship Type="http://schemas.openxmlformats.org/officeDocument/2006/relationships/worksheet" Target="/xl/worksheets/sheet25.xml" Id="R90961d3ebb3c46f5" /><Relationship Type="http://schemas.openxmlformats.org/officeDocument/2006/relationships/worksheet" Target="/xl/worksheets/sheet26.xml" Id="R895d5a44905e4d8b" /></Relationships>
</file>

<file path=xl/drawings/_rels/drawing1.xml.rels>&#65279;<?xml version="1.0" encoding="utf-8"?><Relationships xmlns="http://schemas.openxmlformats.org/package/2006/relationships"><Relationship Type="http://schemas.openxmlformats.org/officeDocument/2006/relationships/chart" Target="/xl/drawings/charts/chart1.xml" Id="R1192e61633db4369"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192e61633db4369"/>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913fb8bbaab46fa" /></Relationships>
</file>

<file path=xl/worksheets/_rels/sheet2.xml.rels>&#65279;<?xml version="1.0" encoding="utf-8"?><Relationships xmlns="http://schemas.openxmlformats.org/package/2006/relationships"><Relationship Type="http://schemas.openxmlformats.org/officeDocument/2006/relationships/table" Target="/xl/tables/table2.xml" Id="R4af5487614ac4761" /></Relationships>
</file>

<file path=xl/worksheets/_rels/sheet3.xml.rels>&#65279;<?xml version="1.0" encoding="utf-8"?><Relationships xmlns="http://schemas.openxmlformats.org/package/2006/relationships"><Relationship Type="http://schemas.openxmlformats.org/officeDocument/2006/relationships/drawing" Target="/xl/drawings/drawing1.xml" Id="R54adc46d44264d3b" /></Relationships>
</file>

<file path=xl/worksheets/_rels/sheet4.xml.rels>&#65279;<?xml version="1.0" encoding="utf-8"?><Relationships xmlns="http://schemas.openxmlformats.org/package/2006/relationships"><Relationship Type="http://schemas.openxmlformats.org/officeDocument/2006/relationships/table" Target="/xl/tables/table3.xml" Id="Rde28743aa8124e14" /></Relationships>
</file>

<file path=xl/worksheets/_rels/sheet5.xml.rels>&#65279;<?xml version="1.0" encoding="utf-8"?><Relationships xmlns="http://schemas.openxmlformats.org/package/2006/relationships"><Relationship Type="http://schemas.openxmlformats.org/officeDocument/2006/relationships/table" Target="/xl/tables/table4.xml" Id="R8b34a8d8581841d2" /></Relationships>
</file>

<file path=xl/worksheets/_rels/sheet6.xml.rels>&#65279;<?xml version="1.0" encoding="utf-8"?><Relationships xmlns="http://schemas.openxmlformats.org/package/2006/relationships"><Relationship Type="http://schemas.openxmlformats.org/officeDocument/2006/relationships/table" Target="/xl/tables/table5.xml" Id="Rd02ea5df38ae4f73" /></Relationships>
</file>

<file path=xl/worksheets/_rels/sheet7.xml.rels>&#65279;<?xml version="1.0" encoding="utf-8"?><Relationships xmlns="http://schemas.openxmlformats.org/package/2006/relationships"><Relationship Type="http://schemas.openxmlformats.org/officeDocument/2006/relationships/table" Target="/xl/tables/table6.xml" Id="R26b415dcf6e44a64" /></Relationships>
</file>

<file path=xl/worksheets/_rels/sheet9.xml.rels>&#65279;<?xml version="1.0" encoding="utf-8"?><Relationships xmlns="http://schemas.openxmlformats.org/package/2006/relationships"><Relationship Type="http://schemas.openxmlformats.org/officeDocument/2006/relationships/table" Target="/xl/tables/table7.xml" Id="R48f84689cc464513" /></Relationships>
</file>

<file path=xl/worksheets/_rels/sheet10.xml.rels>&#65279;<?xml version="1.0" encoding="utf-8"?><Relationships xmlns="http://schemas.openxmlformats.org/package/2006/relationships"><Relationship Type="http://schemas.openxmlformats.org/officeDocument/2006/relationships/table" Target="/xl/tables/table8.xml" Id="Rd323872cc53f4fa0" /></Relationships>
</file>

<file path=xl/worksheets/_rels/sheet11.xml.rels>&#65279;<?xml version="1.0" encoding="utf-8"?><Relationships xmlns="http://schemas.openxmlformats.org/package/2006/relationships"><Relationship Type="http://schemas.openxmlformats.org/officeDocument/2006/relationships/table" Target="/xl/tables/table9.xml" Id="Re7b38a0daf5b4ea3" /></Relationships>
</file>

<file path=xl/worksheets/_rels/sheet13.xml.rels>&#65279;<?xml version="1.0" encoding="utf-8"?><Relationships xmlns="http://schemas.openxmlformats.org/package/2006/relationships"><Relationship Type="http://schemas.openxmlformats.org/officeDocument/2006/relationships/table" Target="/xl/tables/table10.xml" Id="Re3f383cfe9d24014" /></Relationships>
</file>

<file path=xl/worksheets/_rels/sheet14.xml.rels>&#65279;<?xml version="1.0" encoding="utf-8"?><Relationships xmlns="http://schemas.openxmlformats.org/package/2006/relationships"><Relationship Type="http://schemas.openxmlformats.org/officeDocument/2006/relationships/table" Target="/xl/tables/table11.xml" Id="R521d344edd314820" /></Relationships>
</file>

<file path=xl/worksheets/_rels/sheet15.xml.rels>&#65279;<?xml version="1.0" encoding="utf-8"?><Relationships xmlns="http://schemas.openxmlformats.org/package/2006/relationships"><Relationship Type="http://schemas.openxmlformats.org/officeDocument/2006/relationships/table" Target="/xl/tables/table12.xml" Id="R93b8d31e9f1244a1" /></Relationships>
</file>

<file path=xl/worksheets/_rels/sheet16.xml.rels>&#65279;<?xml version="1.0" encoding="utf-8"?><Relationships xmlns="http://schemas.openxmlformats.org/package/2006/relationships"><Relationship Type="http://schemas.openxmlformats.org/officeDocument/2006/relationships/table" Target="/xl/tables/table13.xml" Id="Rf7d69d9c6e2e428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v>✓</x:v>
      </x:c>
      <x:c r="B255" s="133" t="str">
        <x:v>13C-09</x:v>
      </x:c>
      <x:c r="C255" s="133" t="str">
        <x:v>13C Shared Enterprise Components</x:v>
      </x:c>
      <x:c r="D255" s="133" t="str">
        <x:v>Components</x:v>
      </x:c>
      <x:c r="E255" s="133" t="str">
        <x:v>Standardize tooltips/popovers</x:v>
      </x:c>
      <x:c r="F255" s="133" t="str">
        <x:v>Short contextual explanations share timing, placement and accessibility behavior.</x:v>
      </x:c>
      <x:c r="G255" s="133" t="str">
        <x:v>P1</x:v>
      </x:c>
      <x:c r="H255" s="133" t="str">
        <x:v>Completed</x:v>
      </x:c>
      <x:c r="I255" s="133" t="str">
        <x:v>Project Owner / Product / Engineering</x:v>
      </x:c>
      <x:c r="J255" s="133"/>
      <x:c r="K255" s="133" t="str">
        <x:v>13B-12</x:v>
      </x:c>
      <x:c r="L255" s="133"/>
      <x:c r="M255" s="133" t="str">
        <x:v>PASS / TOOLTIP-POPOVER CONTRACT STANDARDIZED — Published commit 4b67a4a9c7179ee42bb49769f182d769b12c39d2 updates only executive-contract.ts and its focused test. No shared tooltip/popover component existed, so 13C-09 intentionally standardized the presentation/accessibility contract only: compact elevated surfaces, tooltip/popover placement offsets, fast motion timing and preserved accessibility expectations. No tooltip or popover component was created.</x:v>
      </x:c>
      <x:c r="N255" s="249"/>
      <x:c r="O255" s="249" t="n">
        <x:v>46295</x:v>
      </x:c>
      <x:c r="P255" s="135" t="str">
        <x:v>Validation before publication: focused tooltip/design-system tests PASS (49), lint PASS, build PASS, git diff --check PASS. Pre-commit boundary review confirmed both files CLEAN-SCOPE, no new tooltip/popover component, no page/help migration, no content/business/data/state behavior change and no unrelated edits. Existing page help remains on local title/description wiring pending controlled adoption. Next: 13C-10 — Standardize toast/inline feedback.</x:v>
      </x:c>
    </x:row>
    <x:row r="256">
      <x:c r="A256" s="133" t="str">
        <x:v>✓</x:v>
      </x:c>
      <x:c r="B256" s="133" t="str">
        <x:v>13C-10</x:v>
      </x:c>
      <x:c r="C256" s="133" t="str">
        <x:v>13C Shared Enterprise Components</x:v>
      </x:c>
      <x:c r="D256" s="133" t="str">
        <x:v>Components</x:v>
      </x:c>
      <x:c r="E256" s="133" t="str">
        <x:v>Standardize toast/inline feedback</x:v>
      </x:c>
      <x:c r="F256" s="133" t="str">
        <x:v>Success, error, warning and informational feedback share one non-intrusive system.</x:v>
      </x:c>
      <x:c r="G256" s="133" t="str">
        <x:v>P0</x:v>
      </x:c>
      <x:c r="H256" s="133" t="str">
        <x:v>Completed</x:v>
      </x:c>
      <x:c r="I256" s="133" t="str">
        <x:v>Project Owner / Product / Engineering</x:v>
      </x:c>
      <x:c r="J256" s="133"/>
      <x:c r="K256" s="133" t="str">
        <x:v>13B-12</x:v>
      </x:c>
      <x:c r="L256" s="133"/>
      <x:c r="M256" s="133" t="str">
        <x:v>PASS / TOAST-INLINE FEEDBACK CONTRACT STANDARDIZED — Published commit 4807b1748a53505e111aef79c78f9c3f4260aba5 updates only executive-contract.ts and its focused test. No shared toast/inline-feedback component existed, so 13C-10 intentionally standardized the semantic, presentation and accessibility contract only: success/warning/error/info treatments, compact title/body hierarchy, icon/action/dismiss treatments, non-intrusive fixed placement, shared motion, and polite/assertive live-region expectations. No toast component or provider was created.</x:v>
      </x:c>
      <x:c r="N256" s="249"/>
      <x:c r="O256" s="249" t="n">
        <x:v>46295</x:v>
      </x:c>
      <x:c r="P256" s="135" t="str">
        <x:v>Validation before publication: focused feedback/design-system tests PASS (50), lint PASS, build PASS, git diff --check PASS. Pre-commit boundary review confirmed both files CLEAN-SCOPE, no feedback component/provider, no page-alert migration, no notification delivery/business/state behavior change and no unrelated edits. Existing page alerts remain on local status styling/live regions pending controlled adoption. Next: 13C-11 — Standardize loading/skeleton states.</x:v>
      </x:c>
    </x:row>
    <x:row r="257">
      <x:c r="A257" s="133" t="str">
        <x:v>✓</x:v>
      </x:c>
      <x:c r="B257" s="133" t="str">
        <x:v>13C-11</x:v>
      </x:c>
      <x:c r="C257" s="133" t="str">
        <x:v>13C Shared Enterprise Components</x:v>
      </x:c>
      <x:c r="D257" s="133" t="str">
        <x:v>Components</x:v>
      </x:c>
      <x:c r="E257" s="133" t="str">
        <x:v>Standardize loading/skeleton states</x:v>
      </x:c>
      <x:c r="F257" s="133" t="str">
        <x:v>Core async surfaces use reusable skeleton/progress patterns without artificial delays.</x:v>
      </x:c>
      <x:c r="G257" s="133" t="str">
        <x:v>P0</x:v>
      </x:c>
      <x:c r="H257" s="133" t="str">
        <x:v>Completed</x:v>
      </x:c>
      <x:c r="I257" s="133" t="str">
        <x:v>Project Owner / Product / Engineering</x:v>
      </x:c>
      <x:c r="J257" s="133"/>
      <x:c r="K257" s="133" t="str">
        <x:v>13B-12</x:v>
      </x:c>
      <x:c r="L257" s="133"/>
      <x:c r="M257" s="133" t="str">
        <x:v>PASS / LOADING-SKELETON CONTRACT STANDARDIZED — Published commit d10d5c143597295c1054750ee3e1624662069a64 updates ExecutiveProgress, executive-contract.ts and its focused test. The existing ExecutiveProgress primitive now consumes the shared progress track/value contract, using the existing Nexus gold and context-duration motion tokens. The shared loading contract also defines reusable skeleton surface/line treatments, screen-reader loading labels and polite live-region expectations. No skeleton component was created.</x:v>
      </x:c>
      <x:c r="N257" s="249"/>
      <x:c r="O257" s="249" t="n">
        <x:v>46295</x:v>
      </x:c>
      <x:c r="P257" s="135" t="str">
        <x:v>Validation before publication: focused loading/design-system tests PASS (80), lint PASS, build PASS, git diff --check PASS. Pre-commit scope/async-behavior review confirmed all three files CLEAN-SCOPE, no progress value/range behavior change, no timer/artificial delay, no fetch/query/Suspense/async logic change, reduced-motion compatibility preserved, accessibility semantics preserved, no route/page loading migration and no unrelated edits. Existing route loading screens remain on local skeleton blocks pending controlled adoption. Next: 13C-12 — Standardize empty states.</x:v>
      </x:c>
    </x:row>
    <x:row r="258">
      <x:c r="A258" s="133" t="str">
        <x:v>✓</x:v>
      </x:c>
      <x:c r="B258" s="133" t="str">
        <x:v>13C-12</x:v>
      </x:c>
      <x:c r="C258" s="133" t="str">
        <x:v>13C Shared Enterprise Components</x:v>
      </x:c>
      <x:c r="D258" s="133" t="str">
        <x:v>Components</x:v>
      </x:c>
      <x:c r="E258" s="133" t="str">
        <x:v>Standardize empty states</x:v>
      </x:c>
      <x:c r="F258" s="133" t="str">
        <x:v>Empty states explain context and next action using reusable layout/content rules.</x:v>
      </x:c>
      <x:c r="G258" s="133" t="str">
        <x:v>P0</x:v>
      </x:c>
      <x:c r="H258" s="133" t="str">
        <x:v>Completed</x:v>
      </x:c>
      <x:c r="I258" s="133" t="str">
        <x:v>Project Owner / Product / Engineering</x:v>
      </x:c>
      <x:c r="J258" s="133"/>
      <x:c r="K258" s="133" t="str">
        <x:v>13B-12</x:v>
      </x:c>
      <x:c r="L258" s="133"/>
      <x:c r="M258" s="133" t="str">
        <x:v>PASS / EMPTY-STATE CONTRACT STANDARDIZED — Published commit abec43ffa489d33307948671a662469fbf494550 updates only executive-contract.ts and its focused test. No shared empty-state component existed, so 13C-12 intentionally standardized the reusable layout/content/accessibility contract only: compact/full variants, dashed low-emphasis surface treatment, icon/eyebrow/title/body/action hierarchy, primary-action treatment, and status/polite live-region expectations. No empty-state component was created.</x:v>
      </x:c>
      <x:c r="N258" s="249"/>
      <x:c r="O258" s="249" t="n">
        <x:v>46296</x:v>
      </x:c>
      <x:c r="P258" s="135" t="str">
        <x:v>Validation before publication: focused empty-state/design-system tests PASS, lint PASS, build PASS, git diff --check PASS. Pre-commit boundary review confirmed both files CLEAN-SCOPE, no new empty-state component, no page/local-helper migration, no CTA destination/handler/navigation change, no business/data/permission condition change, no product-copy rewrite and no unrelated edits. Existing page-local empty states remain unwired to the shared contract pending controlled adoption. Next: 13C-13 — Standardize error states.</x:v>
      </x:c>
    </x:row>
    <x:row r="259">
      <x:c r="A259" s="133" t="str">
        <x:v>✓</x:v>
      </x:c>
      <x:c r="B259" s="133" t="str">
        <x:v>13C-13</x:v>
      </x:c>
      <x:c r="C259" s="133" t="str">
        <x:v>13C Shared Enterprise Components</x:v>
      </x:c>
      <x:c r="D259" s="133" t="str">
        <x:v>Components</x:v>
      </x:c>
      <x:c r="E259" s="133" t="str">
        <x:v>Standardize error states</x:v>
      </x:c>
      <x:c r="F259" s="133" t="str">
        <x:v>Errors identify problem, impact and recovery action consistently.</x:v>
      </x:c>
      <x:c r="G259" s="133" t="str">
        <x:v>P0</x:v>
      </x:c>
      <x:c r="H259" s="133" t="str">
        <x:v>Completed</x:v>
      </x:c>
      <x:c r="I259" s="133" t="str">
        <x:v>Project Owner / Product / Engineering</x:v>
      </x:c>
      <x:c r="J259" s="133"/>
      <x:c r="K259" s="133" t="str">
        <x:v>13B-12</x:v>
      </x:c>
      <x:c r="L259" s="133"/>
      <x:c r="M259" s="133" t="str">
        <x:v>PASS / ERROR-STATE CONTRACT STANDARDIZED — Published commit f53072386a4e4f51980ec1a8fa484765f536fdc1 updates only executive-contract.ts and its focused test. No shared error-state component existed, so 13C-13 intentionally standardized the semantic, presentation and accessibility contract only: risk-aligned error surface and icon treatment, problem/impact/recovery hierarchy, primary recovery action styling, and alert/assertive live-region expectations. No error-state component was created.</x:v>
      </x:c>
      <x:c r="N259" s="249"/>
      <x:c r="O259" s="249" t="n">
        <x:v>46296</x:v>
      </x:c>
      <x:c r="P259" s="135" t="str">
        <x:v>Validation before publication: focused error-state/design-system tests PASS, lint PASS, build PASS, git diff --check PASS. Pre-commit boundary review confirmed both files CLEAN-SCOPE, no new error-state component, no page/error-boundary migration, no retry/recovery-handler or navigation behavior change, no business/API/permission logic change, no broad product-copy rewrite and no unrelated edits. Existing page alerts and route error boundaries remain on local markup pending controlled adoption. Next: 13C-14 — Create workflow stepper component.</x:v>
      </x:c>
    </x:row>
    <x:row r="260">
      <x:c r="A260" s="133" t="str">
        <x:v>✓</x:v>
      </x:c>
      <x:c r="B260" s="133" t="str">
        <x:v>13C-14</x:v>
      </x:c>
      <x:c r="C260" s="133" t="str">
        <x:v>13C Shared Enterprise Components</x:v>
      </x:c>
      <x:c r="D260" s="133" t="str">
        <x:v>Components</x:v>
      </x:c>
      <x:c r="E260" s="133" t="str">
        <x:v>Create workflow stepper component</x:v>
      </x:c>
      <x:c r="F260" s="133" t="str">
        <x:v>Issuer/respondent lifecycle stages use one reusable accessible progress/navigation component.</x:v>
      </x:c>
      <x:c r="G260" s="133" t="str">
        <x:v>P0</x:v>
      </x:c>
      <x:c r="H260" s="133" t="str">
        <x:v>Completed</x:v>
      </x:c>
      <x:c r="I260" s="133" t="str">
        <x:v>Project Owner / Product / Engineering</x:v>
      </x:c>
      <x:c r="J260" s="133"/>
      <x:c r="K260" s="133" t="str">
        <x:v>13B-12</x:v>
      </x:c>
      <x:c r="L260" s="133"/>
      <x:c r="M260" s="133" t="str">
        <x:v>PASS / WORKFLOW STEPPER COMPONENT CREATED — Published commit 15406a70f7fdf319fdc645b5591c350b9f37788a adds one generic shared ExecutiveWorkflowStepper, its focused test, and the supporting executive design-system stepper contract/tests. The component is data-driven and supports completed/current/upcoming states, disabled/non-interactive stages, horizontal/compact responsive layouts, native link/button interaction, semantic nav/ordered-list structure, and aria-current='step' for the current stage.</x:v>
      </x:c>
      <x:c r="N260" s="249"/>
      <x:c r="O260" s="249" t="n">
        <x:v>46296</x:v>
      </x:c>
      <x:c r="P260" s="135" t="str">
        <x:v>Validation before publication: focused stepper/design-system tests PASS, lint PASS, build PASS, git diff --check PASS. Pre-commit architecture review confirmed all four files CLEAN-SCOPE, exactly one new shared stepper, no RFQ/procurement lifecycle rules, no issuer/respondent-specific wording, no embedded route/navigation logic, no page migration, no authorization/business/data behavior change and no unrelated edits. Existing RFQ wizard and executive decision timeline remain on local stage markup pending controlled adoption. Next: 13C-15 — Create intelligence card component.</x:v>
      </x:c>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a913fb8bbaab46fa"/>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4af5487614ac4761"/>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283</x:v>
      </x:c>
      <x:c r="D6" s="133" t="inlineStr">
        <x:is>
          <x:t xml:space="preserve">G0A — Corporate platform architecture ready</x:t>
        </x:is>
      </x:c>
      <x:c r="E6" s="32" t="str">
        <x:f>'03 Launch Gates'!D20</x:f>
        <x:v>Completed</x:v>
      </x:c>
      <x:c r="G6" t="inlineStr">
        <x:is>
          <x:t xml:space="preserve">UI Tasks Complete</x:t>
        </x:is>
      </x:c>
      <x:c r="H6" t="n">
        <x:f>SUM(B36:B46)</x:f>
        <x:v>61</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0.771117166212534</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0.8036363636363636</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14</x:v>
      </x:c>
      <x:c r="C38" s="133" t="n">
        <x:f>COUNTIFS('01 Master Plan'!C$5:C$383,A38,'01 Master Plan'!H$5:H$383,"In Progress")</x:f>
        <x:v>0</x:v>
      </x:c>
      <x:c r="D38" s="133" t="n">
        <x:f>COUNTIFS('01 Master Plan'!C$5:C$383,A38,'01 Master Plan'!H$5:H$383,"Not Started")</x:f>
        <x:v>3</x:v>
      </x:c>
      <x:c r="E38" s="133" t="n">
        <x:f>COUNTIFS('01 Master Plan'!C$5:C$383,A38,'01 Master Plan'!H$5:H$383,"Blocked")</x:f>
        <x:v>0</x:v>
      </x:c>
      <x:c r="F38" s="133" t="n">
        <x:f>COUNTIFS('01 Master Plan'!C$5:C$383,A38,'01 Master Plan'!H$5:H$383,"Deferred")</x:f>
        <x:v>0</x:v>
      </x:c>
      <x:c r="G38" s="255" t="n">
        <x:f>IFERROR(B38/(B38+C38+D38+E38),0)</x:f>
        <x:v>0.8235294117647058</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54adc46d44264d3b"/>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de28743aa8124e14"/>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8b34a8d8581841d2"/>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d02ea5df38ae4f73"/>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6b415dcf6e44a64"/>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48f84689cc464513"/>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row r="1209">
      <x:c r="A1209" t="n">
        <x:v>46295</x:v>
      </x:c>
      <x:c r="B1209" t="str">
        <x:v>Phase 13C / 13C-09</x:v>
      </x:c>
      <x:c r="C1209" t="str">
        <x:v>13C-09 Tooltip-Popover Contract Published</x:v>
      </x:c>
      <x:c r="D1209" t="str">
        <x:v>executive-benchmark-engine</x:v>
      </x:c>
      <x:c r="E1209" t="str">
        <x:v>4b67a4a9c7179ee42bb49769f182d769b12c39d2</x:v>
      </x:c>
      <x:c r="F1209" t="str">
        <x:v>Defined the shared tooltip/popover presentation and accessibility contract from existing elevated-surface, typography and motion tokens.</x:v>
      </x:c>
      <x:c r="G1209" t="str">
        <x:v>Exactly two files published: src/lib/design-system/executive-contract.ts and src/lib/design-system/executive-contract.test.ts. Focused tests 49 PASS; lint/build/diff-check PASS.</x:v>
      </x:c>
      <x:c r="H1209" t="str">
        <x:v>PASS / 13C-09 CLOSED / PUBLISHED</x:v>
      </x:c>
      <x:c r="I1209" t="str">
        <x:v>No shared tooltip/popover component existed and none was created. No page/help migration, no content/business/data/state behavior change, and no DB/Auth/RLS/Production change.</x:v>
      </x:c>
      <x:c r="J1209" t="str">
        <x:v>Next canonical Master Plan task: Phase 13C / 13C-10 — Standardize toast/inline feedback.</x:v>
      </x:c>
    </x:row>
    <x:row r="1210">
      <x:c r="A1210" t="n">
        <x:v>46295</x:v>
      </x:c>
      <x:c r="B1210" t="str">
        <x:v>Phase 13C / 13C-10</x:v>
      </x:c>
      <x:c r="C1210" t="str">
        <x:v>13C-10 Toast-Inline Feedback Contract Published</x:v>
      </x:c>
      <x:c r="D1210" t="str">
        <x:v>executive-benchmark-engine</x:v>
      </x:c>
      <x:c r="E1210" t="str">
        <x:v>4807b1748a53505e111aef79c78f9c3f4260aba5</x:v>
      </x:c>
      <x:c r="F1210" t="str">
        <x:v>Defined the shared toast/inline-feedback semantic, presentation and accessibility contract from existing status, typography, button and motion tokens.</x:v>
      </x:c>
      <x:c r="G1210" t="str">
        <x:v>Exactly two files published: src/lib/design-system/executive-contract.ts and src/lib/design-system/executive-contract.test.ts. Focused tests 50 PASS; lint/build/diff-check PASS.</x:v>
      </x:c>
      <x:c r="H1210" t="str">
        <x:v>PASS / 13C-10 CLOSED / PUBLISHED</x:v>
      </x:c>
      <x:c r="I1210" t="str">
        <x:v>No shared feedback component/provider existed and none was created. No page-alert migration, no notification delivery/business/state behavior change, and no DB/Auth/RLS/Production change.</x:v>
      </x:c>
      <x:c r="J1210" t="str">
        <x:v>Next canonical Master Plan task: Phase 13C / 13C-11 — Standardize loading/skeleton states.</x:v>
      </x:c>
    </x:row>
    <x:row r="1211">
      <x:c r="A1211" t="n">
        <x:v>46295</x:v>
      </x:c>
      <x:c r="B1211" t="str">
        <x:v>Phase 13C / 13C-11</x:v>
      </x:c>
      <x:c r="C1211" t="str">
        <x:v>13C-11 Loading-Skeleton Contract Published</x:v>
      </x:c>
      <x:c r="D1211" t="str">
        <x:v>executive-benchmark-engine</x:v>
      </x:c>
      <x:c r="E1211" t="str">
        <x:v>d10d5c143597295c1054750ee3e1624662069a64</x:v>
      </x:c>
      <x:c r="F1211" t="str">
        <x:v>Standardized loading/skeleton/progress treatment by wiring the existing ExecutiveProgress primitive to shared design-system progress tokens and defining reusable skeleton/loading accessibility contracts.</x:v>
      </x:c>
      <x:c r="G1211" t="str">
        <x:v>Exactly three files published: src/components/executive/executive-progress.tsx, src/lib/design-system/executive-contract.ts, src/lib/design-system/executive-contract.test.ts. Focused tests 80 PASS; lint/build/diff-check PASS.</x:v>
      </x:c>
      <x:c r="H1211" t="str">
        <x:v>PASS / 13C-11 CLOSED / PUBLISHED</x:v>
      </x:c>
      <x:c r="I1211" t="str">
        <x:v>No artificial delay, no fetch/query/Suspense/async behavior change, reduced-motion and accessibility preserved, no route/page loading migration, and no DB/Auth/RLS/Production change.</x:v>
      </x:c>
      <x:c r="J1211" t="str">
        <x:v>Next canonical Master Plan task: Phase 13C / 13C-12 — Standardize empty states.</x:v>
      </x:c>
    </x:row>
    <x:row r="1212">
      <x:c r="A1212" t="n">
        <x:v>46296</x:v>
      </x:c>
      <x:c r="B1212" t="str">
        <x:v>Phase 13C / 13C-12</x:v>
      </x:c>
      <x:c r="C1212" t="str">
        <x:v>13C-12 Empty-State Contract Published</x:v>
      </x:c>
      <x:c r="D1212" t="str">
        <x:v>executive-benchmark-engine</x:v>
      </x:c>
      <x:c r="E1212" t="str">
        <x:v>abec43ffa489d33307948671a662469fbf494550</x:v>
      </x:c>
      <x:c r="F1212" t="str">
        <x:v>Defined the shared empty-state layout, content hierarchy and accessibility contract from existing local patterns without introducing a new component.</x:v>
      </x:c>
      <x:c r="G1212" t="str">
        <x:v>Exactly two files published: src/lib/design-system/executive-contract.ts and src/lib/design-system/executive-contract.test.ts. Focused tests PASS; lint/build/diff-check PASS.</x:v>
      </x:c>
      <x:c r="H1212" t="str">
        <x:v>PASS / 13C-12 CLOSED / PUBLISHED</x:v>
      </x:c>
      <x:c r="I1212" t="str">
        <x:v>No empty-state component created, no page/local-helper migration, no CTA/navigation or business/data/permission behavior change, no product-copy rewrite, and no DB/Auth/RLS/Production change.</x:v>
      </x:c>
      <x:c r="J1212" t="str">
        <x:v>Next canonical Master Plan task: Phase 13C / 13C-13 — Standardize error states.</x:v>
      </x:c>
    </x:row>
    <x:row r="1213">
      <x:c r="A1213" t="n">
        <x:v>46296</x:v>
      </x:c>
      <x:c r="B1213" t="str">
        <x:v>Phase 13C / 13C-13</x:v>
      </x:c>
      <x:c r="C1213" t="str">
        <x:v>13C-13 Error-State Contract Published</x:v>
      </x:c>
      <x:c r="D1213" t="str">
        <x:v>executive-benchmark-engine</x:v>
      </x:c>
      <x:c r="E1213" t="str">
        <x:v>f53072386a4e4f51980ec1a8fa484765f536fdc1</x:v>
      </x:c>
      <x:c r="F1213" t="str">
        <x:v>Defined the shared error-state semantic, presentation and accessibility contract from existing alert patterns without introducing a new component.</x:v>
      </x:c>
      <x:c r="G1213" t="str">
        <x:v>Exactly two files published: src/lib/design-system/executive-contract.ts and src/lib/design-system/executive-contract.test.ts. Focused tests PASS; lint/build/diff-check PASS.</x:v>
      </x:c>
      <x:c r="H1213" t="str">
        <x:v>PASS / 13C-13 CLOSED / PUBLISHED</x:v>
      </x:c>
      <x:c r="I1213" t="str">
        <x:v>No error-state component created, no page/error-boundary migration, no retry/recovery/navigation behavior change, no business/API/permission logic change, no broad product-copy rewrite, and no DB/Auth/RLS/Production change.</x:v>
      </x:c>
      <x:c r="J1213" t="str">
        <x:v>Next canonical Master Plan task: Phase 13C / 13C-14 — Create workflow stepper component.</x:v>
      </x:c>
    </x:row>
    <x:row r="1214">
      <x:c r="A1214" t="n">
        <x:v>46296</x:v>
      </x:c>
      <x:c r="B1214" t="str">
        <x:v>Phase 13C / 13C-14</x:v>
      </x:c>
      <x:c r="C1214" t="str">
        <x:v>13C-14 Workflow Stepper Component Published</x:v>
      </x:c>
      <x:c r="D1214" t="str">
        <x:v>executive-benchmark-engine</x:v>
      </x:c>
      <x:c r="E1214" t="str">
        <x:v>15406a70f7fdf319fdc645b5591c350b9f37788a</x:v>
      </x:c>
      <x:c r="F1214" t="str">
        <x:v>Created one reusable ExecutiveWorkflowStepper component plus its shared design-system presentation contract and focused tests.</x:v>
      </x:c>
      <x:c r="G1214" t="str">
        <x:v>Exactly four files published: src/components/executive/executive-workflow-stepper.tsx, src/components/executive/executive-workflow-stepper.test.ts, src/lib/design-system/executive-contract.ts, src/lib/design-system/executive-contract.test.ts. Focused tests PASS; lint/build/diff-check PASS.</x:v>
      </x:c>
      <x:c r="H1214" t="str">
        <x:v>PASS / 13C-14 CLOSED / PUBLISHED</x:v>
      </x:c>
      <x:c r="I1214" t="str">
        <x:v>Generic/data-driven only; no RFQ/procurement lifecycle rules, no issuer/respondent wording, no route/navigation logic, no page migration, no authorization/business/data behavior change, and no DB/Auth/RLS/Production change.</x:v>
      </x:c>
      <x:c r="J1214" t="str">
        <x:v>Next canonical Master Plan task: Phase 13C / 13C-15 — Create intelligence card component.</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d323872cc53f4fa0"/>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e7b38a0daf5b4ea3"/>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through 13C-14 complete. Shared component foundation now includes buttons, form controls, date/deadline controls, badges/status chips, card roles, enterprise tables, confirmation dialogs, drawer/side-panel, tooltip/popover, toast/inline feedback, loading/skeleton/progress, empty states, error states, and the reusable ExecutiveWorkflowStepper. Next: 13C-15 Create intelligence card component.</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e3f383cfe9d24014"/>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521d344edd314820"/>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93b8d31e9f1244a1"/>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f7d69d9c6e2e428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