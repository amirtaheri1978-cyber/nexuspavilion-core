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c5287e95174e10" /></Relationships>
</file>

<file path=xl/workbook.xml><?xml version="1.0" encoding="utf-8"?>
<x:workbook xmlns:x="http://schemas.openxmlformats.org/spreadsheetml/2006/main">
  <x:sheets>
    <x:sheet xmlns:r="http://schemas.openxmlformats.org/officeDocument/2006/relationships" name="01 Master Plan" sheetId="1" r:id="Rfe29a309caed40f4"/>
    <x:sheet xmlns:r="http://schemas.openxmlformats.org/officeDocument/2006/relationships" name="03 Launch Gates" sheetId="2" r:id="R5f4fc5de3d8b4bf3"/>
    <x:sheet xmlns:r="http://schemas.openxmlformats.org/officeDocument/2006/relationships" name="00 Dashboard" sheetId="3" r:id="R10c481053da646e1"/>
    <x:sheet xmlns:r="http://schemas.openxmlformats.org/officeDocument/2006/relationships" name="04 Cursor Tasks" sheetId="4" r:id="R94aeca0ef605464a"/>
    <x:sheet xmlns:r="http://schemas.openxmlformats.org/officeDocument/2006/relationships" name="05 UAT Matrix" sheetId="5" r:id="Rd461cd1f2afa4998"/>
    <x:sheet xmlns:r="http://schemas.openxmlformats.org/officeDocument/2006/relationships" name="06 Security Matrix" sheetId="6" r:id="Rf300eb87bb934bd7"/>
    <x:sheet xmlns:r="http://schemas.openxmlformats.org/officeDocument/2006/relationships" name="07 Risks" sheetId="7" r:id="R2d691286806e469e"/>
    <x:sheet xmlns:r="http://schemas.openxmlformats.org/officeDocument/2006/relationships" name="08 Architecture" sheetId="8" r:id="Rd6311ea3a46145bb"/>
    <x:sheet xmlns:r="http://schemas.openxmlformats.org/officeDocument/2006/relationships" name="09 Release Checklist" sheetId="9" r:id="R9b5dd86676564c69"/>
    <x:sheet xmlns:r="http://schemas.openxmlformats.org/officeDocument/2006/relationships" name="10 Change Log" sheetId="10" r:id="R044f4d5d2e854496"/>
    <x:sheet xmlns:r="http://schemas.openxmlformats.org/officeDocument/2006/relationships" name="11 Scope &amp; Roadmap" sheetId="11" r:id="R141d1baf46fd4d98"/>
    <x:sheet xmlns:r="http://schemas.openxmlformats.org/officeDocument/2006/relationships" name="12 How to Use" sheetId="12" r:id="R516755550b6f4962"/>
    <x:sheet xmlns:r="http://schemas.openxmlformats.org/officeDocument/2006/relationships" name="13 UI Program" sheetId="13" r:id="R773a4a1daaeb47a7"/>
    <x:sheet xmlns:r="http://schemas.openxmlformats.org/officeDocument/2006/relationships" name="14 UI Scorecard" sheetId="14" r:id="R3baa64f932334c2d"/>
    <x:sheet xmlns:r="http://schemas.openxmlformats.org/officeDocument/2006/relationships" name="15 Motion Guidance" sheetId="15" r:id="R6a12b55fda1e4e3d"/>
    <x:sheet xmlns:r="http://schemas.openxmlformats.org/officeDocument/2006/relationships" name="16 Design Standards" sheetId="16" r:id="R485f9f9b4a104009"/>
    <x:sheet xmlns:r="http://schemas.openxmlformats.org/officeDocument/2006/relationships" name="17 Corporate Platform" sheetId="17" r:id="R088d4b785c9d4726"/>
    <x:sheet xmlns:r="http://schemas.openxmlformats.org/officeDocument/2006/relationships" name="18 Analytics Reuse Map" sheetId="18" r:id="Rd88b6d862aad4de8"/>
    <x:sheet xmlns:r="http://schemas.openxmlformats.org/officeDocument/2006/relationships" name="19 Executive Insights Discovery" sheetId="19" r:id="R1a978e64b4874c75"/>
    <x:sheet xmlns:r="http://schemas.openxmlformats.org/officeDocument/2006/relationships" name="20 Procurement Insights Discovery" sheetId="20" r:id="R2c327e5457e94b44"/>
    <x:sheet xmlns:r="http://schemas.openxmlformats.org/officeDocument/2006/relationships" name="21 Commercial Insights Discovery" sheetId="21" r:id="R60486abece7840f7"/>
    <x:sheet xmlns:r="http://schemas.openxmlformats.org/officeDocument/2006/relationships" name="22 Project Insights Discovery" sheetId="22" r:id="R8102180a28494e18"/>
    <x:sheet xmlns:r="http://schemas.openxmlformats.org/officeDocument/2006/relationships" name="23 Performance Discovery" sheetId="23" r:id="Rff3c742d5b5448ba"/>
    <x:sheet xmlns:r="http://schemas.openxmlformats.org/officeDocument/2006/relationships" name="24 Risk Compliance Discovery" sheetId="24" r:id="R85c9f1f3d65d494a"/>
    <x:sheet xmlns:r="http://schemas.openxmlformats.org/officeDocument/2006/relationships" name="25 Commercial Handoff" sheetId="25" r:id="Rac30e25b1a0e4340"/>
    <x:sheet xmlns:r="http://schemas.openxmlformats.org/officeDocument/2006/relationships" name="26 RFQ Governance" sheetId="26" r:id="Re1e65446ead04bd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002e1915d254f5a" /><Relationship Type="http://schemas.openxmlformats.org/officeDocument/2006/relationships/theme" Target="/xl/theme/theme1.xml" Id="R36e945d8442840ed" /><Relationship Type="http://schemas.openxmlformats.org/officeDocument/2006/relationships/sharedStrings" Target="/xl/sharedStrings.xml" Id="R8508174b88d44c26" /><Relationship Type="http://schemas.openxmlformats.org/officeDocument/2006/relationships/worksheet" Target="/xl/worksheets/sheet1.xml" Id="Rfe29a309caed40f4" /><Relationship Type="http://schemas.openxmlformats.org/officeDocument/2006/relationships/worksheet" Target="/xl/worksheets/sheet2.xml" Id="R5f4fc5de3d8b4bf3" /><Relationship Type="http://schemas.openxmlformats.org/officeDocument/2006/relationships/worksheet" Target="/xl/worksheets/sheet3.xml" Id="R10c481053da646e1" /><Relationship Type="http://schemas.openxmlformats.org/officeDocument/2006/relationships/worksheet" Target="/xl/worksheets/sheet4.xml" Id="R94aeca0ef605464a" /><Relationship Type="http://schemas.openxmlformats.org/officeDocument/2006/relationships/worksheet" Target="/xl/worksheets/sheet5.xml" Id="Rd461cd1f2afa4998" /><Relationship Type="http://schemas.openxmlformats.org/officeDocument/2006/relationships/worksheet" Target="/xl/worksheets/sheet6.xml" Id="Rf300eb87bb934bd7" /><Relationship Type="http://schemas.openxmlformats.org/officeDocument/2006/relationships/worksheet" Target="/xl/worksheets/sheet7.xml" Id="R2d691286806e469e" /><Relationship Type="http://schemas.openxmlformats.org/officeDocument/2006/relationships/worksheet" Target="/xl/worksheets/sheet8.xml" Id="Rd6311ea3a46145bb" /><Relationship Type="http://schemas.openxmlformats.org/officeDocument/2006/relationships/worksheet" Target="/xl/worksheets/sheet9.xml" Id="R9b5dd86676564c69" /><Relationship Type="http://schemas.openxmlformats.org/officeDocument/2006/relationships/worksheet" Target="/xl/worksheets/sheet10.xml" Id="R044f4d5d2e854496" /><Relationship Type="http://schemas.openxmlformats.org/officeDocument/2006/relationships/worksheet" Target="/xl/worksheets/sheet11.xml" Id="R141d1baf46fd4d98" /><Relationship Type="http://schemas.openxmlformats.org/officeDocument/2006/relationships/worksheet" Target="/xl/worksheets/sheet12.xml" Id="R516755550b6f4962" /><Relationship Type="http://schemas.openxmlformats.org/officeDocument/2006/relationships/worksheet" Target="/xl/worksheets/sheet13.xml" Id="R773a4a1daaeb47a7" /><Relationship Type="http://schemas.openxmlformats.org/officeDocument/2006/relationships/worksheet" Target="/xl/worksheets/sheet14.xml" Id="R3baa64f932334c2d" /><Relationship Type="http://schemas.openxmlformats.org/officeDocument/2006/relationships/worksheet" Target="/xl/worksheets/sheet15.xml" Id="R6a12b55fda1e4e3d" /><Relationship Type="http://schemas.openxmlformats.org/officeDocument/2006/relationships/worksheet" Target="/xl/worksheets/sheet16.xml" Id="R485f9f9b4a104009" /><Relationship Type="http://schemas.openxmlformats.org/officeDocument/2006/relationships/worksheet" Target="/xl/worksheets/sheet17.xml" Id="R088d4b785c9d4726" /><Relationship Type="http://schemas.openxmlformats.org/officeDocument/2006/relationships/worksheet" Target="/xl/worksheets/sheet18.xml" Id="Rd88b6d862aad4de8" /><Relationship Type="http://schemas.openxmlformats.org/officeDocument/2006/relationships/worksheet" Target="/xl/worksheets/sheet19.xml" Id="R1a978e64b4874c75" /><Relationship Type="http://schemas.openxmlformats.org/officeDocument/2006/relationships/worksheet" Target="/xl/worksheets/sheet20.xml" Id="R2c327e5457e94b44" /><Relationship Type="http://schemas.openxmlformats.org/officeDocument/2006/relationships/worksheet" Target="/xl/worksheets/sheet21.xml" Id="R60486abece7840f7" /><Relationship Type="http://schemas.openxmlformats.org/officeDocument/2006/relationships/worksheet" Target="/xl/worksheets/sheet22.xml" Id="R8102180a28494e18" /><Relationship Type="http://schemas.openxmlformats.org/officeDocument/2006/relationships/worksheet" Target="/xl/worksheets/sheet23.xml" Id="Rff3c742d5b5448ba" /><Relationship Type="http://schemas.openxmlformats.org/officeDocument/2006/relationships/worksheet" Target="/xl/worksheets/sheet24.xml" Id="R85c9f1f3d65d494a" /><Relationship Type="http://schemas.openxmlformats.org/officeDocument/2006/relationships/worksheet" Target="/xl/worksheets/sheet25.xml" Id="Rac30e25b1a0e4340" /><Relationship Type="http://schemas.openxmlformats.org/officeDocument/2006/relationships/worksheet" Target="/xl/worksheets/sheet26.xml" Id="Re1e65446ead04bde" /></Relationships>
</file>

<file path=xl/drawings/_rels/drawing1.xml.rels>&#65279;<?xml version="1.0" encoding="utf-8"?><Relationships xmlns="http://schemas.openxmlformats.org/package/2006/relationships"><Relationship Type="http://schemas.openxmlformats.org/officeDocument/2006/relationships/chart" Target="/xl/drawings/charts/chart1.xml" Id="R7a795b92115e43f5"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a795b92115e43f5"/>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858bf170fef4c70" /></Relationships>
</file>

<file path=xl/worksheets/_rels/sheet2.xml.rels>&#65279;<?xml version="1.0" encoding="utf-8"?><Relationships xmlns="http://schemas.openxmlformats.org/package/2006/relationships"><Relationship Type="http://schemas.openxmlformats.org/officeDocument/2006/relationships/table" Target="/xl/tables/table2.xml" Id="R3d98c5298b55442a" /></Relationships>
</file>

<file path=xl/worksheets/_rels/sheet3.xml.rels>&#65279;<?xml version="1.0" encoding="utf-8"?><Relationships xmlns="http://schemas.openxmlformats.org/package/2006/relationships"><Relationship Type="http://schemas.openxmlformats.org/officeDocument/2006/relationships/drawing" Target="/xl/drawings/drawing1.xml" Id="Rab27d3ca1e704058" /></Relationships>
</file>

<file path=xl/worksheets/_rels/sheet4.xml.rels>&#65279;<?xml version="1.0" encoding="utf-8"?><Relationships xmlns="http://schemas.openxmlformats.org/package/2006/relationships"><Relationship Type="http://schemas.openxmlformats.org/officeDocument/2006/relationships/table" Target="/xl/tables/table3.xml" Id="R3b24c603545c4cfb" /></Relationships>
</file>

<file path=xl/worksheets/_rels/sheet5.xml.rels>&#65279;<?xml version="1.0" encoding="utf-8"?><Relationships xmlns="http://schemas.openxmlformats.org/package/2006/relationships"><Relationship Type="http://schemas.openxmlformats.org/officeDocument/2006/relationships/table" Target="/xl/tables/table4.xml" Id="R8374957d1954449e" /></Relationships>
</file>

<file path=xl/worksheets/_rels/sheet6.xml.rels>&#65279;<?xml version="1.0" encoding="utf-8"?><Relationships xmlns="http://schemas.openxmlformats.org/package/2006/relationships"><Relationship Type="http://schemas.openxmlformats.org/officeDocument/2006/relationships/table" Target="/xl/tables/table5.xml" Id="R2199340b20264fc6" /></Relationships>
</file>

<file path=xl/worksheets/_rels/sheet7.xml.rels>&#65279;<?xml version="1.0" encoding="utf-8"?><Relationships xmlns="http://schemas.openxmlformats.org/package/2006/relationships"><Relationship Type="http://schemas.openxmlformats.org/officeDocument/2006/relationships/table" Target="/xl/tables/table6.xml" Id="Rfd8502be7346422a" /></Relationships>
</file>

<file path=xl/worksheets/_rels/sheet9.xml.rels>&#65279;<?xml version="1.0" encoding="utf-8"?><Relationships xmlns="http://schemas.openxmlformats.org/package/2006/relationships"><Relationship Type="http://schemas.openxmlformats.org/officeDocument/2006/relationships/table" Target="/xl/tables/table7.xml" Id="Ra90ae8123cf34288" /></Relationships>
</file>

<file path=xl/worksheets/_rels/sheet10.xml.rels>&#65279;<?xml version="1.0" encoding="utf-8"?><Relationships xmlns="http://schemas.openxmlformats.org/package/2006/relationships"><Relationship Type="http://schemas.openxmlformats.org/officeDocument/2006/relationships/table" Target="/xl/tables/table8.xml" Id="Rf9f06c7754a94d77" /></Relationships>
</file>

<file path=xl/worksheets/_rels/sheet11.xml.rels>&#65279;<?xml version="1.0" encoding="utf-8"?><Relationships xmlns="http://schemas.openxmlformats.org/package/2006/relationships"><Relationship Type="http://schemas.openxmlformats.org/officeDocument/2006/relationships/table" Target="/xl/tables/table9.xml" Id="R5caa500a51fe449e" /></Relationships>
</file>

<file path=xl/worksheets/_rels/sheet13.xml.rels>&#65279;<?xml version="1.0" encoding="utf-8"?><Relationships xmlns="http://schemas.openxmlformats.org/package/2006/relationships"><Relationship Type="http://schemas.openxmlformats.org/officeDocument/2006/relationships/table" Target="/xl/tables/table10.xml" Id="R3817155e4a8a4bc3" /></Relationships>
</file>

<file path=xl/worksheets/_rels/sheet14.xml.rels>&#65279;<?xml version="1.0" encoding="utf-8"?><Relationships xmlns="http://schemas.openxmlformats.org/package/2006/relationships"><Relationship Type="http://schemas.openxmlformats.org/officeDocument/2006/relationships/table" Target="/xl/tables/table11.xml" Id="Rbc2f65ab34b8490f" /></Relationships>
</file>

<file path=xl/worksheets/_rels/sheet15.xml.rels>&#65279;<?xml version="1.0" encoding="utf-8"?><Relationships xmlns="http://schemas.openxmlformats.org/package/2006/relationships"><Relationship Type="http://schemas.openxmlformats.org/officeDocument/2006/relationships/table" Target="/xl/tables/table12.xml" Id="R0ed2a21720ac4906" /></Relationships>
</file>

<file path=xl/worksheets/_rels/sheet16.xml.rels>&#65279;<?xml version="1.0" encoding="utf-8"?><Relationships xmlns="http://schemas.openxmlformats.org/package/2006/relationships"><Relationship Type="http://schemas.openxmlformats.org/officeDocument/2006/relationships/table" Target="/xl/tables/table13.xml" Id="R32fec34119e44b18"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6858bf170fef4c70"/>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d98c5298b55442a"/>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337</x:v>
      </x:c>
      <x:c r="D6" s="133" t="inlineStr">
        <x:is>
          <x:t xml:space="preserve">G0A — Corporate platform architecture ready</x:t>
        </x:is>
      </x:c>
      <x:c r="E6" s="32" t="str">
        <x:f>'03 Launch Gates'!D20</x:f>
        <x:v>Completed</x:v>
      </x:c>
      <x:c r="G6" t="inlineStr">
        <x:is>
          <x:t xml:space="preserve">UI Tasks Complete</x:t>
        </x:is>
      </x:c>
      <x:c r="H6" t="n">
        <x:f>SUM(B36:B46)</x:f>
        <x:v>115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0.9182561307901907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10</x:v>
      </x:c>
      <x:c r="C44" s="28" t="n">
        <x:f>COUNTIFS('01 Master Plan'!C$5:C$383,A44,'01 Master Plan'!H$5:H$383,"In Progress")</x:f>
        <x:v>0</x:v>
      </x:c>
      <x:c r="D44" s="28" t="n">
        <x:f>COUNTIFS('01 Master Plan'!C$5:C$383,A44,'01 Master Plan'!H$5:H$383,"Not Started")</x:f>
        <x:v>10</x:v>
      </x:c>
      <x:c r="E44" s="28" t="n">
        <x:f>COUNTIFS('01 Master Plan'!C$5:C$383,A44,'01 Master Plan'!H$5:H$383,"Blocked")</x:f>
        <x:v>0</x:v>
      </x:c>
      <x:c r="F44" s="28" t="n">
        <x:f>COUNTIFS('01 Master Plan'!C$5:C$383,A44,'01 Master Plan'!H$5:H$383,"Deferred")</x:f>
        <x:v>0</x:v>
      </x:c>
      <x:c r="G44" s="258" t="n">
        <x:f>IFERROR(B44/(B44+C44+D44+E44),0)</x:f>
        <x:v>0.5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b27d3ca1e70405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b24c603545c4cf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8374957d1954449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2199340b20264fc6"/>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d8502be7346422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90ae8123cf34288"/>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f9f06c7754a94d77"/>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5caa500a51fe449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PASS/CLOSED/PUBLISHED. Issuer and respondent RFQ journeys through submission/outcome tracking now use the shared Executive Design System while preserving confidentiality, authorization, deadline locking, material revalidation, award governance and respondent isolation. Security remediation for commercial-read/award gating was separately published at 530dbae552f51c63f75e596850374d2d41179d20 before 13H-10 resumed. Next executable canonical task: 13H-11 Upgrade Activity Center.</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817155e4a8a4bc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bc2f65ab34b8490f"/>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0ed2a21720ac490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2fec34119e44b18"/>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