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90a10191ed485b" /></Relationships>
</file>

<file path=xl/workbook.xml><?xml version="1.0" encoding="utf-8"?>
<x:workbook xmlns:x="http://schemas.openxmlformats.org/spreadsheetml/2006/main">
  <x:sheets>
    <x:sheet xmlns:r="http://schemas.openxmlformats.org/officeDocument/2006/relationships" name="01 Master Plan" sheetId="1" r:id="R6381bf4621944d26"/>
    <x:sheet xmlns:r="http://schemas.openxmlformats.org/officeDocument/2006/relationships" name="03 Launch Gates" sheetId="2" r:id="R0fc46b8cc3d84c45"/>
    <x:sheet xmlns:r="http://schemas.openxmlformats.org/officeDocument/2006/relationships" name="00 Dashboard" sheetId="3" r:id="R09a3998af71a42c4"/>
    <x:sheet xmlns:r="http://schemas.openxmlformats.org/officeDocument/2006/relationships" name="04 Cursor Tasks" sheetId="4" r:id="R26f796817b8a41f0"/>
    <x:sheet xmlns:r="http://schemas.openxmlformats.org/officeDocument/2006/relationships" name="05 UAT Matrix" sheetId="5" r:id="R0c269a9788194330"/>
    <x:sheet xmlns:r="http://schemas.openxmlformats.org/officeDocument/2006/relationships" name="06 Security Matrix" sheetId="6" r:id="Ra2e086f214b34ae6"/>
    <x:sheet xmlns:r="http://schemas.openxmlformats.org/officeDocument/2006/relationships" name="07 Risks" sheetId="7" r:id="R38fc70f9c6044e9f"/>
    <x:sheet xmlns:r="http://schemas.openxmlformats.org/officeDocument/2006/relationships" name="08 Architecture" sheetId="8" r:id="R579eac4dbe1d4241"/>
    <x:sheet xmlns:r="http://schemas.openxmlformats.org/officeDocument/2006/relationships" name="09 Release Checklist" sheetId="9" r:id="R5d8965c28a9b4ef5"/>
    <x:sheet xmlns:r="http://schemas.openxmlformats.org/officeDocument/2006/relationships" name="10 Change Log" sheetId="10" r:id="R741f82de53294326"/>
    <x:sheet xmlns:r="http://schemas.openxmlformats.org/officeDocument/2006/relationships" name="11 Scope &amp; Roadmap" sheetId="11" r:id="Rac393fbc9b714e9a"/>
    <x:sheet xmlns:r="http://schemas.openxmlformats.org/officeDocument/2006/relationships" name="12 How to Use" sheetId="12" r:id="R9dca615e1d7541a6"/>
    <x:sheet xmlns:r="http://schemas.openxmlformats.org/officeDocument/2006/relationships" name="13 UI Program" sheetId="13" r:id="Rb904069719a84b96"/>
    <x:sheet xmlns:r="http://schemas.openxmlformats.org/officeDocument/2006/relationships" name="14 UI Scorecard" sheetId="14" r:id="R595aef2a126e45a0"/>
    <x:sheet xmlns:r="http://schemas.openxmlformats.org/officeDocument/2006/relationships" name="15 Motion Guidance" sheetId="15" r:id="R850e39aa56614332"/>
    <x:sheet xmlns:r="http://schemas.openxmlformats.org/officeDocument/2006/relationships" name="16 Design Standards" sheetId="16" r:id="R56a198a5d32e4c62"/>
    <x:sheet xmlns:r="http://schemas.openxmlformats.org/officeDocument/2006/relationships" name="17 Corporate Platform" sheetId="17" r:id="Re3312cf377c749ee"/>
    <x:sheet xmlns:r="http://schemas.openxmlformats.org/officeDocument/2006/relationships" name="18 Analytics Reuse Map" sheetId="18" r:id="Ra1dae20ed604488e"/>
    <x:sheet xmlns:r="http://schemas.openxmlformats.org/officeDocument/2006/relationships" name="19 Executive Insights Discovery" sheetId="19" r:id="R9e02b3d40e4646e7"/>
    <x:sheet xmlns:r="http://schemas.openxmlformats.org/officeDocument/2006/relationships" name="20 Procurement Insights Discovery" sheetId="20" r:id="R29e24b2816614375"/>
    <x:sheet xmlns:r="http://schemas.openxmlformats.org/officeDocument/2006/relationships" name="21 Commercial Insights Discovery" sheetId="21" r:id="R578a1d99277a48dc"/>
    <x:sheet xmlns:r="http://schemas.openxmlformats.org/officeDocument/2006/relationships" name="22 Project Insights Discovery" sheetId="22" r:id="Rbf4b03b667e643ba"/>
    <x:sheet xmlns:r="http://schemas.openxmlformats.org/officeDocument/2006/relationships" name="23 Performance Discovery" sheetId="23" r:id="Rafa273dad4e44d5b"/>
    <x:sheet xmlns:r="http://schemas.openxmlformats.org/officeDocument/2006/relationships" name="24 Risk Compliance Discovery" sheetId="24" r:id="Rd2ebb04aac644b36"/>
    <x:sheet xmlns:r="http://schemas.openxmlformats.org/officeDocument/2006/relationships" name="25 Commercial Handoff" sheetId="25" r:id="R1da126fd60e74c91"/>
    <x:sheet xmlns:r="http://schemas.openxmlformats.org/officeDocument/2006/relationships" name="26 RFQ Governance" sheetId="26" r:id="Rfee3e0c46d2b417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e7b0f52fd6e4830" /><Relationship Type="http://schemas.openxmlformats.org/officeDocument/2006/relationships/theme" Target="/xl/theme/theme1.xml" Id="Rd167ea56d1da4a7e" /><Relationship Type="http://schemas.openxmlformats.org/officeDocument/2006/relationships/sharedStrings" Target="/xl/sharedStrings.xml" Id="R52f55759936a4201" /><Relationship Type="http://schemas.openxmlformats.org/officeDocument/2006/relationships/worksheet" Target="/xl/worksheets/sheet1.xml" Id="R6381bf4621944d26" /><Relationship Type="http://schemas.openxmlformats.org/officeDocument/2006/relationships/worksheet" Target="/xl/worksheets/sheet2.xml" Id="R0fc46b8cc3d84c45" /><Relationship Type="http://schemas.openxmlformats.org/officeDocument/2006/relationships/worksheet" Target="/xl/worksheets/sheet3.xml" Id="R09a3998af71a42c4" /><Relationship Type="http://schemas.openxmlformats.org/officeDocument/2006/relationships/worksheet" Target="/xl/worksheets/sheet4.xml" Id="R26f796817b8a41f0" /><Relationship Type="http://schemas.openxmlformats.org/officeDocument/2006/relationships/worksheet" Target="/xl/worksheets/sheet5.xml" Id="R0c269a9788194330" /><Relationship Type="http://schemas.openxmlformats.org/officeDocument/2006/relationships/worksheet" Target="/xl/worksheets/sheet6.xml" Id="Ra2e086f214b34ae6" /><Relationship Type="http://schemas.openxmlformats.org/officeDocument/2006/relationships/worksheet" Target="/xl/worksheets/sheet7.xml" Id="R38fc70f9c6044e9f" /><Relationship Type="http://schemas.openxmlformats.org/officeDocument/2006/relationships/worksheet" Target="/xl/worksheets/sheet8.xml" Id="R579eac4dbe1d4241" /><Relationship Type="http://schemas.openxmlformats.org/officeDocument/2006/relationships/worksheet" Target="/xl/worksheets/sheet9.xml" Id="R5d8965c28a9b4ef5" /><Relationship Type="http://schemas.openxmlformats.org/officeDocument/2006/relationships/worksheet" Target="/xl/worksheets/sheet10.xml" Id="R741f82de53294326" /><Relationship Type="http://schemas.openxmlformats.org/officeDocument/2006/relationships/worksheet" Target="/xl/worksheets/sheet11.xml" Id="Rac393fbc9b714e9a" /><Relationship Type="http://schemas.openxmlformats.org/officeDocument/2006/relationships/worksheet" Target="/xl/worksheets/sheet12.xml" Id="R9dca615e1d7541a6" /><Relationship Type="http://schemas.openxmlformats.org/officeDocument/2006/relationships/worksheet" Target="/xl/worksheets/sheet13.xml" Id="Rb904069719a84b96" /><Relationship Type="http://schemas.openxmlformats.org/officeDocument/2006/relationships/worksheet" Target="/xl/worksheets/sheet14.xml" Id="R595aef2a126e45a0" /><Relationship Type="http://schemas.openxmlformats.org/officeDocument/2006/relationships/worksheet" Target="/xl/worksheets/sheet15.xml" Id="R850e39aa56614332" /><Relationship Type="http://schemas.openxmlformats.org/officeDocument/2006/relationships/worksheet" Target="/xl/worksheets/sheet16.xml" Id="R56a198a5d32e4c62" /><Relationship Type="http://schemas.openxmlformats.org/officeDocument/2006/relationships/worksheet" Target="/xl/worksheets/sheet17.xml" Id="Re3312cf377c749ee" /><Relationship Type="http://schemas.openxmlformats.org/officeDocument/2006/relationships/worksheet" Target="/xl/worksheets/sheet18.xml" Id="Ra1dae20ed604488e" /><Relationship Type="http://schemas.openxmlformats.org/officeDocument/2006/relationships/worksheet" Target="/xl/worksheets/sheet19.xml" Id="R9e02b3d40e4646e7" /><Relationship Type="http://schemas.openxmlformats.org/officeDocument/2006/relationships/worksheet" Target="/xl/worksheets/sheet20.xml" Id="R29e24b2816614375" /><Relationship Type="http://schemas.openxmlformats.org/officeDocument/2006/relationships/worksheet" Target="/xl/worksheets/sheet21.xml" Id="R578a1d99277a48dc" /><Relationship Type="http://schemas.openxmlformats.org/officeDocument/2006/relationships/worksheet" Target="/xl/worksheets/sheet22.xml" Id="Rbf4b03b667e643ba" /><Relationship Type="http://schemas.openxmlformats.org/officeDocument/2006/relationships/worksheet" Target="/xl/worksheets/sheet23.xml" Id="Rafa273dad4e44d5b" /><Relationship Type="http://schemas.openxmlformats.org/officeDocument/2006/relationships/worksheet" Target="/xl/worksheets/sheet24.xml" Id="Rd2ebb04aac644b36" /><Relationship Type="http://schemas.openxmlformats.org/officeDocument/2006/relationships/worksheet" Target="/xl/worksheets/sheet25.xml" Id="R1da126fd60e74c91" /><Relationship Type="http://schemas.openxmlformats.org/officeDocument/2006/relationships/worksheet" Target="/xl/worksheets/sheet26.xml" Id="Rfee3e0c46d2b417b" /></Relationships>
</file>

<file path=xl/drawings/_rels/drawing1.xml.rels>&#65279;<?xml version="1.0" encoding="utf-8"?><Relationships xmlns="http://schemas.openxmlformats.org/package/2006/relationships"><Relationship Type="http://schemas.openxmlformats.org/officeDocument/2006/relationships/chart" Target="/xl/drawings/charts/chart1.xml" Id="Raef0751a0c6f4e80"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f0751a0c6f4e80"/>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d28a2ca36244661" /></Relationships>
</file>

<file path=xl/worksheets/_rels/sheet2.xml.rels>&#65279;<?xml version="1.0" encoding="utf-8"?><Relationships xmlns="http://schemas.openxmlformats.org/package/2006/relationships"><Relationship Type="http://schemas.openxmlformats.org/officeDocument/2006/relationships/table" Target="/xl/tables/table2.xml" Id="R8c3840c714434e20" /></Relationships>
</file>

<file path=xl/worksheets/_rels/sheet3.xml.rels>&#65279;<?xml version="1.0" encoding="utf-8"?><Relationships xmlns="http://schemas.openxmlformats.org/package/2006/relationships"><Relationship Type="http://schemas.openxmlformats.org/officeDocument/2006/relationships/drawing" Target="/xl/drawings/drawing1.xml" Id="Re965c2a9da88489c" /></Relationships>
</file>

<file path=xl/worksheets/_rels/sheet4.xml.rels>&#65279;<?xml version="1.0" encoding="utf-8"?><Relationships xmlns="http://schemas.openxmlformats.org/package/2006/relationships"><Relationship Type="http://schemas.openxmlformats.org/officeDocument/2006/relationships/table" Target="/xl/tables/table3.xml" Id="R6cb080472661457b" /></Relationships>
</file>

<file path=xl/worksheets/_rels/sheet5.xml.rels>&#65279;<?xml version="1.0" encoding="utf-8"?><Relationships xmlns="http://schemas.openxmlformats.org/package/2006/relationships"><Relationship Type="http://schemas.openxmlformats.org/officeDocument/2006/relationships/table" Target="/xl/tables/table4.xml" Id="R6bb84d0dd67741b5" /></Relationships>
</file>

<file path=xl/worksheets/_rels/sheet6.xml.rels>&#65279;<?xml version="1.0" encoding="utf-8"?><Relationships xmlns="http://schemas.openxmlformats.org/package/2006/relationships"><Relationship Type="http://schemas.openxmlformats.org/officeDocument/2006/relationships/table" Target="/xl/tables/table5.xml" Id="R44962152d7bb48c3" /></Relationships>
</file>

<file path=xl/worksheets/_rels/sheet7.xml.rels>&#65279;<?xml version="1.0" encoding="utf-8"?><Relationships xmlns="http://schemas.openxmlformats.org/package/2006/relationships"><Relationship Type="http://schemas.openxmlformats.org/officeDocument/2006/relationships/table" Target="/xl/tables/table6.xml" Id="R12a1de3d0d494e87" /></Relationships>
</file>

<file path=xl/worksheets/_rels/sheet9.xml.rels>&#65279;<?xml version="1.0" encoding="utf-8"?><Relationships xmlns="http://schemas.openxmlformats.org/package/2006/relationships"><Relationship Type="http://schemas.openxmlformats.org/officeDocument/2006/relationships/table" Target="/xl/tables/table7.xml" Id="Rc04aa947f08945a5" /></Relationships>
</file>

<file path=xl/worksheets/_rels/sheet10.xml.rels>&#65279;<?xml version="1.0" encoding="utf-8"?><Relationships xmlns="http://schemas.openxmlformats.org/package/2006/relationships"><Relationship Type="http://schemas.openxmlformats.org/officeDocument/2006/relationships/table" Target="/xl/tables/table8.xml" Id="Race637a6b09b4219" /></Relationships>
</file>

<file path=xl/worksheets/_rels/sheet11.xml.rels>&#65279;<?xml version="1.0" encoding="utf-8"?><Relationships xmlns="http://schemas.openxmlformats.org/package/2006/relationships"><Relationship Type="http://schemas.openxmlformats.org/officeDocument/2006/relationships/table" Target="/xl/tables/table9.xml" Id="R6d20e5b5f4d14e16" /></Relationships>
</file>

<file path=xl/worksheets/_rels/sheet13.xml.rels>&#65279;<?xml version="1.0" encoding="utf-8"?><Relationships xmlns="http://schemas.openxmlformats.org/package/2006/relationships"><Relationship Type="http://schemas.openxmlformats.org/officeDocument/2006/relationships/table" Target="/xl/tables/table10.xml" Id="Rdbd671617694424a" /></Relationships>
</file>

<file path=xl/worksheets/_rels/sheet14.xml.rels>&#65279;<?xml version="1.0" encoding="utf-8"?><Relationships xmlns="http://schemas.openxmlformats.org/package/2006/relationships"><Relationship Type="http://schemas.openxmlformats.org/officeDocument/2006/relationships/table" Target="/xl/tables/table11.xml" Id="R9c67b21ab7394946" /></Relationships>
</file>

<file path=xl/worksheets/_rels/sheet15.xml.rels>&#65279;<?xml version="1.0" encoding="utf-8"?><Relationships xmlns="http://schemas.openxmlformats.org/package/2006/relationships"><Relationship Type="http://schemas.openxmlformats.org/officeDocument/2006/relationships/table" Target="/xl/tables/table12.xml" Id="R34de2f70b6364fc5" /></Relationships>
</file>

<file path=xl/worksheets/_rels/sheet16.xml.rels>&#65279;<?xml version="1.0" encoding="utf-8"?><Relationships xmlns="http://schemas.openxmlformats.org/package/2006/relationships"><Relationship Type="http://schemas.openxmlformats.org/officeDocument/2006/relationships/table" Target="/xl/tables/table13.xml" Id="R42bc8a58cba0453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d28a2ca3624466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through 20-06 are published and closed: Getting Started, Create Company, Create RFQ, Invite Companies, Respond to RFQ, and Submit RFI. Documentation now covers workspace orientation, company onboarding, issuer RFQ creation, RFQ Invitation lifecycle, respondent access/review, and the governed Private RFI / Addendum clarification boundary. G11 remains open pending 20-07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c3840c714434e2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238</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0.6485013623978202</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0.6509090909090909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6</x:v>
      </x:c>
      <x:c r="C53" s="28" t="n">
        <x:f>COUNTIFS('01 Master Plan'!C$5:C$383,A53,'01 Master Plan'!H$5:H$383,"In Progress")</x:f>
        <x:v>0</x:v>
      </x:c>
      <x:c r="D53" s="28" t="n">
        <x:f>COUNTIFS('01 Master Plan'!C$5:C$383,A53,'01 Master Plan'!H$5:H$383,"Not Started")</x:f>
        <x:v>6</x:v>
      </x:c>
      <x:c r="E53" s="28" t="n">
        <x:f>COUNTIFS('01 Master Plan'!C$5:C$383,A53,'01 Master Plan'!H$5:H$383,"Blocked")</x:f>
        <x:v>0</x:v>
      </x:c>
      <x:c r="F53" s="28" t="n">
        <x:f>COUNTIFS('01 Master Plan'!C$5:C$383,A53,'01 Master Plan'!H$5:H$383,"Deferred")</x:f>
        <x:v>0</x:v>
      </x:c>
      <x:c r="G53" s="258" t="n">
        <x:f>IFERROR(B53/(B53+C53+D53+E53),0)</x:f>
        <x:v>0.5</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965c2a9da88489c"/>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6cb080472661457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bb84d0dd67741b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44962152d7bb48c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2a1de3d0d494e8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04aa947f08945a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ace637a6b09b421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d20e5b5f4d14e16"/>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bd671617694424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c67b21ab739494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4de2f70b6364fc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42bc8a58cba0453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