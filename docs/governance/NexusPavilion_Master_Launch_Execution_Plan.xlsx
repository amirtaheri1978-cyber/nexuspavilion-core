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31c9cadec845f3" /></Relationships>
</file>

<file path=xl/workbook.xml><?xml version="1.0" encoding="utf-8"?>
<x:workbook xmlns:x="http://schemas.openxmlformats.org/spreadsheetml/2006/main">
  <x:sheets>
    <x:sheet xmlns:r="http://schemas.openxmlformats.org/officeDocument/2006/relationships" name="01 Master Plan" sheetId="1" r:id="Ra3f9d66747e24d75"/>
    <x:sheet xmlns:r="http://schemas.openxmlformats.org/officeDocument/2006/relationships" name="03 Launch Gates" sheetId="2" r:id="Rd6d598da8a36458d"/>
    <x:sheet xmlns:r="http://schemas.openxmlformats.org/officeDocument/2006/relationships" name="00 Dashboard" sheetId="3" r:id="R096c229ddfd74c48"/>
    <x:sheet xmlns:r="http://schemas.openxmlformats.org/officeDocument/2006/relationships" name="04 Cursor Tasks" sheetId="4" r:id="Rdbf3c4ad094a406f"/>
    <x:sheet xmlns:r="http://schemas.openxmlformats.org/officeDocument/2006/relationships" name="05 UAT Matrix" sheetId="5" r:id="Rf31a518a59454b18"/>
    <x:sheet xmlns:r="http://schemas.openxmlformats.org/officeDocument/2006/relationships" name="06 Security Matrix" sheetId="6" r:id="R879b5c342f7d42be"/>
    <x:sheet xmlns:r="http://schemas.openxmlformats.org/officeDocument/2006/relationships" name="07 Risks" sheetId="7" r:id="R04266542f79e4d80"/>
    <x:sheet xmlns:r="http://schemas.openxmlformats.org/officeDocument/2006/relationships" name="08 Architecture" sheetId="8" r:id="R59557d2f77a445f9"/>
    <x:sheet xmlns:r="http://schemas.openxmlformats.org/officeDocument/2006/relationships" name="09 Release Checklist" sheetId="9" r:id="R73c3c9ff87894a20"/>
    <x:sheet xmlns:r="http://schemas.openxmlformats.org/officeDocument/2006/relationships" name="10 Change Log" sheetId="10" r:id="R8866192bf854460a"/>
    <x:sheet xmlns:r="http://schemas.openxmlformats.org/officeDocument/2006/relationships" name="11 Scope &amp; Roadmap" sheetId="11" r:id="R05a947d42b014d7b"/>
    <x:sheet xmlns:r="http://schemas.openxmlformats.org/officeDocument/2006/relationships" name="12 How to Use" sheetId="12" r:id="Re9d72ec4fe844a2d"/>
    <x:sheet xmlns:r="http://schemas.openxmlformats.org/officeDocument/2006/relationships" name="13 UI Program" sheetId="13" r:id="Rbf60e87931124c29"/>
    <x:sheet xmlns:r="http://schemas.openxmlformats.org/officeDocument/2006/relationships" name="14 UI Scorecard" sheetId="14" r:id="Ra5b21232f6cc43eb"/>
    <x:sheet xmlns:r="http://schemas.openxmlformats.org/officeDocument/2006/relationships" name="15 Motion Guidance" sheetId="15" r:id="R9dcebe11cf414ca4"/>
    <x:sheet xmlns:r="http://schemas.openxmlformats.org/officeDocument/2006/relationships" name="16 Design Standards" sheetId="16" r:id="R07a566145e504121"/>
    <x:sheet xmlns:r="http://schemas.openxmlformats.org/officeDocument/2006/relationships" name="17 Corporate Platform" sheetId="17" r:id="R1ce66feba8b640d8"/>
    <x:sheet xmlns:r="http://schemas.openxmlformats.org/officeDocument/2006/relationships" name="18 Analytics Reuse Map" sheetId="18" r:id="Rf10a16d5d36f4bba"/>
    <x:sheet xmlns:r="http://schemas.openxmlformats.org/officeDocument/2006/relationships" name="19 Executive Insights Discovery" sheetId="19" r:id="R7e183faaf6ea42b8"/>
    <x:sheet xmlns:r="http://schemas.openxmlformats.org/officeDocument/2006/relationships" name="20 Procurement Insights Discovery" sheetId="20" r:id="R0425cb85852c4594"/>
    <x:sheet xmlns:r="http://schemas.openxmlformats.org/officeDocument/2006/relationships" name="21 Commercial Insights Discovery" sheetId="21" r:id="R9f8a84ca89104256"/>
    <x:sheet xmlns:r="http://schemas.openxmlformats.org/officeDocument/2006/relationships" name="22 Project Insights Discovery" sheetId="22" r:id="R4cba887bd4d24a87"/>
    <x:sheet xmlns:r="http://schemas.openxmlformats.org/officeDocument/2006/relationships" name="23 Performance Discovery" sheetId="23" r:id="R789153e432f24790"/>
    <x:sheet xmlns:r="http://schemas.openxmlformats.org/officeDocument/2006/relationships" name="24 Risk Compliance Discovery" sheetId="24" r:id="Rba803a07cee544bf"/>
    <x:sheet xmlns:r="http://schemas.openxmlformats.org/officeDocument/2006/relationships" name="25 Commercial Handoff" sheetId="25" r:id="Rf2f8636c090a4554"/>
    <x:sheet xmlns:r="http://schemas.openxmlformats.org/officeDocument/2006/relationships" name="26 RFQ Governance" sheetId="26" r:id="R991d961dbe9549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459cb3150054776" /><Relationship Type="http://schemas.openxmlformats.org/officeDocument/2006/relationships/theme" Target="/xl/theme/theme1.xml" Id="Ra1b6e80a1d0f4471" /><Relationship Type="http://schemas.openxmlformats.org/officeDocument/2006/relationships/sharedStrings" Target="/xl/sharedStrings.xml" Id="Ra7117f4a942a4b81" /><Relationship Type="http://schemas.openxmlformats.org/officeDocument/2006/relationships/worksheet" Target="/xl/worksheets/sheet1.xml" Id="Ra3f9d66747e24d75" /><Relationship Type="http://schemas.openxmlformats.org/officeDocument/2006/relationships/worksheet" Target="/xl/worksheets/sheet2.xml" Id="Rd6d598da8a36458d" /><Relationship Type="http://schemas.openxmlformats.org/officeDocument/2006/relationships/worksheet" Target="/xl/worksheets/sheet3.xml" Id="R096c229ddfd74c48" /><Relationship Type="http://schemas.openxmlformats.org/officeDocument/2006/relationships/worksheet" Target="/xl/worksheets/sheet4.xml" Id="Rdbf3c4ad094a406f" /><Relationship Type="http://schemas.openxmlformats.org/officeDocument/2006/relationships/worksheet" Target="/xl/worksheets/sheet5.xml" Id="Rf31a518a59454b18" /><Relationship Type="http://schemas.openxmlformats.org/officeDocument/2006/relationships/worksheet" Target="/xl/worksheets/sheet6.xml" Id="R879b5c342f7d42be" /><Relationship Type="http://schemas.openxmlformats.org/officeDocument/2006/relationships/worksheet" Target="/xl/worksheets/sheet7.xml" Id="R04266542f79e4d80" /><Relationship Type="http://schemas.openxmlformats.org/officeDocument/2006/relationships/worksheet" Target="/xl/worksheets/sheet8.xml" Id="R59557d2f77a445f9" /><Relationship Type="http://schemas.openxmlformats.org/officeDocument/2006/relationships/worksheet" Target="/xl/worksheets/sheet9.xml" Id="R73c3c9ff87894a20" /><Relationship Type="http://schemas.openxmlformats.org/officeDocument/2006/relationships/worksheet" Target="/xl/worksheets/sheet10.xml" Id="R8866192bf854460a" /><Relationship Type="http://schemas.openxmlformats.org/officeDocument/2006/relationships/worksheet" Target="/xl/worksheets/sheet11.xml" Id="R05a947d42b014d7b" /><Relationship Type="http://schemas.openxmlformats.org/officeDocument/2006/relationships/worksheet" Target="/xl/worksheets/sheet12.xml" Id="Re9d72ec4fe844a2d" /><Relationship Type="http://schemas.openxmlformats.org/officeDocument/2006/relationships/worksheet" Target="/xl/worksheets/sheet13.xml" Id="Rbf60e87931124c29" /><Relationship Type="http://schemas.openxmlformats.org/officeDocument/2006/relationships/worksheet" Target="/xl/worksheets/sheet14.xml" Id="Ra5b21232f6cc43eb" /><Relationship Type="http://schemas.openxmlformats.org/officeDocument/2006/relationships/worksheet" Target="/xl/worksheets/sheet15.xml" Id="R9dcebe11cf414ca4" /><Relationship Type="http://schemas.openxmlformats.org/officeDocument/2006/relationships/worksheet" Target="/xl/worksheets/sheet16.xml" Id="R07a566145e504121" /><Relationship Type="http://schemas.openxmlformats.org/officeDocument/2006/relationships/worksheet" Target="/xl/worksheets/sheet17.xml" Id="R1ce66feba8b640d8" /><Relationship Type="http://schemas.openxmlformats.org/officeDocument/2006/relationships/worksheet" Target="/xl/worksheets/sheet18.xml" Id="Rf10a16d5d36f4bba" /><Relationship Type="http://schemas.openxmlformats.org/officeDocument/2006/relationships/worksheet" Target="/xl/worksheets/sheet19.xml" Id="R7e183faaf6ea42b8" /><Relationship Type="http://schemas.openxmlformats.org/officeDocument/2006/relationships/worksheet" Target="/xl/worksheets/sheet20.xml" Id="R0425cb85852c4594" /><Relationship Type="http://schemas.openxmlformats.org/officeDocument/2006/relationships/worksheet" Target="/xl/worksheets/sheet21.xml" Id="R9f8a84ca89104256" /><Relationship Type="http://schemas.openxmlformats.org/officeDocument/2006/relationships/worksheet" Target="/xl/worksheets/sheet22.xml" Id="R4cba887bd4d24a87" /><Relationship Type="http://schemas.openxmlformats.org/officeDocument/2006/relationships/worksheet" Target="/xl/worksheets/sheet23.xml" Id="R789153e432f24790" /><Relationship Type="http://schemas.openxmlformats.org/officeDocument/2006/relationships/worksheet" Target="/xl/worksheets/sheet24.xml" Id="Rba803a07cee544bf" /><Relationship Type="http://schemas.openxmlformats.org/officeDocument/2006/relationships/worksheet" Target="/xl/worksheets/sheet25.xml" Id="Rf2f8636c090a4554" /><Relationship Type="http://schemas.openxmlformats.org/officeDocument/2006/relationships/worksheet" Target="/xl/worksheets/sheet26.xml" Id="R991d961dbe95490d" /></Relationships>
</file>

<file path=xl/drawings/_rels/drawing1.xml.rels>&#65279;<?xml version="1.0" encoding="utf-8"?><Relationships xmlns="http://schemas.openxmlformats.org/package/2006/relationships"><Relationship Type="http://schemas.openxmlformats.org/officeDocument/2006/relationships/chart" Target="/xl/drawings/charts/chart1.xml" Id="R8d20d23bfd2f455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20d23bfd2f455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4f591d23d4242c3" /></Relationships>
</file>

<file path=xl/worksheets/_rels/sheet2.xml.rels>&#65279;<?xml version="1.0" encoding="utf-8"?><Relationships xmlns="http://schemas.openxmlformats.org/package/2006/relationships"><Relationship Type="http://schemas.openxmlformats.org/officeDocument/2006/relationships/table" Target="/xl/tables/table2.xml" Id="R7730dca515c8483d" /></Relationships>
</file>

<file path=xl/worksheets/_rels/sheet3.xml.rels>&#65279;<?xml version="1.0" encoding="utf-8"?><Relationships xmlns="http://schemas.openxmlformats.org/package/2006/relationships"><Relationship Type="http://schemas.openxmlformats.org/officeDocument/2006/relationships/drawing" Target="/xl/drawings/drawing1.xml" Id="Ra980b05102ec4faa" /></Relationships>
</file>

<file path=xl/worksheets/_rels/sheet4.xml.rels>&#65279;<?xml version="1.0" encoding="utf-8"?><Relationships xmlns="http://schemas.openxmlformats.org/package/2006/relationships"><Relationship Type="http://schemas.openxmlformats.org/officeDocument/2006/relationships/table" Target="/xl/tables/table3.xml" Id="Rfafb77f57d6f41de" /></Relationships>
</file>

<file path=xl/worksheets/_rels/sheet5.xml.rels>&#65279;<?xml version="1.0" encoding="utf-8"?><Relationships xmlns="http://schemas.openxmlformats.org/package/2006/relationships"><Relationship Type="http://schemas.openxmlformats.org/officeDocument/2006/relationships/table" Target="/xl/tables/table4.xml" Id="Refd96569b3aa4342" /></Relationships>
</file>

<file path=xl/worksheets/_rels/sheet6.xml.rels>&#65279;<?xml version="1.0" encoding="utf-8"?><Relationships xmlns="http://schemas.openxmlformats.org/package/2006/relationships"><Relationship Type="http://schemas.openxmlformats.org/officeDocument/2006/relationships/table" Target="/xl/tables/table5.xml" Id="R1c388b39ec99401e" /></Relationships>
</file>

<file path=xl/worksheets/_rels/sheet7.xml.rels>&#65279;<?xml version="1.0" encoding="utf-8"?><Relationships xmlns="http://schemas.openxmlformats.org/package/2006/relationships"><Relationship Type="http://schemas.openxmlformats.org/officeDocument/2006/relationships/table" Target="/xl/tables/table6.xml" Id="R0f4e8fc0e53e47f3" /></Relationships>
</file>

<file path=xl/worksheets/_rels/sheet9.xml.rels>&#65279;<?xml version="1.0" encoding="utf-8"?><Relationships xmlns="http://schemas.openxmlformats.org/package/2006/relationships"><Relationship Type="http://schemas.openxmlformats.org/officeDocument/2006/relationships/table" Target="/xl/tables/table7.xml" Id="R45e404bdbeaf4f8d" /></Relationships>
</file>

<file path=xl/worksheets/_rels/sheet10.xml.rels>&#65279;<?xml version="1.0" encoding="utf-8"?><Relationships xmlns="http://schemas.openxmlformats.org/package/2006/relationships"><Relationship Type="http://schemas.openxmlformats.org/officeDocument/2006/relationships/table" Target="/xl/tables/table8.xml" Id="Rb7242531e6af48ed" /></Relationships>
</file>

<file path=xl/worksheets/_rels/sheet11.xml.rels>&#65279;<?xml version="1.0" encoding="utf-8"?><Relationships xmlns="http://schemas.openxmlformats.org/package/2006/relationships"><Relationship Type="http://schemas.openxmlformats.org/officeDocument/2006/relationships/table" Target="/xl/tables/table9.xml" Id="R6cf57021eec542f0" /></Relationships>
</file>

<file path=xl/worksheets/_rels/sheet13.xml.rels>&#65279;<?xml version="1.0" encoding="utf-8"?><Relationships xmlns="http://schemas.openxmlformats.org/package/2006/relationships"><Relationship Type="http://schemas.openxmlformats.org/officeDocument/2006/relationships/table" Target="/xl/tables/table10.xml" Id="R0e8e6f1af14c4311" /></Relationships>
</file>

<file path=xl/worksheets/_rels/sheet14.xml.rels>&#65279;<?xml version="1.0" encoding="utf-8"?><Relationships xmlns="http://schemas.openxmlformats.org/package/2006/relationships"><Relationship Type="http://schemas.openxmlformats.org/officeDocument/2006/relationships/table" Target="/xl/tables/table11.xml" Id="Rf4c2831f886d44c9" /></Relationships>
</file>

<file path=xl/worksheets/_rels/sheet15.xml.rels>&#65279;<?xml version="1.0" encoding="utf-8"?><Relationships xmlns="http://schemas.openxmlformats.org/package/2006/relationships"><Relationship Type="http://schemas.openxmlformats.org/officeDocument/2006/relationships/table" Target="/xl/tables/table12.xml" Id="R1f796353018c40c0" /></Relationships>
</file>

<file path=xl/worksheets/_rels/sheet16.xml.rels>&#65279;<?xml version="1.0" encoding="utf-8"?><Relationships xmlns="http://schemas.openxmlformats.org/package/2006/relationships"><Relationship Type="http://schemas.openxmlformats.org/officeDocument/2006/relationships/table" Target="/xl/tables/table13.xml" Id="R76db30ebc0cc45a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4f591d23d4242c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730dca515c8483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295</x:v>
      </x:c>
      <x:c r="D6" s="133" t="inlineStr">
        <x:is>
          <x:t xml:space="preserve">G0A — Corporate platform architecture ready</x:t>
        </x:is>
      </x:c>
      <x:c r="E6" s="32" t="str">
        <x:f>'03 Launch Gates'!D20</x:f>
        <x:v>Completed</x:v>
      </x:c>
      <x:c r="G6" t="inlineStr">
        <x:is>
          <x:t xml:space="preserve">UI Tasks Complete</x:t>
        </x:is>
      </x:c>
      <x:c r="H6" t="n">
        <x:f>SUM(B36:B46)</x:f>
        <x:v>73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3</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0.8038147138964578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1</x:v>
      </x:c>
      <x:c r="C41" s="133" t="n">
        <x:f>COUNTIFS('01 Master Plan'!C$5:C$383,A41,'01 Master Plan'!H$5:H$383,"In Progress")</x:f>
        <x:v>0</x:v>
      </x:c>
      <x:c r="D41" s="133" t="n">
        <x:f>COUNTIFS('01 Master Plan'!C$5:C$383,A41,'01 Master Plan'!H$5:H$383,"Not Started")</x:f>
        <x:v>11</x:v>
      </x:c>
      <x:c r="E41" s="133" t="n">
        <x:f>COUNTIFS('01 Master Plan'!C$5:C$383,A41,'01 Master Plan'!H$5:H$383,"Blocked")</x:f>
        <x:v>1</x:v>
      </x:c>
      <x:c r="F41" s="133" t="n">
        <x:f>COUNTIFS('01 Master Plan'!C$5:C$383,A41,'01 Master Plan'!H$5:H$383,"Deferred")</x:f>
        <x:v>0</x:v>
      </x:c>
      <x:c r="G41" s="255" t="n">
        <x:f>IFERROR(B41/(B41+C41+D41+E41),0)</x:f>
        <x:v>0.07692307692307693</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980b05102ec4fa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afb77f57d6f41d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fd96569b3aa434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c388b39ec99401e"/>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f4e8fc0e53e47f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5e404bdbeaf4f8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7242531e6af48e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cf57021eec542f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PASS/CLOSED. 13E-02 BLOCKED/Open because RFQ creation currently auto-navigates to /rfq/{slug} after about two seconds and exposes no stable success surface; no navigation behavior was changed. 13D-04 and 13D-05 remain BLOCKED/Open under their prior unblock criteria. Next executable canonical task: 13E-03 Implement RFQ published completion moment.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e8e6f1af14c431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4c2831f886d44c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f796353018c40c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6db30ebc0cc45a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