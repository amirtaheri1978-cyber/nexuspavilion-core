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eed47247dc74ce9" /></Relationships>
</file>

<file path=xl/workbook.xml><?xml version="1.0" encoding="utf-8"?>
<x:workbook xmlns:x="http://schemas.openxmlformats.org/spreadsheetml/2006/main">
  <x:sheets>
    <x:sheet xmlns:r="http://schemas.openxmlformats.org/officeDocument/2006/relationships" name="01 Master Plan" sheetId="1" r:id="R46a85d91a28241f2"/>
    <x:sheet xmlns:r="http://schemas.openxmlformats.org/officeDocument/2006/relationships" name="03 Launch Gates" sheetId="2" r:id="Rf639f3db56184c11"/>
    <x:sheet xmlns:r="http://schemas.openxmlformats.org/officeDocument/2006/relationships" name="00 Dashboard" sheetId="3" r:id="R9fc1c655db544944"/>
    <x:sheet xmlns:r="http://schemas.openxmlformats.org/officeDocument/2006/relationships" name="04 Cursor Tasks" sheetId="4" r:id="R0008995f5dd64ea8"/>
    <x:sheet xmlns:r="http://schemas.openxmlformats.org/officeDocument/2006/relationships" name="05 UAT Matrix" sheetId="5" r:id="R051855ff408645ea"/>
    <x:sheet xmlns:r="http://schemas.openxmlformats.org/officeDocument/2006/relationships" name="06 Security Matrix" sheetId="6" r:id="R9a9a1c8954ea4be6"/>
    <x:sheet xmlns:r="http://schemas.openxmlformats.org/officeDocument/2006/relationships" name="07 Risks" sheetId="7" r:id="R5de47e94a8aa4665"/>
    <x:sheet xmlns:r="http://schemas.openxmlformats.org/officeDocument/2006/relationships" name="08 Architecture" sheetId="8" r:id="R033ae920e9264027"/>
    <x:sheet xmlns:r="http://schemas.openxmlformats.org/officeDocument/2006/relationships" name="09 Release Checklist" sheetId="9" r:id="R2290cc47c1cb42c1"/>
    <x:sheet xmlns:r="http://schemas.openxmlformats.org/officeDocument/2006/relationships" name="10 Change Log" sheetId="10" r:id="R33c0a544663443c5"/>
    <x:sheet xmlns:r="http://schemas.openxmlformats.org/officeDocument/2006/relationships" name="11 Scope &amp; Roadmap" sheetId="11" r:id="R4afaa8b0746b4a73"/>
    <x:sheet xmlns:r="http://schemas.openxmlformats.org/officeDocument/2006/relationships" name="12 How to Use" sheetId="12" r:id="Rb7e0155d01e9411f"/>
    <x:sheet xmlns:r="http://schemas.openxmlformats.org/officeDocument/2006/relationships" name="13 UI Program" sheetId="13" r:id="R2477d3dcd2ed4ca2"/>
    <x:sheet xmlns:r="http://schemas.openxmlformats.org/officeDocument/2006/relationships" name="14 UI Scorecard" sheetId="14" r:id="R539496bc2c1446d3"/>
    <x:sheet xmlns:r="http://schemas.openxmlformats.org/officeDocument/2006/relationships" name="15 Motion Guidance" sheetId="15" r:id="R6e5a5dde0b594372"/>
    <x:sheet xmlns:r="http://schemas.openxmlformats.org/officeDocument/2006/relationships" name="16 Design Standards" sheetId="16" r:id="Ra7625f529a884f00"/>
    <x:sheet xmlns:r="http://schemas.openxmlformats.org/officeDocument/2006/relationships" name="17 Corporate Platform" sheetId="17" r:id="R7241a051e3104aac"/>
    <x:sheet xmlns:r="http://schemas.openxmlformats.org/officeDocument/2006/relationships" name="18 Analytics Reuse Map" sheetId="18" r:id="R97ad6fa05eb54a56"/>
    <x:sheet xmlns:r="http://schemas.openxmlformats.org/officeDocument/2006/relationships" name="19 Executive Insights Discovery" sheetId="19" r:id="R520a843c23394151"/>
    <x:sheet xmlns:r="http://schemas.openxmlformats.org/officeDocument/2006/relationships" name="20 Procurement Insights Discovery" sheetId="20" r:id="R0da52c8d1c034984"/>
    <x:sheet xmlns:r="http://schemas.openxmlformats.org/officeDocument/2006/relationships" name="21 Commercial Insights Discovery" sheetId="21" r:id="Rdb8f9214bd2b448d"/>
    <x:sheet xmlns:r="http://schemas.openxmlformats.org/officeDocument/2006/relationships" name="22 Project Insights Discovery" sheetId="22" r:id="Rad7b0e3eac874b88"/>
    <x:sheet xmlns:r="http://schemas.openxmlformats.org/officeDocument/2006/relationships" name="23 Performance Discovery" sheetId="23" r:id="R73916c9b60c443ca"/>
    <x:sheet xmlns:r="http://schemas.openxmlformats.org/officeDocument/2006/relationships" name="24 Risk Compliance Discovery" sheetId="24" r:id="R211f6a0455e44f46"/>
    <x:sheet xmlns:r="http://schemas.openxmlformats.org/officeDocument/2006/relationships" name="25 Commercial Handoff" sheetId="25" r:id="Rca064d5fcdd2468c"/>
    <x:sheet xmlns:r="http://schemas.openxmlformats.org/officeDocument/2006/relationships" name="26 RFQ Governance" sheetId="26" r:id="R6571e311858e41f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267788c54214c9f" /><Relationship Type="http://schemas.openxmlformats.org/officeDocument/2006/relationships/theme" Target="/xl/theme/theme1.xml" Id="R20d00f364b4a46e1" /><Relationship Type="http://schemas.openxmlformats.org/officeDocument/2006/relationships/sharedStrings" Target="/xl/sharedStrings.xml" Id="Rd5b49a68ec38491e" /><Relationship Type="http://schemas.openxmlformats.org/officeDocument/2006/relationships/worksheet" Target="/xl/worksheets/sheet1.xml" Id="R46a85d91a28241f2" /><Relationship Type="http://schemas.openxmlformats.org/officeDocument/2006/relationships/worksheet" Target="/xl/worksheets/sheet2.xml" Id="Rf639f3db56184c11" /><Relationship Type="http://schemas.openxmlformats.org/officeDocument/2006/relationships/worksheet" Target="/xl/worksheets/sheet3.xml" Id="R9fc1c655db544944" /><Relationship Type="http://schemas.openxmlformats.org/officeDocument/2006/relationships/worksheet" Target="/xl/worksheets/sheet4.xml" Id="R0008995f5dd64ea8" /><Relationship Type="http://schemas.openxmlformats.org/officeDocument/2006/relationships/worksheet" Target="/xl/worksheets/sheet5.xml" Id="R051855ff408645ea" /><Relationship Type="http://schemas.openxmlformats.org/officeDocument/2006/relationships/worksheet" Target="/xl/worksheets/sheet6.xml" Id="R9a9a1c8954ea4be6" /><Relationship Type="http://schemas.openxmlformats.org/officeDocument/2006/relationships/worksheet" Target="/xl/worksheets/sheet7.xml" Id="R5de47e94a8aa4665" /><Relationship Type="http://schemas.openxmlformats.org/officeDocument/2006/relationships/worksheet" Target="/xl/worksheets/sheet8.xml" Id="R033ae920e9264027" /><Relationship Type="http://schemas.openxmlformats.org/officeDocument/2006/relationships/worksheet" Target="/xl/worksheets/sheet9.xml" Id="R2290cc47c1cb42c1" /><Relationship Type="http://schemas.openxmlformats.org/officeDocument/2006/relationships/worksheet" Target="/xl/worksheets/sheet10.xml" Id="R33c0a544663443c5" /><Relationship Type="http://schemas.openxmlformats.org/officeDocument/2006/relationships/worksheet" Target="/xl/worksheets/sheet11.xml" Id="R4afaa8b0746b4a73" /><Relationship Type="http://schemas.openxmlformats.org/officeDocument/2006/relationships/worksheet" Target="/xl/worksheets/sheet12.xml" Id="Rb7e0155d01e9411f" /><Relationship Type="http://schemas.openxmlformats.org/officeDocument/2006/relationships/worksheet" Target="/xl/worksheets/sheet13.xml" Id="R2477d3dcd2ed4ca2" /><Relationship Type="http://schemas.openxmlformats.org/officeDocument/2006/relationships/worksheet" Target="/xl/worksheets/sheet14.xml" Id="R539496bc2c1446d3" /><Relationship Type="http://schemas.openxmlformats.org/officeDocument/2006/relationships/worksheet" Target="/xl/worksheets/sheet15.xml" Id="R6e5a5dde0b594372" /><Relationship Type="http://schemas.openxmlformats.org/officeDocument/2006/relationships/worksheet" Target="/xl/worksheets/sheet16.xml" Id="Ra7625f529a884f00" /><Relationship Type="http://schemas.openxmlformats.org/officeDocument/2006/relationships/worksheet" Target="/xl/worksheets/sheet17.xml" Id="R7241a051e3104aac" /><Relationship Type="http://schemas.openxmlformats.org/officeDocument/2006/relationships/worksheet" Target="/xl/worksheets/sheet18.xml" Id="R97ad6fa05eb54a56" /><Relationship Type="http://schemas.openxmlformats.org/officeDocument/2006/relationships/worksheet" Target="/xl/worksheets/sheet19.xml" Id="R520a843c23394151" /><Relationship Type="http://schemas.openxmlformats.org/officeDocument/2006/relationships/worksheet" Target="/xl/worksheets/sheet20.xml" Id="R0da52c8d1c034984" /><Relationship Type="http://schemas.openxmlformats.org/officeDocument/2006/relationships/worksheet" Target="/xl/worksheets/sheet21.xml" Id="Rdb8f9214bd2b448d" /><Relationship Type="http://schemas.openxmlformats.org/officeDocument/2006/relationships/worksheet" Target="/xl/worksheets/sheet22.xml" Id="Rad7b0e3eac874b88" /><Relationship Type="http://schemas.openxmlformats.org/officeDocument/2006/relationships/worksheet" Target="/xl/worksheets/sheet23.xml" Id="R73916c9b60c443ca" /><Relationship Type="http://schemas.openxmlformats.org/officeDocument/2006/relationships/worksheet" Target="/xl/worksheets/sheet24.xml" Id="R211f6a0455e44f46" /><Relationship Type="http://schemas.openxmlformats.org/officeDocument/2006/relationships/worksheet" Target="/xl/worksheets/sheet25.xml" Id="Rca064d5fcdd2468c" /><Relationship Type="http://schemas.openxmlformats.org/officeDocument/2006/relationships/worksheet" Target="/xl/worksheets/sheet26.xml" Id="R6571e311858e41fb" /></Relationships>
</file>

<file path=xl/drawings/_rels/drawing1.xml.rels>&#65279;<?xml version="1.0" encoding="utf-8"?><Relationships xmlns="http://schemas.openxmlformats.org/package/2006/relationships"><Relationship Type="http://schemas.openxmlformats.org/officeDocument/2006/relationships/chart" Target="/xl/drawings/charts/chart1.xml" Id="Rebd8c5df06e04d9e"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bd8c5df06e04d9e"/>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622588167a4634" /></Relationships>
</file>

<file path=xl/worksheets/_rels/sheet2.xml.rels>&#65279;<?xml version="1.0" encoding="utf-8"?><Relationships xmlns="http://schemas.openxmlformats.org/package/2006/relationships"><Relationship Type="http://schemas.openxmlformats.org/officeDocument/2006/relationships/table" Target="/xl/tables/table2.xml" Id="R3b877a3da7524c54" /></Relationships>
</file>

<file path=xl/worksheets/_rels/sheet3.xml.rels>&#65279;<?xml version="1.0" encoding="utf-8"?><Relationships xmlns="http://schemas.openxmlformats.org/package/2006/relationships"><Relationship Type="http://schemas.openxmlformats.org/officeDocument/2006/relationships/drawing" Target="/xl/drawings/drawing1.xml" Id="Rd61a9217797c456d" /></Relationships>
</file>

<file path=xl/worksheets/_rels/sheet4.xml.rels>&#65279;<?xml version="1.0" encoding="utf-8"?><Relationships xmlns="http://schemas.openxmlformats.org/package/2006/relationships"><Relationship Type="http://schemas.openxmlformats.org/officeDocument/2006/relationships/table" Target="/xl/tables/table3.xml" Id="Rac7a98afebc9452b" /></Relationships>
</file>

<file path=xl/worksheets/_rels/sheet5.xml.rels>&#65279;<?xml version="1.0" encoding="utf-8"?><Relationships xmlns="http://schemas.openxmlformats.org/package/2006/relationships"><Relationship Type="http://schemas.openxmlformats.org/officeDocument/2006/relationships/table" Target="/xl/tables/table4.xml" Id="Rf15003f16f764fa1" /></Relationships>
</file>

<file path=xl/worksheets/_rels/sheet6.xml.rels>&#65279;<?xml version="1.0" encoding="utf-8"?><Relationships xmlns="http://schemas.openxmlformats.org/package/2006/relationships"><Relationship Type="http://schemas.openxmlformats.org/officeDocument/2006/relationships/table" Target="/xl/tables/table5.xml" Id="R3583dba78e6647d8" /></Relationships>
</file>

<file path=xl/worksheets/_rels/sheet7.xml.rels>&#65279;<?xml version="1.0" encoding="utf-8"?><Relationships xmlns="http://schemas.openxmlformats.org/package/2006/relationships"><Relationship Type="http://schemas.openxmlformats.org/officeDocument/2006/relationships/table" Target="/xl/tables/table6.xml" Id="Rd59b5f25be8e4934" /></Relationships>
</file>

<file path=xl/worksheets/_rels/sheet9.xml.rels>&#65279;<?xml version="1.0" encoding="utf-8"?><Relationships xmlns="http://schemas.openxmlformats.org/package/2006/relationships"><Relationship Type="http://schemas.openxmlformats.org/officeDocument/2006/relationships/table" Target="/xl/tables/table7.xml" Id="Raacfbc9d9bbb48bb" /></Relationships>
</file>

<file path=xl/worksheets/_rels/sheet10.xml.rels>&#65279;<?xml version="1.0" encoding="utf-8"?><Relationships xmlns="http://schemas.openxmlformats.org/package/2006/relationships"><Relationship Type="http://schemas.openxmlformats.org/officeDocument/2006/relationships/table" Target="/xl/tables/table8.xml" Id="R536506ffcceb4f35" /></Relationships>
</file>

<file path=xl/worksheets/_rels/sheet11.xml.rels>&#65279;<?xml version="1.0" encoding="utf-8"?><Relationships xmlns="http://schemas.openxmlformats.org/package/2006/relationships"><Relationship Type="http://schemas.openxmlformats.org/officeDocument/2006/relationships/table" Target="/xl/tables/table9.xml" Id="R35d3bc36a61c4a73" /></Relationships>
</file>

<file path=xl/worksheets/_rels/sheet13.xml.rels>&#65279;<?xml version="1.0" encoding="utf-8"?><Relationships xmlns="http://schemas.openxmlformats.org/package/2006/relationships"><Relationship Type="http://schemas.openxmlformats.org/officeDocument/2006/relationships/table" Target="/xl/tables/table10.xml" Id="Rc643b616bbc244f3" /></Relationships>
</file>

<file path=xl/worksheets/_rels/sheet14.xml.rels>&#65279;<?xml version="1.0" encoding="utf-8"?><Relationships xmlns="http://schemas.openxmlformats.org/package/2006/relationships"><Relationship Type="http://schemas.openxmlformats.org/officeDocument/2006/relationships/table" Target="/xl/tables/table11.xml" Id="Rf75ecd6442f64e45" /></Relationships>
</file>

<file path=xl/worksheets/_rels/sheet15.xml.rels>&#65279;<?xml version="1.0" encoding="utf-8"?><Relationships xmlns="http://schemas.openxmlformats.org/package/2006/relationships"><Relationship Type="http://schemas.openxmlformats.org/officeDocument/2006/relationships/table" Target="/xl/tables/table12.xml" Id="R35621b18b80344bf" /></Relationships>
</file>

<file path=xl/worksheets/_rels/sheet16.xml.rels>&#65279;<?xml version="1.0" encoding="utf-8"?><Relationships xmlns="http://schemas.openxmlformats.org/package/2006/relationships"><Relationship Type="http://schemas.openxmlformats.org/officeDocument/2006/relationships/table" Target="/xl/tables/table13.xml" Id="R86d46ba0a7934da7"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v>✓</x:v>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str">
        <x:v>Completed</x:v>
      </x:c>
      <x:c r="I313" s="133" t="str">
        <x:v>Project Owner / Product / Engineering</x:v>
      </x:c>
      <x:c r="J313" s="133" t="str"/>
      <x:c r="K313" s="133" t="inlineStr">
        <x:is>
          <x:t xml:space="preserve">13G-10</x:t>
        </x:is>
      </x:c>
      <x:c r="L313" s="133" t="str"/>
      <x:c r="M313" s="133" t="str">
        <x:v>PASS / RFQ DRAFTING &amp; CONFIGURATION UPGRADE PUBLISHED — Commit e9a710ea187e6dccacab2432a3ab94b0bc9886f0 changes exactly one authorized file: src/app/rfq/new/page.tsx. The RFQ drafting wizard now reuses shared Executive panels, badges, metric cards, form, stepper, dialog, feedback and progress contracts while preserving authoritative drafting, completeness, deadline, autosave and publication logic.</x:v>
      </x:c>
      <x:c r="N313" s="249" t="n"/>
      <x:c r="O313" s="249" t="n">
        <x:v>46296</x:v>
      </x:c>
      <x:c r="P313" s="135" t="str">
        <x:v>Validation before publication: focused tests PASS, lint PASS, build PASS, git diff --check PASS; desktop/tablet/mobile visual verification reported PASS; accessibility PASS; no horizontal overflow reported. Remote verification confirmed parent 818d57e9fa7429b34bfcf04aff79de034446a9a5 and exactly one changed file: src/app/rfq/new/page.tsx. Project/scope drafting, procurement strategy and evaluation semantics, RFI deadline/timezone behavior, requirements completeness, scope review, publication acknowledgement, autosave, replacement procurement lineage, POST payload, publish timers and redirect destination remain unchanged. Shared Executive Design System primitives replaced local duplicate panel/badge/form/stepper/dialog styling; no new page-specific primitive, validation/business/data/API/database/auth change, or unrelated hunk was introduced. Duplicate success-overlay UI blocks were removed without changing publication sequencing. Implementation visual rescore reported 9.4/10 overall. Next executable canonical task: 13H-04 — Upgrade Market Engagement &amp; Publishing.</x:v>
      </x:c>
    </x:row>
    <x:row r="314">
      <x:c r="A314" s="133" t="str">
        <x:v>✓</x:v>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str">
        <x:v>Completed</x:v>
      </x:c>
      <x:c r="I314" s="133" t="str">
        <x:v>Project Owner / Product / Engineering</x:v>
      </x:c>
      <x:c r="J314" s="133" t="str"/>
      <x:c r="K314" s="133" t="inlineStr">
        <x:is>
          <x:t xml:space="preserve">13G-10</x:t>
        </x:is>
      </x:c>
      <x:c r="L314" s="133" t="str"/>
      <x:c r="M314" s="133" t="str">
        <x:v>PASS / MARKET ENGAGEMENT &amp; PUBLISHING UPGRADE PUBLISHED — Commit c21d2f045112bdd0af9b5acc363bedfe5a1d6648 changes exactly four authorized files: src/components/invite-vendor-form.tsx, src/components/rfq-workspace/supplier-avl-panel.tsx, src/components/rfq-workspace/supplier-invitation-delivery.tsx, and src/components/rfq-workspace/supplier-invitation-result.tsx. Supplier invitation, AVL selection, delivery feedback, and secure invite-link presentation now reuse shared Executive Design System contracts while preserving invitation and communication truthfulness.</x:v>
      </x:c>
      <x:c r="N314" s="249" t="n"/>
      <x:c r="O314" s="249" t="n">
        <x:v>46296</x:v>
      </x:c>
      <x:c r="P314" s="135" t="str">
        <x:v>Validation before publication: focused tests PASS, lint PASS, build PASS, git diff --check PASS; desktop/tablet/mobile visual verification reported PASS; accessibility PASS; no horizontal overflow reported. Remote verification confirmed parent 511ab8d42d8429c29d7f6bea4b925e40afec4ac5 and exactly four changed files, all within the authorized supplier engagement stack. RFQ Supplier Invitation remained distinct from Workspace Membership; invitation creation/reuse logic, email sent/skipped/failed distinctions, secure invite-link fallback, AVL availability/selection semantics and direct-email governance fallback were preserved. No participation was inferred from invitations; quotation/award, parent RFQ page, RFI/Addenda, API/email/auth/data/database logic remained unchanged. Shared Executive primitives/form/feedback/button/empty-state contracts replaced local styling; no new page-specific primitive or business logic change was introduced. Implementation visual rescore reported 9.4/10 overall. Next executable canonical task: 13H-05 — Upgrade Issuer RFI / Addenda Management.</x:v>
      </x:c>
    </x:row>
    <x:row r="315">
      <x:c r="A315" s="133" t="str">
        <x:v>✓</x:v>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str">
        <x:v>Completed</x:v>
      </x:c>
      <x:c r="I315" s="133" t="str">
        <x:v>Project Owner / Product / Engineering</x:v>
      </x:c>
      <x:c r="J315" s="133" t="str"/>
      <x:c r="K315" s="133" t="inlineStr">
        <x:is>
          <x:t xml:space="preserve">13G-10</x:t>
        </x:is>
      </x:c>
      <x:c r="L315" s="133" t="str"/>
      <x:c r="M315" s="133" t="str">
        <x:v>PASS / ISSUER RFI &amp; ADDENDA MANAGEMENT UPGRADE PUBLISHED — Commit 74cdae5f556fb1c276ee430a1adc4b5a7d42ec05 changes exactly three authorized files: src/components/rfq-workspace/rfq-rfi-workspace.tsx, src/components/rfq-addenda-manager.tsx, and src/components/rfq-addendum-acknowledgement-center.tsx. Private RFI, governed Addenda, publication communication, and acknowledgement surfaces now reuse shared Executive Design System contracts while preserving confidentiality, package-change governance, notification truthfulness, and quote-blocking acknowledgement semantics.</x:v>
      </x:c>
      <x:c r="N315" s="249" t="n"/>
      <x:c r="O315" s="249" t="n">
        <x:v>46296</x:v>
      </x:c>
      <x:c r="P315" s="135" t="str">
        <x:v>Validation before publication: focused tests PASS (93/93), lint PASS, build PASS, git diff --check PASS; desktop/tablet/mobile visual verification reported PASS; accessibility PASS; no horizontal overflow reported. Remote verification confirmed branch commit 74cdae5f556fb1c276ee430a1adc4b5a7d42ec05 and exactly three changed files, all within the authorized RFI/Addenda/Acknowledgement presentation scope. Private RFI confidentiality, deadline/submission/issuer-response behavior, governed package-change detection, amendment-reason gate, RFQ_GOVERNED_REQUIREMENT_HANDOFF_EVENT handoff, explicit downstream issuer action, ordinary Addendum path and affectedDocuments POST semantics remained unchanged. Addendum numbering, sent/skipped/failed notification truthfulness, acknowledgement requirement, Clear/Blocked calculation and acknowledgement POST behavior remained unchanged. No Document Requirements, parent RFQ page, API/email/data/database, quotation/evaluation/award, market-engagement invitation, schema/RLS/RPC/migration or unrelated change was introduced. Implementation visual rescore reported 9.35/10 overall. Issuer Addenda create/governed handoff interaction remained contract/code verified rather than live-mutated because the visual QA fixture mounts canManage=false. Prerequisite governed package-change cluster was separately completed and published at commit 466b0ee1c8845a2e930a23c816a9a618814ebfd6 before this presentation upgrade. Next executable canonical task: 13H-06 — Upgrade Response Evaluation &amp; Award.</x:v>
      </x:c>
    </x:row>
    <x:row r="316">
      <x:c r="A316" s="133" t="str">
        <x:v>✓</x:v>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str">
        <x:v>Completed</x:v>
      </x:c>
      <x:c r="I316" s="133" t="str">
        <x:v>Project Owner / Product / Engineering</x:v>
      </x:c>
      <x:c r="J316" s="133" t="str"/>
      <x:c r="K316" s="133" t="inlineStr">
        <x:is>
          <x:t xml:space="preserve">13G-10</x:t>
        </x:is>
      </x:c>
      <x:c r="L316" s="133" t="str"/>
      <x:c r="M316" s="133" t="str">
        <x:v>PASS / RESPONSE EVALUATION &amp; AWARD UPGRADE PUBLISHED — Commit 2d8f4ae948eedbca4bc6bbd61f4c592499ff9e4a changes exactly three authorized files: src/components/rfq-workspace/rfq-quote-comparison.tsx, src/components/rfq-workspace/rfq-recommended-award-path.tsx, and src/components/award-contract-button.tsx. Comparison, exception/risk, recommendation, and award presentation now reuse shared Executive Design System contracts while preserving commercial confidentiality, ranking/scoring, material-revalidation gating, recommendation non-binding semantics, and consequential award confirmation.</x:v>
      </x:c>
      <x:c r="N316" s="249" t="n"/>
      <x:c r="O316" s="249" t="n">
        <x:v>46296</x:v>
      </x:c>
      <x:c r="P316" s="135" t="str">
        <x:v>Validation before publication: focused tests PASS, lint PASS, build PASS, git diff --check PASS; desktop/tablet/mobile visual verification reported PASS; accessibility PASS; no horizontal overflow reported. Remote verification confirmed branch commit 2d8f4ae948eedbca4bc6bbd61f4c592499ff9e4a and exactly three changed files, all within the authorized evaluation/award presentation scope. Commercial-opening confidentiality, deferred respondent search, 12-row pagination, container-gated table/card architecture, scores/rankings, risk and exception semantics, material-revalidation award block, quote.canAward authority, recommendation metrics and non-binding wording remained unchanged. AwardContractButton preserved POST /api/award-contract with { quoteId }, mandatory ExecutiveConfirmDialog, rejection/award side-effect warning, award lock/loading, redirects, focus restoration and internal error sanitization. No parent RFQ page, owner quote mapping, Executive Decision Center, API/auth/confidentiality/data/database, schema/RLS/RPC/migration or unrelated change was introduced. Implementation visual rescore reported 9.34/10 overall. Recommended Award Path was code/contract verified because the visual-QA fixture does not mount it. Next executable canonical task: 13H-07 — Upgrade Respondent RFQ Review &amp; Scoping.</x:v>
      </x:c>
    </x:row>
    <x:row r="317">
      <x:c r="A317" s="133" t="str">
        <x:v>✓</x:v>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str">
        <x:v>Completed</x:v>
      </x:c>
      <x:c r="I317" s="133" t="str">
        <x:v>Project Owner / Product / Engineering</x:v>
      </x:c>
      <x:c r="J317" s="133" t="str"/>
      <x:c r="K317" s="133" t="inlineStr">
        <x:is>
          <x:t xml:space="preserve">13G-10</x:t>
        </x:is>
      </x:c>
      <x:c r="L317" s="133" t="str"/>
      <x:c r="M317" s="133" t="str">
        <x:v>PASS / RESPONDENT RFQ REVIEW &amp; SCOPING UPGRADE PUBLISHED — Commit 5de338c618ce9d227654e1b744e591c362fad3bb changes exactly three authorized files: src/components/rfq-workspace/rfq-procurement-context.tsx, src/components/rfq-workspace/rfq-governance-controls.tsx, and src/components/rfq-workspace/rfq-document-requirements.tsx. Respondent procurement-model, governance/confidentiality, and required-document review surfaces now reuse shared Executive Design System contracts while preserving read-only access, governed requirement mutation boundaries, safe aggregate confidentiality, and respondent commercial agency.</x:v>
      </x:c>
      <x:c r="N317" s="249" t="n"/>
      <x:c r="O317" s="249" t="n">
        <x:v>46296</x:v>
      </x:c>
      <x:c r="P317" s="135" t="str">
        <x:v>Validation before publication: focused tests PASS (89/89), lint PASS, build PASS, git diff --check PASS; accessibility PASS; no horizontal overflow reported. Visual verification was PARTIAL because respondent Document Requirements was exercised at desktop/tablet/mobile while Procurement Context and Governance Notices are not mounted in the visual-QA fixture; those surfaces were code/contract verified. Remote verification confirmed branch commit 5de338c618ce9d227654e1b744e591c362fad3bb and exactly three changed files, all within the authorized respondent review/scoping presentation scope. Procurement context, sourcing/framework and commercial-control semantics, buyer reservation rights, confidentiality/anti-collusion, blind-bidding controls and safe aggregate quote-count semantics remained unchanged. Document requirement Complete/Incomplete/No Requirements Declared, Required Present/Missing/Not Declared and unavailable-state semantics remained unchanged. Respondent mode remained read-only; issuer mutation controls, governed package-change events/focus/API behavior remained unchanged. No automated bid/no-bid recommendation, new ambiguity/risk score, buyer-only intelligence exposure, business/auth/API/data/database, parent RFQ page, ScopeReview, respondent RFI, quote-submission or unrelated change was introduced. Implementation visual rescore reported 9.34/10 overall. Next executable canonical task: 13H-08 — Upgrade Respondent RFI &amp; Clarifications.</x:v>
      </x:c>
    </x:row>
    <x:row r="318">
      <x:c r="A318" s="133" t="str">
        <x:v>✓</x:v>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str">
        <x:v>Completed</x:v>
      </x:c>
      <x:c r="I318" s="133" t="str">
        <x:v>Project Owner / Product / Engineering</x:v>
      </x:c>
      <x:c r="J318" s="133" t="str"/>
      <x:c r="K318" s="133" t="inlineStr">
        <x:is>
          <x:t xml:space="preserve">13G-10</x:t>
        </x:is>
      </x:c>
      <x:c r="L318" s="133" t="str"/>
      <x:c r="M318" s="133" t="str">
        <x:v>PASS / RESPONDENT RFI &amp; CLARIFICATIONS UPGRADE PUBLISHED — Commit b31effc48c13f6fbc8a5d972747acfd7e0cd2e1a changes exactly one authorized file: src/components/rfq-workspace/rfq-document-workspace.tsx. The respondent Clarifications &amp; Addenda wrapper is now role-aware, removing issuer-authority language while preserving the already-completed Private RFI, issuer-response, Addendum-impact and acknowledgement presentation from 13H-05.</x:v>
      </x:c>
      <x:c r="N318" s="249" t="n"/>
      <x:c r="O318" s="249" t="n">
        <x:v>46296</x:v>
      </x:c>
      <x:c r="P318" s="135" t="str">
        <x:v>Acceptance gate classified PATH B: existing 13H-05 implementation already satisfied RFI creation, response/update visibility, confidentiality, RFI-vs-Addendum distinction, Addendum impact and acknowledgement semantics. A genuine wrapper-copy gap remained because respondent-facing text said 'manage issued addenda'. The one-file fix used existing isOwner context to make the Clarifications &amp; Addenda introduction role-aware without changing child composition, props, permissions, APIs, quote submission, RFI logic, Addendum logic or acknowledgement logic. Focused tests PASS (62/62), lint PASS, build PASS, git diff --check PASS; desktop/tablet/mobile visual verification PASS; no horizontal overflow reported. Remote verification confirmed branch commit b31effc48c13f6fbc8a5d972747acfd7e0cd2e1a and exactly one changed file. Frozen 13H-05 components were not reopened. Next executable canonical task: 13H-09 — Upgrade Quote &amp; Proposal Preparation.</x:v>
      </x:c>
    </x:row>
    <x:row r="319">
      <x:c r="A319" s="133" t="str">
        <x:v>✓</x:v>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str">
        <x:v>Completed</x:v>
      </x:c>
      <x:c r="I319" s="133" t="str">
        <x:v>Project Owner / Product / Engineering</x:v>
      </x:c>
      <x:c r="J319" s="133" t="str"/>
      <x:c r="K319" s="133" t="inlineStr">
        <x:is>
          <x:t xml:space="preserve">13G-10</x:t>
        </x:is>
      </x:c>
      <x:c r="L319" s="133" t="str"/>
      <x:c r="M319" s="133" t="str">
        <x:v>PASS / QUOTE &amp; PROPOSAL PREPARATION UPGRADE PUBLISHED — Commit 1d92ab206de37f51b1608ddb7626f88f2802e41c changes exactly one authorized file: src/components/rfq-workspace/rfq-submit-workspace.tsx. Pricing, commercial terms, completeness, readiness, deadline-risk, material revalidation and submission-action presentation now reuse shared Executive Design System contracts while preserving all quote business logic, access boundaries, API payloads and redirect behavior.</x:v>
      </x:c>
      <x:c r="N319" s="249" t="n"/>
      <x:c r="O319" s="249" t="n">
        <x:v>46296</x:v>
      </x:c>
      <x:c r="P319" s="135" t="str">
        <x:v>Validation before publication: focused tests PASS, lint PASS, build PASS, git diff --check PASS; accessibility PASS; no horizontal overflow reported. Visual verification was PARTIAL because the static visual-QA fixture does not mount the live submit workspace; safe live-page inspection was used where available without mutating RFQ governance. Remote verification confirmed branch commit 1d92ab206de37f51b1608ddb7626f88f2802e41c and exactly one changed file. Pricing/currency, timeline/commercial-note, quote-validity, completeness/readiness, deadline-risk, material-revalidation, required-Addenda acknowledgement gate, reconfirm-vs-resubmit distinction, POST/PATCH quote payloads, error sanitization and success redirect behavior remained unchanged. No submit page, invitation entry page, RFI/Addenda, evaluation/award, API/auth/data/database, schema/RLS/RPC/migration or unrelated change was introduced. Implementation visual rescore reported 9.4/10 overall. Next executable canonical task: 13H-10 — Upgrade Submission &amp; Award Tracking.</x:v>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a3622588167a4634"/>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3b877a3da7524c54"/>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336</x:v>
      </x:c>
      <x:c r="D6" s="133" t="inlineStr">
        <x:is>
          <x:t xml:space="preserve">G0A — Corporate platform architecture ready</x:t>
        </x:is>
      </x:c>
      <x:c r="E6" s="32" t="str">
        <x:f>'03 Launch Gates'!D20</x:f>
        <x:v>Completed</x:v>
      </x:c>
      <x:c r="G6" t="inlineStr">
        <x:is>
          <x:t xml:space="preserve">UI Tasks Complete</x:t>
        </x:is>
      </x:c>
      <x:c r="H6" t="n">
        <x:f>SUM(B36:B46)</x:f>
        <x:v>114</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0.9155313351498637</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0.9418181818181818</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9</x:v>
      </x:c>
      <x:c r="C44" s="28" t="n">
        <x:f>COUNTIFS('01 Master Plan'!C$5:C$383,A44,'01 Master Plan'!H$5:H$383,"In Progress")</x:f>
        <x:v>0</x:v>
      </x:c>
      <x:c r="D44" s="28" t="n">
        <x:f>COUNTIFS('01 Master Plan'!C$5:C$383,A44,'01 Master Plan'!H$5:H$383,"Not Started")</x:f>
        <x:v>11</x:v>
      </x:c>
      <x:c r="E44" s="28" t="n">
        <x:f>COUNTIFS('01 Master Plan'!C$5:C$383,A44,'01 Master Plan'!H$5:H$383,"Blocked")</x:f>
        <x:v>0</x:v>
      </x:c>
      <x:c r="F44" s="28" t="n">
        <x:f>COUNTIFS('01 Master Plan'!C$5:C$383,A44,'01 Master Plan'!H$5:H$383,"Deferred")</x:f>
        <x:v>0</x:v>
      </x:c>
      <x:c r="G44" s="258" t="n">
        <x:f>IFERROR(B44/(B44+C44+D44+E44),0)</x:f>
        <x:v>0.45</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d61a9217797c456d"/>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ac7a98afebc9452b"/>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f15003f16f764fa1"/>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3583dba78e6647d8"/>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d59b5f25be8e4934"/>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aacfbc9d9bbb48bb"/>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row r="1269">
      <x:c r="A1269" t="n">
        <x:v>46296</x:v>
      </x:c>
      <x:c r="B1269" t="str">
        <x:v>Phase 13H / 13H-03</x:v>
      </x:c>
      <x:c r="C1269" t="str">
        <x:v>13H-03 RFQ Drafting &amp; Configuration Upgrade Published</x:v>
      </x:c>
      <x:c r="D1269" t="str">
        <x:v>executive-benchmark-engine</x:v>
      </x:c>
      <x:c r="E1269" t="str">
        <x:v>e9a710ea187e6dccacab2432a3ab94b0bc9886f0</x:v>
      </x:c>
      <x:c r="F1269" t="str">
        <x:v>Published a presentation-only RFQ drafting/configuration upgrade using shared Executive Design System form, stepper, panel, dialog, progress and feedback contracts.</x:v>
      </x:c>
      <x:c r="G1269" t="str">
        <x:v>Exactly one authorized file changed. Focused tests/lint/build/diff-check PASS; responsive/accessibility visual verification reported PASS; implementation visual rescore 9.4/10.</x:v>
      </x:c>
      <x:c r="H1269" t="str">
        <x:v>PASS / 13H-03 CLOSED / PUBLISHED</x:v>
      </x:c>
      <x:c r="I1269" t="str">
        <x:v>Completeness, scope review, deadlines, autosave, acknowledgement gate, POST payload, replacement lineage, timers and redirect behavior remained unchanged; duplicate success UI was removed.</x:v>
      </x:c>
      <x:c r="J1269" t="str">
        <x:v>Next executable canonical task: Phase 13H / 13H-04 — Upgrade Market Engagement &amp; Publishing.</x:v>
      </x:c>
    </x:row>
    <x:row r="1270">
      <x:c r="A1270" t="n">
        <x:v>46296</x:v>
      </x:c>
      <x:c r="B1270" t="str">
        <x:v>Phase 13H / 13H-04</x:v>
      </x:c>
      <x:c r="C1270" t="str">
        <x:v>13H-04 Market Engagement &amp; Publishing Upgrade Published</x:v>
      </x:c>
      <x:c r="D1270" t="str">
        <x:v>executive-benchmark-engine</x:v>
      </x:c>
      <x:c r="E1270" t="str">
        <x:v>c21d2f045112bdd0af9b5acc363bedfe5a1d6648</x:v>
      </x:c>
      <x:c r="F1270" t="str">
        <x:v>Published a presentation-only RFQ market-engagement upgrade across the supplier invitation, AVL selection, delivery and result surfaces using shared Executive Design System contracts.</x:v>
      </x:c>
      <x:c r="G1270" t="str">
        <x:v>Exactly four authorized files changed. Focused tests/lint/build/diff-check PASS; responsive/accessibility visual verification reported PASS; implementation visual rescore 9.4/10.</x:v>
      </x:c>
      <x:c r="H1270" t="str">
        <x:v>PASS / 13H-04 CLOSED / PUBLISHED</x:v>
      </x:c>
      <x:c r="I1270" t="str">
        <x:v>Invitation/reuse/delivery truthfulness, secure invite-link fallback, AVL availability/selection and RFQ-vs-Workspace domain separation remained unchanged. No participation inference, quotation/award scope, parent RFQ page, RFI/Addenda, API/email/auth/data/database change.</x:v>
      </x:c>
      <x:c r="J1270" t="str">
        <x:v>Next executable canonical task: Phase 13H / 13H-05 — Upgrade Issuer RFI / Addenda Management.</x:v>
      </x:c>
    </x:row>
    <x:row r="1271">
      <x:c r="A1271" t="n">
        <x:v>46296</x:v>
      </x:c>
      <x:c r="B1271" t="str">
        <x:v>Phase 13H / 13H-05</x:v>
      </x:c>
      <x:c r="C1271" t="str">
        <x:v>13H-05 Issuer RFI / Addenda Management Upgrade Published</x:v>
      </x:c>
      <x:c r="D1271" t="str">
        <x:v>executive-benchmark-engine</x:v>
      </x:c>
      <x:c r="E1271" t="str">
        <x:v>74cdae5f556fb1c276ee430a1adc4b5a7d42ec05</x:v>
      </x:c>
      <x:c r="F1271" t="str">
        <x:v>Published presentation-only upgrades to Private RFI, governed Addenda management, and Addendum acknowledgement surfaces using shared Executive Design System contracts after first stabilizing the prerequisite governed package-change cluster.</x:v>
      </x:c>
      <x:c r="G1271" t="str">
        <x:v>Exactly three authorized UI files changed. Focused tests 93/93 PASS; lint/build/diff-check PASS; responsive/accessibility visual verification reported PASS; implementation visual rescore 9.35/10.</x:v>
      </x:c>
      <x:c r="H1271" t="str">
        <x:v>PASS / 13H-05 CLOSED / PUBLISHED</x:v>
      </x:c>
      <x:c r="I1271" t="str">
        <x:v>Private RFI confidentiality, governed package-change handoff, ordinary Addendum semantics, notification truthfulness and acknowledgement Clear/Blocked behavior remained unchanged. Prerequisite governance cluster published separately at 466b0ee1c8845a2e930a23c816a9a618814ebfd6.</x:v>
      </x:c>
      <x:c r="J1271" t="str">
        <x:v>Next executable canonical task: Phase 13H / 13H-06 — Upgrade Response Evaluation &amp; Award.</x:v>
      </x:c>
    </x:row>
    <x:row r="1272">
      <x:c r="A1272" t="n">
        <x:v>46296</x:v>
      </x:c>
      <x:c r="B1272" t="str">
        <x:v>Phase 13H / 13H-06</x:v>
      </x:c>
      <x:c r="C1272" t="str">
        <x:v>13H-06 Response Evaluation &amp; Award Upgrade Published</x:v>
      </x:c>
      <x:c r="D1272" t="str">
        <x:v>executive-benchmark-engine</x:v>
      </x:c>
      <x:c r="E1272" t="str">
        <x:v>2d8f4ae948eedbca4bc6bbd61f4c592499ff9e4a</x:v>
      </x:c>
      <x:c r="F1272" t="str">
        <x:v>Published presentation-only upgrades to RFQ quote comparison, recommended award path, and consequential award action using shared Executive Design System contracts.</x:v>
      </x:c>
      <x:c r="G1272" t="str">
        <x:v>Exactly three authorized files changed. Focused tests/lint/build/diff-check PASS; responsive/accessibility visual verification reported PASS; implementation visual rescore 9.34/10.</x:v>
      </x:c>
      <x:c r="H1272" t="str">
        <x:v>PASS / 13H-06 CLOSED / PUBLISHED</x:v>
      </x:c>
      <x:c r="I1272" t="str">
        <x:v>Commercial confidentiality, scoring/ranking, material-revalidation award gating, recommendation non-binding semantics, award API/confirmation/redirect/error-sanitization behavior remained unchanged.</x:v>
      </x:c>
      <x:c r="J1272" t="str">
        <x:v>Next executable canonical task: Phase 13H / 13H-07 — Upgrade Respondent RFQ Review &amp; Scoping.</x:v>
      </x:c>
    </x:row>
    <x:row r="1273">
      <x:c r="A1273" t="n">
        <x:v>46296</x:v>
      </x:c>
      <x:c r="B1273" t="str">
        <x:v>Phase 13H / 13H-07</x:v>
      </x:c>
      <x:c r="C1273" t="str">
        <x:v>13H-07 Respondent RFQ Review &amp; Scoping Upgrade Published</x:v>
      </x:c>
      <x:c r="D1273" t="str">
        <x:v>executive-benchmark-engine</x:v>
      </x:c>
      <x:c r="E1273" t="str">
        <x:v>5de338c618ce9d227654e1b744e591c362fad3bb</x:v>
      </x:c>
      <x:c r="F1273" t="str">
        <x:v>Published presentation-only upgrades to respondent procurement context, governance/confidentiality notices, and required-document review surfaces using shared Executive Design System contracts.</x:v>
      </x:c>
      <x:c r="G1273" t="str">
        <x:v>Exactly three authorized files changed. Focused tests 89/89 PASS; lint/build/diff-check PASS; accessibility PASS; respondent Document Requirements responsive QA passed with remaining surfaces code/contract verified.</x:v>
      </x:c>
      <x:c r="H1273" t="str">
        <x:v>PASS / 13H-07 CLOSED / PUBLISHED</x:v>
      </x:c>
      <x:c r="I1273" t="str">
        <x:v>Respondent read-only behavior, confidentiality/safe aggregate semantics, governed requirement mutation and handoff contracts, and commercial agency remained unchanged. No automated bid/no-bid recommendation or buyer-only intelligence was introduced.</x:v>
      </x:c>
      <x:c r="J1273" t="str">
        <x:v>Next executable canonical task: Phase 13H / 13H-08 — Upgrade Respondent RFI &amp; Clarifications.</x:v>
      </x:c>
    </x:row>
    <x:row r="1274">
      <x:c r="A1274" t="n">
        <x:v>46296</x:v>
      </x:c>
      <x:c r="B1274" t="str">
        <x:v>Phase 13H / 13H-08</x:v>
      </x:c>
      <x:c r="C1274" t="str">
        <x:v>13H-08 Respondent RFI &amp; Clarifications Upgrade Published</x:v>
      </x:c>
      <x:c r="D1274" t="str">
        <x:v>executive-benchmark-engine</x:v>
      </x:c>
      <x:c r="E1274" t="str">
        <x:v>b31effc48c13f6fbc8a5d972747acfd7e0cd2e1a</x:v>
      </x:c>
      <x:c r="F1274" t="str">
        <x:v>Closed 13H-08 with a one-file role-aware wrapper clarification after confirming the core respondent RFI/Addendum experience was already satisfied by the published 13H-05 implementation.</x:v>
      </x:c>
      <x:c r="G1274" t="str">
        <x:v>Exactly one authorized file changed. Focused tests 62/62 PASS; lint/build/diff-check PASS; desktop/tablet/mobile visual verification PASS; no horizontal overflow.</x:v>
      </x:c>
      <x:c r="H1274" t="str">
        <x:v>PASS / 13H-08 CLOSED / PUBLISHED</x:v>
      </x:c>
      <x:c r="I1274" t="str">
        <x:v>Private RFI creation, issuer response visibility, Addendum impact, acknowledgement Clear/Blocked semantics and all frozen 13H-05 component behavior remained unchanged. Respondent issuer-authority implication was removed from wrapper copy only.</x:v>
      </x:c>
      <x:c r="J1274" t="str">
        <x:v>Next executable canonical task: Phase 13H / 13H-09 — Upgrade Quote &amp; Proposal Preparation.</x:v>
      </x:c>
    </x:row>
    <x:row r="1275">
      <x:c r="A1275" t="n">
        <x:v>46296</x:v>
      </x:c>
      <x:c r="B1275" t="str">
        <x:v>Phase 13H / 13H-09</x:v>
      </x:c>
      <x:c r="C1275" t="str">
        <x:v>13H-09 Quote &amp; Proposal Preparation Upgrade Published</x:v>
      </x:c>
      <x:c r="D1275" t="str">
        <x:v>executive-benchmark-engine</x:v>
      </x:c>
      <x:c r="E1275" t="str">
        <x:v>1d92ab206de37f51b1608ddb7626f88f2802e41c</x:v>
      </x:c>
      <x:c r="F1275" t="str">
        <x:v>Published a one-file presentation-only upgrade to the respondent quote/proposal preparation workspace using shared Executive Design System contracts.</x:v>
      </x:c>
      <x:c r="G1275" t="str">
        <x:v>Exactly one authorized file changed. Focused tests/lint/build/diff-check PASS; accessibility PASS; no horizontal overflow; visual QA PARTIAL due fixture coverage limits.</x:v>
      </x:c>
      <x:c r="H1275" t="str">
        <x:v>PASS / 13H-09 CLOSED / PUBLISHED</x:v>
      </x:c>
      <x:c r="I1275" t="str">
        <x:v>Pricing, completeness/readiness, deadline risk, material revalidation, acknowledgement gating, reconfirm/resubmit semantics, quote API payloads and success redirect behavior remained unchanged.</x:v>
      </x:c>
      <x:c r="J1275" t="str">
        <x:v>Next executable canonical task: Phase 13H / 13H-10 — Upgrade Submission &amp; Award Tracking.</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536506ffcceb4f35"/>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35d3bc36a61c4a73"/>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In Progress</x:v>
      </x:c>
      <x:c r="J12" s="133" t="str">
        <x:v>U7 / Phase 13H IN PROGRESS — 13H-01 through 13H-09 PASS/CLOSED/PUBLISHED. Issuer and respondent core RFQ surfaces through quote/proposal preparation now use the shared Executive Design System while preserving procurement confidentiality, governance, respondent agency, revalidation and submission contracts. Next executable canonical task: 13H-10 Upgrade Submission &amp; Award Tracking.</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c643b616bbc244f3"/>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f75ecd6442f64e45"/>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35621b18b80344bf"/>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86d46ba0a7934da7"/>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