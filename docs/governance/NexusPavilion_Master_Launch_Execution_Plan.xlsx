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2eb4b7c33b449f0" /></Relationships>
</file>

<file path=xl/workbook.xml><?xml version="1.0" encoding="utf-8"?>
<x:workbook xmlns:x="http://schemas.openxmlformats.org/spreadsheetml/2006/main">
  <x:sheets>
    <x:sheet xmlns:r="http://schemas.openxmlformats.org/officeDocument/2006/relationships" name="01 Master Plan" sheetId="1" r:id="Rb36576ecb1cf4910"/>
    <x:sheet xmlns:r="http://schemas.openxmlformats.org/officeDocument/2006/relationships" name="03 Launch Gates" sheetId="2" r:id="Rea67ae487b2448c6"/>
    <x:sheet xmlns:r="http://schemas.openxmlformats.org/officeDocument/2006/relationships" name="00 Dashboard" sheetId="3" r:id="Re8d6dcee98de49df"/>
    <x:sheet xmlns:r="http://schemas.openxmlformats.org/officeDocument/2006/relationships" name="04 Cursor Tasks" sheetId="4" r:id="Rdf30d12fbd084925"/>
    <x:sheet xmlns:r="http://schemas.openxmlformats.org/officeDocument/2006/relationships" name="05 UAT Matrix" sheetId="5" r:id="R1ced9888510c4e06"/>
    <x:sheet xmlns:r="http://schemas.openxmlformats.org/officeDocument/2006/relationships" name="06 Security Matrix" sheetId="6" r:id="R5d040904bf2f4bee"/>
    <x:sheet xmlns:r="http://schemas.openxmlformats.org/officeDocument/2006/relationships" name="07 Risks" sheetId="7" r:id="R6668a1b5d3f140d2"/>
    <x:sheet xmlns:r="http://schemas.openxmlformats.org/officeDocument/2006/relationships" name="08 Architecture" sheetId="8" r:id="R196f19b08cb743af"/>
    <x:sheet xmlns:r="http://schemas.openxmlformats.org/officeDocument/2006/relationships" name="09 Release Checklist" sheetId="9" r:id="Rf29b091fde094958"/>
    <x:sheet xmlns:r="http://schemas.openxmlformats.org/officeDocument/2006/relationships" name="10 Change Log" sheetId="10" r:id="R43743d90a14b45e3"/>
    <x:sheet xmlns:r="http://schemas.openxmlformats.org/officeDocument/2006/relationships" name="11 Scope &amp; Roadmap" sheetId="11" r:id="R0971fe6a42684a42"/>
    <x:sheet xmlns:r="http://schemas.openxmlformats.org/officeDocument/2006/relationships" name="12 How to Use" sheetId="12" r:id="R44c04b9c8b224684"/>
    <x:sheet xmlns:r="http://schemas.openxmlformats.org/officeDocument/2006/relationships" name="13 UI Program" sheetId="13" r:id="R346e3d173a104d67"/>
    <x:sheet xmlns:r="http://schemas.openxmlformats.org/officeDocument/2006/relationships" name="14 UI Scorecard" sheetId="14" r:id="R7957479e14e44e5c"/>
    <x:sheet xmlns:r="http://schemas.openxmlformats.org/officeDocument/2006/relationships" name="15 Motion Guidance" sheetId="15" r:id="R6156184fcf5d4ee5"/>
    <x:sheet xmlns:r="http://schemas.openxmlformats.org/officeDocument/2006/relationships" name="16 Design Standards" sheetId="16" r:id="R29e9826c018c48f0"/>
    <x:sheet xmlns:r="http://schemas.openxmlformats.org/officeDocument/2006/relationships" name="17 Corporate Platform" sheetId="17" r:id="Rad64236d688749dc"/>
    <x:sheet xmlns:r="http://schemas.openxmlformats.org/officeDocument/2006/relationships" name="18 Analytics Reuse Map" sheetId="18" r:id="R2201e3c93a6f42c7"/>
    <x:sheet xmlns:r="http://schemas.openxmlformats.org/officeDocument/2006/relationships" name="19 Executive Insights Discovery" sheetId="19" r:id="R805254f412904927"/>
    <x:sheet xmlns:r="http://schemas.openxmlformats.org/officeDocument/2006/relationships" name="20 Procurement Insights Discovery" sheetId="20" r:id="Rccd0375adf9c49e5"/>
    <x:sheet xmlns:r="http://schemas.openxmlformats.org/officeDocument/2006/relationships" name="21 Commercial Insights Discovery" sheetId="21" r:id="R6986290eefc24641"/>
    <x:sheet xmlns:r="http://schemas.openxmlformats.org/officeDocument/2006/relationships" name="22 Project Insights Discovery" sheetId="22" r:id="Ra5e36fe438c64fba"/>
    <x:sheet xmlns:r="http://schemas.openxmlformats.org/officeDocument/2006/relationships" name="23 Performance Discovery" sheetId="23" r:id="R78e5be96e3d047d8"/>
    <x:sheet xmlns:r="http://schemas.openxmlformats.org/officeDocument/2006/relationships" name="24 Risk Compliance Discovery" sheetId="24" r:id="R74b0798129254f88"/>
    <x:sheet xmlns:r="http://schemas.openxmlformats.org/officeDocument/2006/relationships" name="25 Commercial Handoff" sheetId="25" r:id="R406718e1a96f44c8"/>
    <x:sheet xmlns:r="http://schemas.openxmlformats.org/officeDocument/2006/relationships" name="26 RFQ Governance" sheetId="26" r:id="R13c67b08500444a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18d87c5b805422e" /><Relationship Type="http://schemas.openxmlformats.org/officeDocument/2006/relationships/theme" Target="/xl/theme/theme1.xml" Id="R905ab9f1ae874d70" /><Relationship Type="http://schemas.openxmlformats.org/officeDocument/2006/relationships/sharedStrings" Target="/xl/sharedStrings.xml" Id="Re3bfcbbea44a4f90" /><Relationship Type="http://schemas.openxmlformats.org/officeDocument/2006/relationships/worksheet" Target="/xl/worksheets/sheet1.xml" Id="Rb36576ecb1cf4910" /><Relationship Type="http://schemas.openxmlformats.org/officeDocument/2006/relationships/worksheet" Target="/xl/worksheets/sheet2.xml" Id="Rea67ae487b2448c6" /><Relationship Type="http://schemas.openxmlformats.org/officeDocument/2006/relationships/worksheet" Target="/xl/worksheets/sheet3.xml" Id="Re8d6dcee98de49df" /><Relationship Type="http://schemas.openxmlformats.org/officeDocument/2006/relationships/worksheet" Target="/xl/worksheets/sheet4.xml" Id="Rdf30d12fbd084925" /><Relationship Type="http://schemas.openxmlformats.org/officeDocument/2006/relationships/worksheet" Target="/xl/worksheets/sheet5.xml" Id="R1ced9888510c4e06" /><Relationship Type="http://schemas.openxmlformats.org/officeDocument/2006/relationships/worksheet" Target="/xl/worksheets/sheet6.xml" Id="R5d040904bf2f4bee" /><Relationship Type="http://schemas.openxmlformats.org/officeDocument/2006/relationships/worksheet" Target="/xl/worksheets/sheet7.xml" Id="R6668a1b5d3f140d2" /><Relationship Type="http://schemas.openxmlformats.org/officeDocument/2006/relationships/worksheet" Target="/xl/worksheets/sheet8.xml" Id="R196f19b08cb743af" /><Relationship Type="http://schemas.openxmlformats.org/officeDocument/2006/relationships/worksheet" Target="/xl/worksheets/sheet9.xml" Id="Rf29b091fde094958" /><Relationship Type="http://schemas.openxmlformats.org/officeDocument/2006/relationships/worksheet" Target="/xl/worksheets/sheet10.xml" Id="R43743d90a14b45e3" /><Relationship Type="http://schemas.openxmlformats.org/officeDocument/2006/relationships/worksheet" Target="/xl/worksheets/sheet11.xml" Id="R0971fe6a42684a42" /><Relationship Type="http://schemas.openxmlformats.org/officeDocument/2006/relationships/worksheet" Target="/xl/worksheets/sheet12.xml" Id="R44c04b9c8b224684" /><Relationship Type="http://schemas.openxmlformats.org/officeDocument/2006/relationships/worksheet" Target="/xl/worksheets/sheet13.xml" Id="R346e3d173a104d67" /><Relationship Type="http://schemas.openxmlformats.org/officeDocument/2006/relationships/worksheet" Target="/xl/worksheets/sheet14.xml" Id="R7957479e14e44e5c" /><Relationship Type="http://schemas.openxmlformats.org/officeDocument/2006/relationships/worksheet" Target="/xl/worksheets/sheet15.xml" Id="R6156184fcf5d4ee5" /><Relationship Type="http://schemas.openxmlformats.org/officeDocument/2006/relationships/worksheet" Target="/xl/worksheets/sheet16.xml" Id="R29e9826c018c48f0" /><Relationship Type="http://schemas.openxmlformats.org/officeDocument/2006/relationships/worksheet" Target="/xl/worksheets/sheet17.xml" Id="Rad64236d688749dc" /><Relationship Type="http://schemas.openxmlformats.org/officeDocument/2006/relationships/worksheet" Target="/xl/worksheets/sheet18.xml" Id="R2201e3c93a6f42c7" /><Relationship Type="http://schemas.openxmlformats.org/officeDocument/2006/relationships/worksheet" Target="/xl/worksheets/sheet19.xml" Id="R805254f412904927" /><Relationship Type="http://schemas.openxmlformats.org/officeDocument/2006/relationships/worksheet" Target="/xl/worksheets/sheet20.xml" Id="Rccd0375adf9c49e5" /><Relationship Type="http://schemas.openxmlformats.org/officeDocument/2006/relationships/worksheet" Target="/xl/worksheets/sheet21.xml" Id="R6986290eefc24641" /><Relationship Type="http://schemas.openxmlformats.org/officeDocument/2006/relationships/worksheet" Target="/xl/worksheets/sheet22.xml" Id="Ra5e36fe438c64fba" /><Relationship Type="http://schemas.openxmlformats.org/officeDocument/2006/relationships/worksheet" Target="/xl/worksheets/sheet23.xml" Id="R78e5be96e3d047d8" /><Relationship Type="http://schemas.openxmlformats.org/officeDocument/2006/relationships/worksheet" Target="/xl/worksheets/sheet24.xml" Id="R74b0798129254f88" /><Relationship Type="http://schemas.openxmlformats.org/officeDocument/2006/relationships/worksheet" Target="/xl/worksheets/sheet25.xml" Id="R406718e1a96f44c8" /><Relationship Type="http://schemas.openxmlformats.org/officeDocument/2006/relationships/worksheet" Target="/xl/worksheets/sheet26.xml" Id="R13c67b08500444ad" /></Relationships>
</file>

<file path=xl/drawings/_rels/drawing1.xml.rels>&#65279;<?xml version="1.0" encoding="utf-8"?><Relationships xmlns="http://schemas.openxmlformats.org/package/2006/relationships"><Relationship Type="http://schemas.openxmlformats.org/officeDocument/2006/relationships/chart" Target="/xl/drawings/charts/chart1.xml" Id="Reb9e972e7752461e"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b9e972e7752461e"/>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9808783c0cd4dc7" /></Relationships>
</file>

<file path=xl/worksheets/_rels/sheet2.xml.rels>&#65279;<?xml version="1.0" encoding="utf-8"?><Relationships xmlns="http://schemas.openxmlformats.org/package/2006/relationships"><Relationship Type="http://schemas.openxmlformats.org/officeDocument/2006/relationships/table" Target="/xl/tables/table2.xml" Id="Rf872511aa8874157" /></Relationships>
</file>

<file path=xl/worksheets/_rels/sheet3.xml.rels>&#65279;<?xml version="1.0" encoding="utf-8"?><Relationships xmlns="http://schemas.openxmlformats.org/package/2006/relationships"><Relationship Type="http://schemas.openxmlformats.org/officeDocument/2006/relationships/drawing" Target="/xl/drawings/drawing1.xml" Id="R62d33dee30a64d99" /></Relationships>
</file>

<file path=xl/worksheets/_rels/sheet4.xml.rels>&#65279;<?xml version="1.0" encoding="utf-8"?><Relationships xmlns="http://schemas.openxmlformats.org/package/2006/relationships"><Relationship Type="http://schemas.openxmlformats.org/officeDocument/2006/relationships/table" Target="/xl/tables/table3.xml" Id="R35016a61ec764d7b" /></Relationships>
</file>

<file path=xl/worksheets/_rels/sheet5.xml.rels>&#65279;<?xml version="1.0" encoding="utf-8"?><Relationships xmlns="http://schemas.openxmlformats.org/package/2006/relationships"><Relationship Type="http://schemas.openxmlformats.org/officeDocument/2006/relationships/table" Target="/xl/tables/table4.xml" Id="R27fd749c23cc4e54" /></Relationships>
</file>

<file path=xl/worksheets/_rels/sheet6.xml.rels>&#65279;<?xml version="1.0" encoding="utf-8"?><Relationships xmlns="http://schemas.openxmlformats.org/package/2006/relationships"><Relationship Type="http://schemas.openxmlformats.org/officeDocument/2006/relationships/table" Target="/xl/tables/table5.xml" Id="R271e8c64e58b435d" /></Relationships>
</file>

<file path=xl/worksheets/_rels/sheet7.xml.rels>&#65279;<?xml version="1.0" encoding="utf-8"?><Relationships xmlns="http://schemas.openxmlformats.org/package/2006/relationships"><Relationship Type="http://schemas.openxmlformats.org/officeDocument/2006/relationships/table" Target="/xl/tables/table6.xml" Id="R3edb7132dd3e4266" /></Relationships>
</file>

<file path=xl/worksheets/_rels/sheet9.xml.rels>&#65279;<?xml version="1.0" encoding="utf-8"?><Relationships xmlns="http://schemas.openxmlformats.org/package/2006/relationships"><Relationship Type="http://schemas.openxmlformats.org/officeDocument/2006/relationships/table" Target="/xl/tables/table7.xml" Id="Rda2148ec8b004110" /></Relationships>
</file>

<file path=xl/worksheets/_rels/sheet10.xml.rels>&#65279;<?xml version="1.0" encoding="utf-8"?><Relationships xmlns="http://schemas.openxmlformats.org/package/2006/relationships"><Relationship Type="http://schemas.openxmlformats.org/officeDocument/2006/relationships/table" Target="/xl/tables/table8.xml" Id="Rbfa52761a0db46a5" /></Relationships>
</file>

<file path=xl/worksheets/_rels/sheet11.xml.rels>&#65279;<?xml version="1.0" encoding="utf-8"?><Relationships xmlns="http://schemas.openxmlformats.org/package/2006/relationships"><Relationship Type="http://schemas.openxmlformats.org/officeDocument/2006/relationships/table" Target="/xl/tables/table9.xml" Id="Rb74fee1dc8734c01" /></Relationships>
</file>

<file path=xl/worksheets/_rels/sheet13.xml.rels>&#65279;<?xml version="1.0" encoding="utf-8"?><Relationships xmlns="http://schemas.openxmlformats.org/package/2006/relationships"><Relationship Type="http://schemas.openxmlformats.org/officeDocument/2006/relationships/table" Target="/xl/tables/table10.xml" Id="R0bcb3141c7654de8" /></Relationships>
</file>

<file path=xl/worksheets/_rels/sheet14.xml.rels>&#65279;<?xml version="1.0" encoding="utf-8"?><Relationships xmlns="http://schemas.openxmlformats.org/package/2006/relationships"><Relationship Type="http://schemas.openxmlformats.org/officeDocument/2006/relationships/table" Target="/xl/tables/table11.xml" Id="R0a35e6c11a3643ab" /></Relationships>
</file>

<file path=xl/worksheets/_rels/sheet15.xml.rels>&#65279;<?xml version="1.0" encoding="utf-8"?><Relationships xmlns="http://schemas.openxmlformats.org/package/2006/relationships"><Relationship Type="http://schemas.openxmlformats.org/officeDocument/2006/relationships/table" Target="/xl/tables/table12.xml" Id="R0ffc3c288e0c44a5" /></Relationships>
</file>

<file path=xl/worksheets/_rels/sheet16.xml.rels>&#65279;<?xml version="1.0" encoding="utf-8"?><Relationships xmlns="http://schemas.openxmlformats.org/package/2006/relationships"><Relationship Type="http://schemas.openxmlformats.org/officeDocument/2006/relationships/table" Target="/xl/tables/table13.xml" Id="R76f30ca745dd481e"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29808783c0cd4dc7"/>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f872511aa8874157"/>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288</x:v>
      </x:c>
      <x:c r="D6" s="133" t="inlineStr">
        <x:is>
          <x:t xml:space="preserve">G0A — Corporate platform architecture ready</x:t>
        </x:is>
      </x:c>
      <x:c r="E6" s="32" t="str">
        <x:f>'03 Launch Gates'!D20</x:f>
        <x:v>Completed</x:v>
      </x:c>
      <x:c r="G6" t="inlineStr">
        <x:is>
          <x:t xml:space="preserve">UI Tasks Complete</x:t>
        </x:is>
      </x:c>
      <x:c r="H6" t="n">
        <x:f>SUM(B36:B46)</x:f>
        <x:v>66</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0.784741144414169</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0.8181818181818182</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2</x:v>
      </x:c>
      <x:c r="C40" s="162" t="n">
        <x:f>COUNTIFS('01 Master Plan'!C$5:C$383,A40,'01 Master Plan'!H$5:H$383,"In Progress")</x:f>
        <x:v>0</x:v>
      </x:c>
      <x:c r="D40" s="162" t="n">
        <x:f>COUNTIFS('01 Master Plan'!C$5:C$383,A40,'01 Master Plan'!H$5:H$383,"Not Started")</x:f>
        <x:v>8</x:v>
      </x:c>
      <x:c r="E40" s="162" t="n">
        <x:f>COUNTIFS('01 Master Plan'!C$5:C$383,A40,'01 Master Plan'!H$5:H$383,"Blocked")</x:f>
        <x:v>0</x:v>
      </x:c>
      <x:c r="F40" s="162" t="n">
        <x:f>COUNTIFS('01 Master Plan'!C$5:C$383,A40,'01 Master Plan'!H$5:H$383,"Deferred")</x:f>
        <x:v>0</x:v>
      </x:c>
      <x:c r="G40" s="257" t="n">
        <x:f>IFERROR(B40/(B40+C40+D40+E40),0)</x:f>
        <x:v>0.2</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62d33dee30a64d99"/>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35016a61ec764d7b"/>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27fd749c23cc4e54"/>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271e8c64e58b435d"/>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3edb7132dd3e4266"/>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da2148ec8b004110"/>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bfa52761a0db46a5"/>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b74fee1dc8734c01"/>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U3 / Phase 13D IN PROGRESS — 13D-01 and 13D-02 PASS/CLOSED. Authenticated shell foundation and enterprise Sidebar are standardized; the previously observed sidebar server/client sublabel mismatch is prevented by deterministic first-render copy. Next: 13D-03 Implement global top/context header.</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0bcb3141c7654de8"/>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0a35e6c11a3643ab"/>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0ffc3c288e0c44a5"/>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76f30ca745dd481e"/>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