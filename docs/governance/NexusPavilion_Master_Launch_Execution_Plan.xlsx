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7576023bae54a8f" /></Relationships>
</file>

<file path=xl/workbook.xml><?xml version="1.0" encoding="utf-8"?>
<x:workbook xmlns:x="http://schemas.openxmlformats.org/spreadsheetml/2006/main">
  <x:sheets>
    <x:sheet xmlns:r="http://schemas.openxmlformats.org/officeDocument/2006/relationships" name="01 Master Plan" sheetId="1" r:id="R97fd211b26af451c"/>
    <x:sheet xmlns:r="http://schemas.openxmlformats.org/officeDocument/2006/relationships" name="03 Launch Gates" sheetId="2" r:id="R93ff2c67b21f4eaf"/>
    <x:sheet xmlns:r="http://schemas.openxmlformats.org/officeDocument/2006/relationships" name="00 Dashboard" sheetId="3" r:id="Rcd977317cb274b10"/>
    <x:sheet xmlns:r="http://schemas.openxmlformats.org/officeDocument/2006/relationships" name="04 Cursor Tasks" sheetId="4" r:id="R2bee58343f3f4b3c"/>
    <x:sheet xmlns:r="http://schemas.openxmlformats.org/officeDocument/2006/relationships" name="05 UAT Matrix" sheetId="5" r:id="Reb067e2286fb43f8"/>
    <x:sheet xmlns:r="http://schemas.openxmlformats.org/officeDocument/2006/relationships" name="06 Security Matrix" sheetId="6" r:id="R5c2bb0baf6914da6"/>
    <x:sheet xmlns:r="http://schemas.openxmlformats.org/officeDocument/2006/relationships" name="07 Risks" sheetId="7" r:id="Rf88a3092391b4d22"/>
    <x:sheet xmlns:r="http://schemas.openxmlformats.org/officeDocument/2006/relationships" name="08 Architecture" sheetId="8" r:id="R1afca6f67a0747fc"/>
    <x:sheet xmlns:r="http://schemas.openxmlformats.org/officeDocument/2006/relationships" name="09 Release Checklist" sheetId="9" r:id="R0ba5ce3a7d6f4892"/>
    <x:sheet xmlns:r="http://schemas.openxmlformats.org/officeDocument/2006/relationships" name="10 Change Log" sheetId="10" r:id="R0d17a013f16a45a3"/>
    <x:sheet xmlns:r="http://schemas.openxmlformats.org/officeDocument/2006/relationships" name="11 Scope &amp; Roadmap" sheetId="11" r:id="R5e6a027d9e0c4b43"/>
    <x:sheet xmlns:r="http://schemas.openxmlformats.org/officeDocument/2006/relationships" name="12 How to Use" sheetId="12" r:id="R19fd16d702cb4d9d"/>
    <x:sheet xmlns:r="http://schemas.openxmlformats.org/officeDocument/2006/relationships" name="13 UI Program" sheetId="13" r:id="R046bdea027df4430"/>
    <x:sheet xmlns:r="http://schemas.openxmlformats.org/officeDocument/2006/relationships" name="14 UI Scorecard" sheetId="14" r:id="Rca4a5cd69a3e4925"/>
    <x:sheet xmlns:r="http://schemas.openxmlformats.org/officeDocument/2006/relationships" name="15 Motion Guidance" sheetId="15" r:id="R059d1b536c3b4419"/>
    <x:sheet xmlns:r="http://schemas.openxmlformats.org/officeDocument/2006/relationships" name="16 Design Standards" sheetId="16" r:id="Rd358f7e9add149b7"/>
    <x:sheet xmlns:r="http://schemas.openxmlformats.org/officeDocument/2006/relationships" name="17 Corporate Platform" sheetId="17" r:id="R4f3f98401cdf457b"/>
    <x:sheet xmlns:r="http://schemas.openxmlformats.org/officeDocument/2006/relationships" name="18 Analytics Reuse Map" sheetId="18" r:id="R6f49b8e446c2438f"/>
    <x:sheet xmlns:r="http://schemas.openxmlformats.org/officeDocument/2006/relationships" name="19 Executive Insights Discovery" sheetId="19" r:id="R86836b46cf864936"/>
    <x:sheet xmlns:r="http://schemas.openxmlformats.org/officeDocument/2006/relationships" name="20 Procurement Insights Discovery" sheetId="20" r:id="R6ce65d0a833640e3"/>
    <x:sheet xmlns:r="http://schemas.openxmlformats.org/officeDocument/2006/relationships" name="21 Commercial Insights Discovery" sheetId="21" r:id="R35e189988b6a4fb2"/>
    <x:sheet xmlns:r="http://schemas.openxmlformats.org/officeDocument/2006/relationships" name="22 Project Insights Discovery" sheetId="22" r:id="R9e2abb13ad744983"/>
    <x:sheet xmlns:r="http://schemas.openxmlformats.org/officeDocument/2006/relationships" name="23 Performance Discovery" sheetId="23" r:id="Raed30e0a47754451"/>
    <x:sheet xmlns:r="http://schemas.openxmlformats.org/officeDocument/2006/relationships" name="24 Risk Compliance Discovery" sheetId="24" r:id="R074023d57fdb41c5"/>
    <x:sheet xmlns:r="http://schemas.openxmlformats.org/officeDocument/2006/relationships" name="25 Commercial Handoff" sheetId="25" r:id="R734b214d50e74afc"/>
    <x:sheet xmlns:r="http://schemas.openxmlformats.org/officeDocument/2006/relationships" name="26 RFQ Governance" sheetId="26" r:id="Rebfe459a5b5d42f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67534671f194d22" /><Relationship Type="http://schemas.openxmlformats.org/officeDocument/2006/relationships/theme" Target="/xl/theme/theme1.xml" Id="Rb1dc1b8180ce43e5" /><Relationship Type="http://schemas.openxmlformats.org/officeDocument/2006/relationships/sharedStrings" Target="/xl/sharedStrings.xml" Id="Ra6f005bec5ee46fe" /><Relationship Type="http://schemas.openxmlformats.org/officeDocument/2006/relationships/worksheet" Target="/xl/worksheets/sheet1.xml" Id="R97fd211b26af451c" /><Relationship Type="http://schemas.openxmlformats.org/officeDocument/2006/relationships/worksheet" Target="/xl/worksheets/sheet2.xml" Id="R93ff2c67b21f4eaf" /><Relationship Type="http://schemas.openxmlformats.org/officeDocument/2006/relationships/worksheet" Target="/xl/worksheets/sheet3.xml" Id="Rcd977317cb274b10" /><Relationship Type="http://schemas.openxmlformats.org/officeDocument/2006/relationships/worksheet" Target="/xl/worksheets/sheet4.xml" Id="R2bee58343f3f4b3c" /><Relationship Type="http://schemas.openxmlformats.org/officeDocument/2006/relationships/worksheet" Target="/xl/worksheets/sheet5.xml" Id="Reb067e2286fb43f8" /><Relationship Type="http://schemas.openxmlformats.org/officeDocument/2006/relationships/worksheet" Target="/xl/worksheets/sheet6.xml" Id="R5c2bb0baf6914da6" /><Relationship Type="http://schemas.openxmlformats.org/officeDocument/2006/relationships/worksheet" Target="/xl/worksheets/sheet7.xml" Id="Rf88a3092391b4d22" /><Relationship Type="http://schemas.openxmlformats.org/officeDocument/2006/relationships/worksheet" Target="/xl/worksheets/sheet8.xml" Id="R1afca6f67a0747fc" /><Relationship Type="http://schemas.openxmlformats.org/officeDocument/2006/relationships/worksheet" Target="/xl/worksheets/sheet9.xml" Id="R0ba5ce3a7d6f4892" /><Relationship Type="http://schemas.openxmlformats.org/officeDocument/2006/relationships/worksheet" Target="/xl/worksheets/sheet10.xml" Id="R0d17a013f16a45a3" /><Relationship Type="http://schemas.openxmlformats.org/officeDocument/2006/relationships/worksheet" Target="/xl/worksheets/sheet11.xml" Id="R5e6a027d9e0c4b43" /><Relationship Type="http://schemas.openxmlformats.org/officeDocument/2006/relationships/worksheet" Target="/xl/worksheets/sheet12.xml" Id="R19fd16d702cb4d9d" /><Relationship Type="http://schemas.openxmlformats.org/officeDocument/2006/relationships/worksheet" Target="/xl/worksheets/sheet13.xml" Id="R046bdea027df4430" /><Relationship Type="http://schemas.openxmlformats.org/officeDocument/2006/relationships/worksheet" Target="/xl/worksheets/sheet14.xml" Id="Rca4a5cd69a3e4925" /><Relationship Type="http://schemas.openxmlformats.org/officeDocument/2006/relationships/worksheet" Target="/xl/worksheets/sheet15.xml" Id="R059d1b536c3b4419" /><Relationship Type="http://schemas.openxmlformats.org/officeDocument/2006/relationships/worksheet" Target="/xl/worksheets/sheet16.xml" Id="Rd358f7e9add149b7" /><Relationship Type="http://schemas.openxmlformats.org/officeDocument/2006/relationships/worksheet" Target="/xl/worksheets/sheet17.xml" Id="R4f3f98401cdf457b" /><Relationship Type="http://schemas.openxmlformats.org/officeDocument/2006/relationships/worksheet" Target="/xl/worksheets/sheet18.xml" Id="R6f49b8e446c2438f" /><Relationship Type="http://schemas.openxmlformats.org/officeDocument/2006/relationships/worksheet" Target="/xl/worksheets/sheet19.xml" Id="R86836b46cf864936" /><Relationship Type="http://schemas.openxmlformats.org/officeDocument/2006/relationships/worksheet" Target="/xl/worksheets/sheet20.xml" Id="R6ce65d0a833640e3" /><Relationship Type="http://schemas.openxmlformats.org/officeDocument/2006/relationships/worksheet" Target="/xl/worksheets/sheet21.xml" Id="R35e189988b6a4fb2" /><Relationship Type="http://schemas.openxmlformats.org/officeDocument/2006/relationships/worksheet" Target="/xl/worksheets/sheet22.xml" Id="R9e2abb13ad744983" /><Relationship Type="http://schemas.openxmlformats.org/officeDocument/2006/relationships/worksheet" Target="/xl/worksheets/sheet23.xml" Id="Raed30e0a47754451" /><Relationship Type="http://schemas.openxmlformats.org/officeDocument/2006/relationships/worksheet" Target="/xl/worksheets/sheet24.xml" Id="R074023d57fdb41c5" /><Relationship Type="http://schemas.openxmlformats.org/officeDocument/2006/relationships/worksheet" Target="/xl/worksheets/sheet25.xml" Id="R734b214d50e74afc" /><Relationship Type="http://schemas.openxmlformats.org/officeDocument/2006/relationships/worksheet" Target="/xl/worksheets/sheet26.xml" Id="Rebfe459a5b5d42f2" /></Relationships>
</file>

<file path=xl/drawings/_rels/drawing1.xml.rels>&#65279;<?xml version="1.0" encoding="utf-8"?><Relationships xmlns="http://schemas.openxmlformats.org/package/2006/relationships"><Relationship Type="http://schemas.openxmlformats.org/officeDocument/2006/relationships/chart" Target="/xl/drawings/charts/chart1.xml" Id="R1e3bbbb50cbb4c8c"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3bbbb50cbb4c8c"/>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44496575a994a88" /></Relationships>
</file>

<file path=xl/worksheets/_rels/sheet2.xml.rels>&#65279;<?xml version="1.0" encoding="utf-8"?><Relationships xmlns="http://schemas.openxmlformats.org/package/2006/relationships"><Relationship Type="http://schemas.openxmlformats.org/officeDocument/2006/relationships/table" Target="/xl/tables/table2.xml" Id="Rdb70161edd304878" /></Relationships>
</file>

<file path=xl/worksheets/_rels/sheet3.xml.rels>&#65279;<?xml version="1.0" encoding="utf-8"?><Relationships xmlns="http://schemas.openxmlformats.org/package/2006/relationships"><Relationship Type="http://schemas.openxmlformats.org/officeDocument/2006/relationships/drawing" Target="/xl/drawings/drawing1.xml" Id="R6f33c869e30e4699" /></Relationships>
</file>

<file path=xl/worksheets/_rels/sheet4.xml.rels>&#65279;<?xml version="1.0" encoding="utf-8"?><Relationships xmlns="http://schemas.openxmlformats.org/package/2006/relationships"><Relationship Type="http://schemas.openxmlformats.org/officeDocument/2006/relationships/table" Target="/xl/tables/table3.xml" Id="R21643f6b7cd34c3c" /></Relationships>
</file>

<file path=xl/worksheets/_rels/sheet5.xml.rels>&#65279;<?xml version="1.0" encoding="utf-8"?><Relationships xmlns="http://schemas.openxmlformats.org/package/2006/relationships"><Relationship Type="http://schemas.openxmlformats.org/officeDocument/2006/relationships/table" Target="/xl/tables/table4.xml" Id="Rcb0d3920ebb84192" /></Relationships>
</file>

<file path=xl/worksheets/_rels/sheet6.xml.rels>&#65279;<?xml version="1.0" encoding="utf-8"?><Relationships xmlns="http://schemas.openxmlformats.org/package/2006/relationships"><Relationship Type="http://schemas.openxmlformats.org/officeDocument/2006/relationships/table" Target="/xl/tables/table5.xml" Id="R6540bce15e364b5f" /></Relationships>
</file>

<file path=xl/worksheets/_rels/sheet7.xml.rels>&#65279;<?xml version="1.0" encoding="utf-8"?><Relationships xmlns="http://schemas.openxmlformats.org/package/2006/relationships"><Relationship Type="http://schemas.openxmlformats.org/officeDocument/2006/relationships/table" Target="/xl/tables/table6.xml" Id="R636b7e218c094369" /></Relationships>
</file>

<file path=xl/worksheets/_rels/sheet9.xml.rels>&#65279;<?xml version="1.0" encoding="utf-8"?><Relationships xmlns="http://schemas.openxmlformats.org/package/2006/relationships"><Relationship Type="http://schemas.openxmlformats.org/officeDocument/2006/relationships/table" Target="/xl/tables/table7.xml" Id="R8d83a9c003544c4b" /></Relationships>
</file>

<file path=xl/worksheets/_rels/sheet10.xml.rels>&#65279;<?xml version="1.0" encoding="utf-8"?><Relationships xmlns="http://schemas.openxmlformats.org/package/2006/relationships"><Relationship Type="http://schemas.openxmlformats.org/officeDocument/2006/relationships/table" Target="/xl/tables/table8.xml" Id="Rfa7cee922c334a60" /></Relationships>
</file>

<file path=xl/worksheets/_rels/sheet11.xml.rels>&#65279;<?xml version="1.0" encoding="utf-8"?><Relationships xmlns="http://schemas.openxmlformats.org/package/2006/relationships"><Relationship Type="http://schemas.openxmlformats.org/officeDocument/2006/relationships/table" Target="/xl/tables/table9.xml" Id="R9768310ac38746a7" /></Relationships>
</file>

<file path=xl/worksheets/_rels/sheet13.xml.rels>&#65279;<?xml version="1.0" encoding="utf-8"?><Relationships xmlns="http://schemas.openxmlformats.org/package/2006/relationships"><Relationship Type="http://schemas.openxmlformats.org/officeDocument/2006/relationships/table" Target="/xl/tables/table10.xml" Id="R40427c3b47d24d43" /></Relationships>
</file>

<file path=xl/worksheets/_rels/sheet14.xml.rels>&#65279;<?xml version="1.0" encoding="utf-8"?><Relationships xmlns="http://schemas.openxmlformats.org/package/2006/relationships"><Relationship Type="http://schemas.openxmlformats.org/officeDocument/2006/relationships/table" Target="/xl/tables/table11.xml" Id="R96bab8f2e0914672" /></Relationships>
</file>

<file path=xl/worksheets/_rels/sheet15.xml.rels>&#65279;<?xml version="1.0" encoding="utf-8"?><Relationships xmlns="http://schemas.openxmlformats.org/package/2006/relationships"><Relationship Type="http://schemas.openxmlformats.org/officeDocument/2006/relationships/table" Target="/xl/tables/table12.xml" Id="R20b83d6fc6ce4d42" /></Relationships>
</file>

<file path=xl/worksheets/_rels/sheet16.xml.rels>&#65279;<?xml version="1.0" encoding="utf-8"?><Relationships xmlns="http://schemas.openxmlformats.org/package/2006/relationships"><Relationship Type="http://schemas.openxmlformats.org/officeDocument/2006/relationships/table" Target="/xl/tables/table13.xml" Id="R1fa03618a57845e0"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Blocked</x:v>
      </x:c>
      <x:c r="I321" s="133" t="str">
        <x:v>Project Owner / Product / Engineering</x:v>
      </x:c>
      <x:c r="J321" s="133" t="str"/>
      <x:c r="K321" s="133" t="inlineStr">
        <x:is>
          <x:t xml:space="preserve">13G-10</x:t>
        </x:is>
      </x:c>
      <x:c r="L321" s="133" t="str"/>
      <x:c r="M321" s="133" t="str">
        <x:v>BLOCKED / MY TASKS DATA MODEL NOT AVAILABLE — Activity Center currently has a launch-frozen company-scoped taxonomy of Needs Attention, Updates, and History only. Repository contracts explicitly prohibit rendering My Tasks or deriving personal tasks from notification title/message or compatibility fields. Existing notifications have no assignee/recipient-user/due-date/task-status/completion model, so implementing My Tasks would require a new data/ownership contract outside the presentation-only scope of 13H-11.</x:v>
      </x:c>
      <x:c r="N321" s="249" t="n"/>
      <x:c r="O321" s="249" t="n">
        <x:v>46296</x:v>
      </x:c>
      <x:c r="P321" s="135" t="str">
        <x:v>Evidence: src/lib/launch/procurement-activity-event-writers-contract.test.ts explicitly asserts Activity Center does not render 'My Tasks' or personal task derivation and locks exact Attention/Updates taxonomy. src/lib/procurement/activity-center-prioritization.ts defines only attention/updates/history; no task classification exists. Company-scoped notification query, source-link authorization, attention prioritization, Updates and History remain valid and unchanged. No code, API, DB, RLS, notification-generation or taxonomy change was made. Focused tests/lint/build/diff-check PASS; responsive review PARTIAL with no horizontal overflow; current page visual quality remains below 13H acceptance because the mandatory My Tasks requirement cannot be truthfully implemented. Resolution requires an approved My Tasks data/ownership model or explicit change to Master Plan acceptance. Until then 13H-11 remains BLOCKED. Next dependency-independent executable canonical task: 13H-12 — Upgrade Project Portfolio.</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e44496575a994a88"/>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db70161edd304878"/>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338</x:v>
      </x:c>
      <x:c r="D6" s="133" t="inlineStr">
        <x:is>
          <x:t xml:space="preserve">G0A — Corporate platform architecture ready</x:t>
        </x:is>
      </x:c>
      <x:c r="E6" s="32" t="str">
        <x:f>'03 Launch Gates'!D20</x:f>
        <x:v>Completed</x:v>
      </x:c>
      <x:c r="G6" t="inlineStr">
        <x:is>
          <x:t xml:space="preserve">UI Tasks Complete</x:t>
        </x:is>
      </x:c>
      <x:c r="H6" t="n">
        <x:f>SUM(B36:B46)</x:f>
        <x:v>116</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7</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0.9209809264305178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0.9454545454545454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3</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11</x:v>
      </x:c>
      <x:c r="C44" s="28" t="n">
        <x:f>COUNTIFS('01 Master Plan'!C$5:C$383,A44,'01 Master Plan'!H$5:H$383,"In Progress")</x:f>
        <x:v>0</x:v>
      </x:c>
      <x:c r="D44" s="28" t="n">
        <x:f>COUNTIFS('01 Master Plan'!C$5:C$383,A44,'01 Master Plan'!H$5:H$383,"Not Started")</x:f>
        <x:v>8</x:v>
      </x:c>
      <x:c r="E44" s="28" t="n">
        <x:f>COUNTIFS('01 Master Plan'!C$5:C$383,A44,'01 Master Plan'!H$5:H$383,"Blocked")</x:f>
        <x:v>1</x:v>
      </x:c>
      <x:c r="F44" s="28" t="n">
        <x:f>COUNTIFS('01 Master Plan'!C$5:C$383,A44,'01 Master Plan'!H$5:H$383,"Deferred")</x:f>
        <x:v>0</x:v>
      </x:c>
      <x:c r="G44" s="258" t="n">
        <x:f>IFERROR(B44/(B44+C44+D44+E44),0)</x:f>
        <x:v>0.55</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f33c869e30e4699"/>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21643f6b7cd34c3c"/>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cb0d3920ebb84192"/>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6540bce15e364b5f"/>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36b7e218c094369"/>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8d83a9c003544c4b"/>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fa7cee922c334a60"/>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9768310ac38746a7"/>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13H-10 and 13H-12 PASS/CLOSED/PUBLISHED; 13H-11 remains BLOCKED pending an approved My Tasks ownership/data contract. Project Portfolio now uses shared Executive Design System presentation while preserving company-scoped Project identity, verified same-company procurement context, evidence limitations and procurement-accurate Award Recorded semantics. Next executable canonical task: 13H-13 Upgrade Company Network.</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40427c3b47d24d43"/>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96bab8f2e0914672"/>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20b83d6fc6ce4d42"/>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1fa03618a57845e0"/>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