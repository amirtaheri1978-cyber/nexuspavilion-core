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67e27908dc0467d" /></Relationships>
</file>

<file path=xl/workbook.xml><?xml version="1.0" encoding="utf-8"?>
<x:workbook xmlns:x="http://schemas.openxmlformats.org/spreadsheetml/2006/main">
  <x:sheets>
    <x:sheet xmlns:r="http://schemas.openxmlformats.org/officeDocument/2006/relationships" name="01 Master Plan" sheetId="1" r:id="Rf2fcefe704574933"/>
    <x:sheet xmlns:r="http://schemas.openxmlformats.org/officeDocument/2006/relationships" name="03 Launch Gates" sheetId="2" r:id="R584b6d84c5034f2f"/>
    <x:sheet xmlns:r="http://schemas.openxmlformats.org/officeDocument/2006/relationships" name="00 Dashboard" sheetId="3" r:id="Rf0fcb87cc0714097"/>
    <x:sheet xmlns:r="http://schemas.openxmlformats.org/officeDocument/2006/relationships" name="04 Cursor Tasks" sheetId="4" r:id="R1e6a55f510b54e84"/>
    <x:sheet xmlns:r="http://schemas.openxmlformats.org/officeDocument/2006/relationships" name="05 UAT Matrix" sheetId="5" r:id="R9123e9497f944fb5"/>
    <x:sheet xmlns:r="http://schemas.openxmlformats.org/officeDocument/2006/relationships" name="06 Security Matrix" sheetId="6" r:id="R247fec1305ef43cd"/>
    <x:sheet xmlns:r="http://schemas.openxmlformats.org/officeDocument/2006/relationships" name="07 Risks" sheetId="7" r:id="Re36e31290abd4dc8"/>
    <x:sheet xmlns:r="http://schemas.openxmlformats.org/officeDocument/2006/relationships" name="08 Architecture" sheetId="8" r:id="R94bcbdc7c6094049"/>
    <x:sheet xmlns:r="http://schemas.openxmlformats.org/officeDocument/2006/relationships" name="09 Release Checklist" sheetId="9" r:id="R33e2923f6cd847f9"/>
    <x:sheet xmlns:r="http://schemas.openxmlformats.org/officeDocument/2006/relationships" name="10 Change Log" sheetId="10" r:id="R92c67b21676a4cfc"/>
    <x:sheet xmlns:r="http://schemas.openxmlformats.org/officeDocument/2006/relationships" name="11 Scope &amp; Roadmap" sheetId="11" r:id="R8eff708d979e48e2"/>
    <x:sheet xmlns:r="http://schemas.openxmlformats.org/officeDocument/2006/relationships" name="12 How to Use" sheetId="12" r:id="R4894af8fcbeb41e7"/>
    <x:sheet xmlns:r="http://schemas.openxmlformats.org/officeDocument/2006/relationships" name="13 UI Program" sheetId="13" r:id="Rbc333fa0194f40b2"/>
    <x:sheet xmlns:r="http://schemas.openxmlformats.org/officeDocument/2006/relationships" name="14 UI Scorecard" sheetId="14" r:id="R34190c58cd124e82"/>
    <x:sheet xmlns:r="http://schemas.openxmlformats.org/officeDocument/2006/relationships" name="15 Motion Guidance" sheetId="15" r:id="R4070233315ef4da6"/>
    <x:sheet xmlns:r="http://schemas.openxmlformats.org/officeDocument/2006/relationships" name="16 Design Standards" sheetId="16" r:id="R35147ea195904762"/>
    <x:sheet xmlns:r="http://schemas.openxmlformats.org/officeDocument/2006/relationships" name="17 Corporate Platform" sheetId="17" r:id="R21efb30d63f14c5f"/>
    <x:sheet xmlns:r="http://schemas.openxmlformats.org/officeDocument/2006/relationships" name="18 Analytics Reuse Map" sheetId="18" r:id="Rd2f7088f3f1d4eee"/>
    <x:sheet xmlns:r="http://schemas.openxmlformats.org/officeDocument/2006/relationships" name="19 Executive Insights Discovery" sheetId="19" r:id="R42dcf3d53d804e82"/>
    <x:sheet xmlns:r="http://schemas.openxmlformats.org/officeDocument/2006/relationships" name="20 Procurement Insights Discovery" sheetId="20" r:id="R9ebeca765d474056"/>
    <x:sheet xmlns:r="http://schemas.openxmlformats.org/officeDocument/2006/relationships" name="21 Commercial Insights Discovery" sheetId="21" r:id="R5709d7c8caf142bd"/>
    <x:sheet xmlns:r="http://schemas.openxmlformats.org/officeDocument/2006/relationships" name="22 Project Insights Discovery" sheetId="22" r:id="R78399ce282e543d1"/>
    <x:sheet xmlns:r="http://schemas.openxmlformats.org/officeDocument/2006/relationships" name="23 Performance Discovery" sheetId="23" r:id="R25b5d10f35464259"/>
    <x:sheet xmlns:r="http://schemas.openxmlformats.org/officeDocument/2006/relationships" name="24 Risk Compliance Discovery" sheetId="24" r:id="R1c64c4d11f064e32"/>
    <x:sheet xmlns:r="http://schemas.openxmlformats.org/officeDocument/2006/relationships" name="25 Commercial Handoff" sheetId="25" r:id="R12cea294305542b2"/>
    <x:sheet xmlns:r="http://schemas.openxmlformats.org/officeDocument/2006/relationships" name="26 RFQ Governance" sheetId="26" r:id="R26bc798cfbda448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10610c170ce401f" /><Relationship Type="http://schemas.openxmlformats.org/officeDocument/2006/relationships/theme" Target="/xl/theme/theme1.xml" Id="R19e22854d92c4317" /><Relationship Type="http://schemas.openxmlformats.org/officeDocument/2006/relationships/sharedStrings" Target="/xl/sharedStrings.xml" Id="R3696e5aab2a84fcd" /><Relationship Type="http://schemas.openxmlformats.org/officeDocument/2006/relationships/worksheet" Target="/xl/worksheets/sheet1.xml" Id="Rf2fcefe704574933" /><Relationship Type="http://schemas.openxmlformats.org/officeDocument/2006/relationships/worksheet" Target="/xl/worksheets/sheet2.xml" Id="R584b6d84c5034f2f" /><Relationship Type="http://schemas.openxmlformats.org/officeDocument/2006/relationships/worksheet" Target="/xl/worksheets/sheet3.xml" Id="Rf0fcb87cc0714097" /><Relationship Type="http://schemas.openxmlformats.org/officeDocument/2006/relationships/worksheet" Target="/xl/worksheets/sheet4.xml" Id="R1e6a55f510b54e84" /><Relationship Type="http://schemas.openxmlformats.org/officeDocument/2006/relationships/worksheet" Target="/xl/worksheets/sheet5.xml" Id="R9123e9497f944fb5" /><Relationship Type="http://schemas.openxmlformats.org/officeDocument/2006/relationships/worksheet" Target="/xl/worksheets/sheet6.xml" Id="R247fec1305ef43cd" /><Relationship Type="http://schemas.openxmlformats.org/officeDocument/2006/relationships/worksheet" Target="/xl/worksheets/sheet7.xml" Id="Re36e31290abd4dc8" /><Relationship Type="http://schemas.openxmlformats.org/officeDocument/2006/relationships/worksheet" Target="/xl/worksheets/sheet8.xml" Id="R94bcbdc7c6094049" /><Relationship Type="http://schemas.openxmlformats.org/officeDocument/2006/relationships/worksheet" Target="/xl/worksheets/sheet9.xml" Id="R33e2923f6cd847f9" /><Relationship Type="http://schemas.openxmlformats.org/officeDocument/2006/relationships/worksheet" Target="/xl/worksheets/sheet10.xml" Id="R92c67b21676a4cfc" /><Relationship Type="http://schemas.openxmlformats.org/officeDocument/2006/relationships/worksheet" Target="/xl/worksheets/sheet11.xml" Id="R8eff708d979e48e2" /><Relationship Type="http://schemas.openxmlformats.org/officeDocument/2006/relationships/worksheet" Target="/xl/worksheets/sheet12.xml" Id="R4894af8fcbeb41e7" /><Relationship Type="http://schemas.openxmlformats.org/officeDocument/2006/relationships/worksheet" Target="/xl/worksheets/sheet13.xml" Id="Rbc333fa0194f40b2" /><Relationship Type="http://schemas.openxmlformats.org/officeDocument/2006/relationships/worksheet" Target="/xl/worksheets/sheet14.xml" Id="R34190c58cd124e82" /><Relationship Type="http://schemas.openxmlformats.org/officeDocument/2006/relationships/worksheet" Target="/xl/worksheets/sheet15.xml" Id="R4070233315ef4da6" /><Relationship Type="http://schemas.openxmlformats.org/officeDocument/2006/relationships/worksheet" Target="/xl/worksheets/sheet16.xml" Id="R35147ea195904762" /><Relationship Type="http://schemas.openxmlformats.org/officeDocument/2006/relationships/worksheet" Target="/xl/worksheets/sheet17.xml" Id="R21efb30d63f14c5f" /><Relationship Type="http://schemas.openxmlformats.org/officeDocument/2006/relationships/worksheet" Target="/xl/worksheets/sheet18.xml" Id="Rd2f7088f3f1d4eee" /><Relationship Type="http://schemas.openxmlformats.org/officeDocument/2006/relationships/worksheet" Target="/xl/worksheets/sheet19.xml" Id="R42dcf3d53d804e82" /><Relationship Type="http://schemas.openxmlformats.org/officeDocument/2006/relationships/worksheet" Target="/xl/worksheets/sheet20.xml" Id="R9ebeca765d474056" /><Relationship Type="http://schemas.openxmlformats.org/officeDocument/2006/relationships/worksheet" Target="/xl/worksheets/sheet21.xml" Id="R5709d7c8caf142bd" /><Relationship Type="http://schemas.openxmlformats.org/officeDocument/2006/relationships/worksheet" Target="/xl/worksheets/sheet22.xml" Id="R78399ce282e543d1" /><Relationship Type="http://schemas.openxmlformats.org/officeDocument/2006/relationships/worksheet" Target="/xl/worksheets/sheet23.xml" Id="R25b5d10f35464259" /><Relationship Type="http://schemas.openxmlformats.org/officeDocument/2006/relationships/worksheet" Target="/xl/worksheets/sheet24.xml" Id="R1c64c4d11f064e32" /><Relationship Type="http://schemas.openxmlformats.org/officeDocument/2006/relationships/worksheet" Target="/xl/worksheets/sheet25.xml" Id="R12cea294305542b2" /><Relationship Type="http://schemas.openxmlformats.org/officeDocument/2006/relationships/worksheet" Target="/xl/worksheets/sheet26.xml" Id="R26bc798cfbda448d" /></Relationships>
</file>

<file path=xl/drawings/_rels/drawing1.xml.rels>&#65279;<?xml version="1.0" encoding="utf-8"?><Relationships xmlns="http://schemas.openxmlformats.org/package/2006/relationships"><Relationship Type="http://schemas.openxmlformats.org/officeDocument/2006/relationships/chart" Target="/xl/drawings/charts/chart1.xml" Id="Ra9bbc0ec7db849c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9bbc0ec7db849c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c5e3c1fb21e40f6" /></Relationships>
</file>

<file path=xl/worksheets/_rels/sheet2.xml.rels>&#65279;<?xml version="1.0" encoding="utf-8"?><Relationships xmlns="http://schemas.openxmlformats.org/package/2006/relationships"><Relationship Type="http://schemas.openxmlformats.org/officeDocument/2006/relationships/table" Target="/xl/tables/table2.xml" Id="R09765dab6b1e4508" /></Relationships>
</file>

<file path=xl/worksheets/_rels/sheet3.xml.rels>&#65279;<?xml version="1.0" encoding="utf-8"?><Relationships xmlns="http://schemas.openxmlformats.org/package/2006/relationships"><Relationship Type="http://schemas.openxmlformats.org/officeDocument/2006/relationships/drawing" Target="/xl/drawings/drawing1.xml" Id="R61b392b286844a8a" /></Relationships>
</file>

<file path=xl/worksheets/_rels/sheet4.xml.rels>&#65279;<?xml version="1.0" encoding="utf-8"?><Relationships xmlns="http://schemas.openxmlformats.org/package/2006/relationships"><Relationship Type="http://schemas.openxmlformats.org/officeDocument/2006/relationships/table" Target="/xl/tables/table3.xml" Id="Ra2c04d483a3040df" /></Relationships>
</file>

<file path=xl/worksheets/_rels/sheet5.xml.rels>&#65279;<?xml version="1.0" encoding="utf-8"?><Relationships xmlns="http://schemas.openxmlformats.org/package/2006/relationships"><Relationship Type="http://schemas.openxmlformats.org/officeDocument/2006/relationships/table" Target="/xl/tables/table4.xml" Id="R183712d92a8e4639" /></Relationships>
</file>

<file path=xl/worksheets/_rels/sheet6.xml.rels>&#65279;<?xml version="1.0" encoding="utf-8"?><Relationships xmlns="http://schemas.openxmlformats.org/package/2006/relationships"><Relationship Type="http://schemas.openxmlformats.org/officeDocument/2006/relationships/table" Target="/xl/tables/table5.xml" Id="R1bc846409b2e4102" /></Relationships>
</file>

<file path=xl/worksheets/_rels/sheet7.xml.rels>&#65279;<?xml version="1.0" encoding="utf-8"?><Relationships xmlns="http://schemas.openxmlformats.org/package/2006/relationships"><Relationship Type="http://schemas.openxmlformats.org/officeDocument/2006/relationships/table" Target="/xl/tables/table6.xml" Id="Red7115fdad674a6f" /></Relationships>
</file>

<file path=xl/worksheets/_rels/sheet9.xml.rels>&#65279;<?xml version="1.0" encoding="utf-8"?><Relationships xmlns="http://schemas.openxmlformats.org/package/2006/relationships"><Relationship Type="http://schemas.openxmlformats.org/officeDocument/2006/relationships/table" Target="/xl/tables/table7.xml" Id="R6a6770b6830f429c" /></Relationships>
</file>

<file path=xl/worksheets/_rels/sheet10.xml.rels>&#65279;<?xml version="1.0" encoding="utf-8"?><Relationships xmlns="http://schemas.openxmlformats.org/package/2006/relationships"><Relationship Type="http://schemas.openxmlformats.org/officeDocument/2006/relationships/table" Target="/xl/tables/table8.xml" Id="R11c5870baf034df0" /></Relationships>
</file>

<file path=xl/worksheets/_rels/sheet11.xml.rels>&#65279;<?xml version="1.0" encoding="utf-8"?><Relationships xmlns="http://schemas.openxmlformats.org/package/2006/relationships"><Relationship Type="http://schemas.openxmlformats.org/officeDocument/2006/relationships/table" Target="/xl/tables/table9.xml" Id="R60b13e24db29449e" /></Relationships>
</file>

<file path=xl/worksheets/_rels/sheet13.xml.rels>&#65279;<?xml version="1.0" encoding="utf-8"?><Relationships xmlns="http://schemas.openxmlformats.org/package/2006/relationships"><Relationship Type="http://schemas.openxmlformats.org/officeDocument/2006/relationships/table" Target="/xl/tables/table10.xml" Id="Rcef459745c2d462e" /></Relationships>
</file>

<file path=xl/worksheets/_rels/sheet14.xml.rels>&#65279;<?xml version="1.0" encoding="utf-8"?><Relationships xmlns="http://schemas.openxmlformats.org/package/2006/relationships"><Relationship Type="http://schemas.openxmlformats.org/officeDocument/2006/relationships/table" Target="/xl/tables/table11.xml" Id="R90e9d35ebabb43f1" /></Relationships>
</file>

<file path=xl/worksheets/_rels/sheet15.xml.rels>&#65279;<?xml version="1.0" encoding="utf-8"?><Relationships xmlns="http://schemas.openxmlformats.org/package/2006/relationships"><Relationship Type="http://schemas.openxmlformats.org/officeDocument/2006/relationships/table" Target="/xl/tables/table12.xml" Id="Re81224ed74ee40ff" /></Relationships>
</file>

<file path=xl/worksheets/_rels/sheet16.xml.rels>&#65279;<?xml version="1.0" encoding="utf-8"?><Relationships xmlns="http://schemas.openxmlformats.org/package/2006/relationships"><Relationship Type="http://schemas.openxmlformats.org/officeDocument/2006/relationships/table" Target="/xl/tables/table13.xml" Id="R33df68bd93cd45cd"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c5e3c1fb21e40f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9765dab6b1e450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258</x:v>
      </x:c>
      <x:c r="D6" s="133" t="inlineStr">
        <x:is>
          <x:t xml:space="preserve">G0A — Corporate platform architecture ready</x:t>
        </x:is>
      </x:c>
      <x:c r="E6" s="32" t="str">
        <x:f>'03 Launch Gates'!D20</x:f>
        <x:v>Completed</x:v>
      </x:c>
      <x:c r="G6" t="inlineStr">
        <x:is>
          <x:t xml:space="preserve">UI Tasks Complete</x:t>
        </x:is>
      </x:c>
      <x:c r="H6" t="n">
        <x:f>SUM(B36:B46)</x:f>
        <x:v>36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0.7029972752043597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0.7236363636363636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x:v>
      </x:c>
      <x:c r="C37" s="133" t="n">
        <x:f>COUNTIFS('01 Master Plan'!C$5:C$383,A37,'01 Master Plan'!H$5:H$383,"In Progress")</x:f>
        <x:v>0</x:v>
      </x:c>
      <x:c r="D37" s="133" t="n">
        <x:f>COUNTIFS('01 Master Plan'!C$5:C$383,A37,'01 Master Plan'!H$5:H$383,"Not Started")</x:f>
        <x:v>11</x:v>
      </x:c>
      <x:c r="E37" s="133" t="n">
        <x:f>COUNTIFS('01 Master Plan'!C$5:C$383,A37,'01 Master Plan'!H$5:H$383,"Blocked")</x:f>
        <x:v>0</x:v>
      </x:c>
      <x:c r="F37" s="133" t="n">
        <x:f>COUNTIFS('01 Master Plan'!C$5:C$383,A37,'01 Master Plan'!H$5:H$383,"Deferred")</x:f>
        <x:v>0</x:v>
      </x:c>
      <x:c r="G37" s="255" t="n">
        <x:f>IFERROR(B37/(B37+C37+D37+E37),0)</x:f>
        <x:v>0.08333333333333333</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1b392b286844a8a"/>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2c04d483a3040df"/>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183712d92a8e463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1bc846409b2e410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ed7115fdad674a6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6a6770b6830f429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1c5870baf034df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0b13e24db29449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started. 13B-01 complete: application dark semantic color source centralized in globals.css/@theme and executive-contract rendered styles; visual behavior preserved. Next: 13B-02 light-mode compatibility strategy.</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cef459745c2d462e"/>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0e9d35ebabb43f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81224ed74ee40ff"/>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3df68bd93cd45cd"/>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