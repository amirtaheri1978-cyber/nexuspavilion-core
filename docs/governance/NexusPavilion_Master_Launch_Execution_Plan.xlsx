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a2c6c7af02c4523" /></Relationships>
</file>

<file path=xl/workbook.xml><?xml version="1.0" encoding="utf-8"?>
<x:workbook xmlns:x="http://schemas.openxmlformats.org/spreadsheetml/2006/main">
  <x:sheets>
    <x:sheet xmlns:r="http://schemas.openxmlformats.org/officeDocument/2006/relationships" name="01 Master Plan" sheetId="1" r:id="R52368a8255ea4916"/>
    <x:sheet xmlns:r="http://schemas.openxmlformats.org/officeDocument/2006/relationships" name="03 Launch Gates" sheetId="2" r:id="Ra8a4e4baff614823"/>
    <x:sheet xmlns:r="http://schemas.openxmlformats.org/officeDocument/2006/relationships" name="00 Dashboard" sheetId="3" r:id="R3334aac196274654"/>
    <x:sheet xmlns:r="http://schemas.openxmlformats.org/officeDocument/2006/relationships" name="04 Cursor Tasks" sheetId="4" r:id="Rec053fecf50f43e6"/>
    <x:sheet xmlns:r="http://schemas.openxmlformats.org/officeDocument/2006/relationships" name="05 UAT Matrix" sheetId="5" r:id="R780b3c276ae444f0"/>
    <x:sheet xmlns:r="http://schemas.openxmlformats.org/officeDocument/2006/relationships" name="06 Security Matrix" sheetId="6" r:id="Rd872bb380c9d433d"/>
    <x:sheet xmlns:r="http://schemas.openxmlformats.org/officeDocument/2006/relationships" name="07 Risks" sheetId="7" r:id="R27523642216e4e6a"/>
    <x:sheet xmlns:r="http://schemas.openxmlformats.org/officeDocument/2006/relationships" name="08 Architecture" sheetId="8" r:id="R048a96b314624499"/>
    <x:sheet xmlns:r="http://schemas.openxmlformats.org/officeDocument/2006/relationships" name="09 Release Checklist" sheetId="9" r:id="R95d59d3efc6b4147"/>
    <x:sheet xmlns:r="http://schemas.openxmlformats.org/officeDocument/2006/relationships" name="10 Change Log" sheetId="10" r:id="R934589bf15374f61"/>
    <x:sheet xmlns:r="http://schemas.openxmlformats.org/officeDocument/2006/relationships" name="11 Scope &amp; Roadmap" sheetId="11" r:id="R80ac6db0c45e455c"/>
    <x:sheet xmlns:r="http://schemas.openxmlformats.org/officeDocument/2006/relationships" name="12 How to Use" sheetId="12" r:id="Ra26a73fe2f7247a9"/>
    <x:sheet xmlns:r="http://schemas.openxmlformats.org/officeDocument/2006/relationships" name="13 UI Program" sheetId="13" r:id="R68c9195fb88848e9"/>
    <x:sheet xmlns:r="http://schemas.openxmlformats.org/officeDocument/2006/relationships" name="14 UI Scorecard" sheetId="14" r:id="R675ab8c1b724434e"/>
    <x:sheet xmlns:r="http://schemas.openxmlformats.org/officeDocument/2006/relationships" name="15 Motion Guidance" sheetId="15" r:id="Re8160250048540ca"/>
    <x:sheet xmlns:r="http://schemas.openxmlformats.org/officeDocument/2006/relationships" name="16 Design Standards" sheetId="16" r:id="R4d32696f69cc49df"/>
    <x:sheet xmlns:r="http://schemas.openxmlformats.org/officeDocument/2006/relationships" name="17 Corporate Platform" sheetId="17" r:id="R1a2e9770a56c4ebc"/>
    <x:sheet xmlns:r="http://schemas.openxmlformats.org/officeDocument/2006/relationships" name="18 Analytics Reuse Map" sheetId="18" r:id="R092afa33d1ee4f48"/>
    <x:sheet xmlns:r="http://schemas.openxmlformats.org/officeDocument/2006/relationships" name="19 Executive Insights Discovery" sheetId="19" r:id="R0861cd9153494ea5"/>
    <x:sheet xmlns:r="http://schemas.openxmlformats.org/officeDocument/2006/relationships" name="20 Procurement Insights Discovery" sheetId="20" r:id="R4b06bf245436402b"/>
    <x:sheet xmlns:r="http://schemas.openxmlformats.org/officeDocument/2006/relationships" name="21 Commercial Insights Discovery" sheetId="21" r:id="Rf76704ca9a644862"/>
    <x:sheet xmlns:r="http://schemas.openxmlformats.org/officeDocument/2006/relationships" name="22 Project Insights Discovery" sheetId="22" r:id="R89749111e6e046f9"/>
    <x:sheet xmlns:r="http://schemas.openxmlformats.org/officeDocument/2006/relationships" name="23 Performance Discovery" sheetId="23" r:id="R69df981229784ac1"/>
    <x:sheet xmlns:r="http://schemas.openxmlformats.org/officeDocument/2006/relationships" name="24 Risk Compliance Discovery" sheetId="24" r:id="R3e5fd5f0c38f4eca"/>
    <x:sheet xmlns:r="http://schemas.openxmlformats.org/officeDocument/2006/relationships" name="25 Commercial Handoff" sheetId="25" r:id="R53ea435bcf30475a"/>
    <x:sheet xmlns:r="http://schemas.openxmlformats.org/officeDocument/2006/relationships" name="26 RFQ Governance" sheetId="26" r:id="Rdcc3f7d8e3fa4df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17a7cfa5ef94604" /><Relationship Type="http://schemas.openxmlformats.org/officeDocument/2006/relationships/theme" Target="/xl/theme/theme1.xml" Id="Rc870d731f1464d84" /><Relationship Type="http://schemas.openxmlformats.org/officeDocument/2006/relationships/sharedStrings" Target="/xl/sharedStrings.xml" Id="Rb5532e304bf34bd4" /><Relationship Type="http://schemas.openxmlformats.org/officeDocument/2006/relationships/worksheet" Target="/xl/worksheets/sheet1.xml" Id="R52368a8255ea4916" /><Relationship Type="http://schemas.openxmlformats.org/officeDocument/2006/relationships/worksheet" Target="/xl/worksheets/sheet2.xml" Id="Ra8a4e4baff614823" /><Relationship Type="http://schemas.openxmlformats.org/officeDocument/2006/relationships/worksheet" Target="/xl/worksheets/sheet3.xml" Id="R3334aac196274654" /><Relationship Type="http://schemas.openxmlformats.org/officeDocument/2006/relationships/worksheet" Target="/xl/worksheets/sheet4.xml" Id="Rec053fecf50f43e6" /><Relationship Type="http://schemas.openxmlformats.org/officeDocument/2006/relationships/worksheet" Target="/xl/worksheets/sheet5.xml" Id="R780b3c276ae444f0" /><Relationship Type="http://schemas.openxmlformats.org/officeDocument/2006/relationships/worksheet" Target="/xl/worksheets/sheet6.xml" Id="Rd872bb380c9d433d" /><Relationship Type="http://schemas.openxmlformats.org/officeDocument/2006/relationships/worksheet" Target="/xl/worksheets/sheet7.xml" Id="R27523642216e4e6a" /><Relationship Type="http://schemas.openxmlformats.org/officeDocument/2006/relationships/worksheet" Target="/xl/worksheets/sheet8.xml" Id="R048a96b314624499" /><Relationship Type="http://schemas.openxmlformats.org/officeDocument/2006/relationships/worksheet" Target="/xl/worksheets/sheet9.xml" Id="R95d59d3efc6b4147" /><Relationship Type="http://schemas.openxmlformats.org/officeDocument/2006/relationships/worksheet" Target="/xl/worksheets/sheet10.xml" Id="R934589bf15374f61" /><Relationship Type="http://schemas.openxmlformats.org/officeDocument/2006/relationships/worksheet" Target="/xl/worksheets/sheet11.xml" Id="R80ac6db0c45e455c" /><Relationship Type="http://schemas.openxmlformats.org/officeDocument/2006/relationships/worksheet" Target="/xl/worksheets/sheet12.xml" Id="Ra26a73fe2f7247a9" /><Relationship Type="http://schemas.openxmlformats.org/officeDocument/2006/relationships/worksheet" Target="/xl/worksheets/sheet13.xml" Id="R68c9195fb88848e9" /><Relationship Type="http://schemas.openxmlformats.org/officeDocument/2006/relationships/worksheet" Target="/xl/worksheets/sheet14.xml" Id="R675ab8c1b724434e" /><Relationship Type="http://schemas.openxmlformats.org/officeDocument/2006/relationships/worksheet" Target="/xl/worksheets/sheet15.xml" Id="Re8160250048540ca" /><Relationship Type="http://schemas.openxmlformats.org/officeDocument/2006/relationships/worksheet" Target="/xl/worksheets/sheet16.xml" Id="R4d32696f69cc49df" /><Relationship Type="http://schemas.openxmlformats.org/officeDocument/2006/relationships/worksheet" Target="/xl/worksheets/sheet17.xml" Id="R1a2e9770a56c4ebc" /><Relationship Type="http://schemas.openxmlformats.org/officeDocument/2006/relationships/worksheet" Target="/xl/worksheets/sheet18.xml" Id="R092afa33d1ee4f48" /><Relationship Type="http://schemas.openxmlformats.org/officeDocument/2006/relationships/worksheet" Target="/xl/worksheets/sheet19.xml" Id="R0861cd9153494ea5" /><Relationship Type="http://schemas.openxmlformats.org/officeDocument/2006/relationships/worksheet" Target="/xl/worksheets/sheet20.xml" Id="R4b06bf245436402b" /><Relationship Type="http://schemas.openxmlformats.org/officeDocument/2006/relationships/worksheet" Target="/xl/worksheets/sheet21.xml" Id="Rf76704ca9a644862" /><Relationship Type="http://schemas.openxmlformats.org/officeDocument/2006/relationships/worksheet" Target="/xl/worksheets/sheet22.xml" Id="R89749111e6e046f9" /><Relationship Type="http://schemas.openxmlformats.org/officeDocument/2006/relationships/worksheet" Target="/xl/worksheets/sheet23.xml" Id="R69df981229784ac1" /><Relationship Type="http://schemas.openxmlformats.org/officeDocument/2006/relationships/worksheet" Target="/xl/worksheets/sheet24.xml" Id="R3e5fd5f0c38f4eca" /><Relationship Type="http://schemas.openxmlformats.org/officeDocument/2006/relationships/worksheet" Target="/xl/worksheets/sheet25.xml" Id="R53ea435bcf30475a" /><Relationship Type="http://schemas.openxmlformats.org/officeDocument/2006/relationships/worksheet" Target="/xl/worksheets/sheet26.xml" Id="Rdcc3f7d8e3fa4dfc" /></Relationships>
</file>

<file path=xl/drawings/_rels/drawing1.xml.rels>&#65279;<?xml version="1.0" encoding="utf-8"?><Relationships xmlns="http://schemas.openxmlformats.org/package/2006/relationships"><Relationship Type="http://schemas.openxmlformats.org/officeDocument/2006/relationships/chart" Target="/xl/drawings/charts/chart1.xml" Id="R9e9398747b04448a"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e9398747b04448a"/>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613e711e6744af3" /></Relationships>
</file>

<file path=xl/worksheets/_rels/sheet2.xml.rels>&#65279;<?xml version="1.0" encoding="utf-8"?><Relationships xmlns="http://schemas.openxmlformats.org/package/2006/relationships"><Relationship Type="http://schemas.openxmlformats.org/officeDocument/2006/relationships/table" Target="/xl/tables/table2.xml" Id="R22c51ce898124d01" /></Relationships>
</file>

<file path=xl/worksheets/_rels/sheet3.xml.rels>&#65279;<?xml version="1.0" encoding="utf-8"?><Relationships xmlns="http://schemas.openxmlformats.org/package/2006/relationships"><Relationship Type="http://schemas.openxmlformats.org/officeDocument/2006/relationships/drawing" Target="/xl/drawings/drawing1.xml" Id="R9523d23581174d3f" /></Relationships>
</file>

<file path=xl/worksheets/_rels/sheet4.xml.rels>&#65279;<?xml version="1.0" encoding="utf-8"?><Relationships xmlns="http://schemas.openxmlformats.org/package/2006/relationships"><Relationship Type="http://schemas.openxmlformats.org/officeDocument/2006/relationships/table" Target="/xl/tables/table3.xml" Id="R55ff836675214916" /></Relationships>
</file>

<file path=xl/worksheets/_rels/sheet5.xml.rels>&#65279;<?xml version="1.0" encoding="utf-8"?><Relationships xmlns="http://schemas.openxmlformats.org/package/2006/relationships"><Relationship Type="http://schemas.openxmlformats.org/officeDocument/2006/relationships/table" Target="/xl/tables/table4.xml" Id="Reae7509f147f4e30" /></Relationships>
</file>

<file path=xl/worksheets/_rels/sheet6.xml.rels>&#65279;<?xml version="1.0" encoding="utf-8"?><Relationships xmlns="http://schemas.openxmlformats.org/package/2006/relationships"><Relationship Type="http://schemas.openxmlformats.org/officeDocument/2006/relationships/table" Target="/xl/tables/table5.xml" Id="Rc14b767d6f9c49e2" /></Relationships>
</file>

<file path=xl/worksheets/_rels/sheet7.xml.rels>&#65279;<?xml version="1.0" encoding="utf-8"?><Relationships xmlns="http://schemas.openxmlformats.org/package/2006/relationships"><Relationship Type="http://schemas.openxmlformats.org/officeDocument/2006/relationships/table" Target="/xl/tables/table6.xml" Id="R68729f83fee2479e" /></Relationships>
</file>

<file path=xl/worksheets/_rels/sheet9.xml.rels>&#65279;<?xml version="1.0" encoding="utf-8"?><Relationships xmlns="http://schemas.openxmlformats.org/package/2006/relationships"><Relationship Type="http://schemas.openxmlformats.org/officeDocument/2006/relationships/table" Target="/xl/tables/table7.xml" Id="R5ecbb68ee7eb41de" /></Relationships>
</file>

<file path=xl/worksheets/_rels/sheet10.xml.rels>&#65279;<?xml version="1.0" encoding="utf-8"?><Relationships xmlns="http://schemas.openxmlformats.org/package/2006/relationships"><Relationship Type="http://schemas.openxmlformats.org/officeDocument/2006/relationships/table" Target="/xl/tables/table8.xml" Id="Rd12f87dfb4ce444c" /></Relationships>
</file>

<file path=xl/worksheets/_rels/sheet11.xml.rels>&#65279;<?xml version="1.0" encoding="utf-8"?><Relationships xmlns="http://schemas.openxmlformats.org/package/2006/relationships"><Relationship Type="http://schemas.openxmlformats.org/officeDocument/2006/relationships/table" Target="/xl/tables/table9.xml" Id="Ref1baa6bb5e64820" /></Relationships>
</file>

<file path=xl/worksheets/_rels/sheet13.xml.rels>&#65279;<?xml version="1.0" encoding="utf-8"?><Relationships xmlns="http://schemas.openxmlformats.org/package/2006/relationships"><Relationship Type="http://schemas.openxmlformats.org/officeDocument/2006/relationships/table" Target="/xl/tables/table10.xml" Id="R916f18c7cd0f4afa" /></Relationships>
</file>

<file path=xl/worksheets/_rels/sheet14.xml.rels>&#65279;<?xml version="1.0" encoding="utf-8"?><Relationships xmlns="http://schemas.openxmlformats.org/package/2006/relationships"><Relationship Type="http://schemas.openxmlformats.org/officeDocument/2006/relationships/table" Target="/xl/tables/table11.xml" Id="R10db5c27df7142ba" /></Relationships>
</file>

<file path=xl/worksheets/_rels/sheet15.xml.rels>&#65279;<?xml version="1.0" encoding="utf-8"?><Relationships xmlns="http://schemas.openxmlformats.org/package/2006/relationships"><Relationship Type="http://schemas.openxmlformats.org/officeDocument/2006/relationships/table" Target="/xl/tables/table12.xml" Id="R8089cdf46a494cae" /></Relationships>
</file>

<file path=xl/worksheets/_rels/sheet16.xml.rels>&#65279;<?xml version="1.0" encoding="utf-8"?><Relationships xmlns="http://schemas.openxmlformats.org/package/2006/relationships"><Relationship Type="http://schemas.openxmlformats.org/officeDocument/2006/relationships/table" Target="/xl/tables/table13.xml" Id="R7dcc7d29ae304653"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f>IF(H218="Completed","✓",IF(H218="Blocked","!",""))</x:f>
      </x:c>
      <x:c r="B218" s="133" t="inlineStr">
        <x:is>
          <x:t xml:space="preserve">20-12</x:t>
        </x:is>
      </x:c>
      <x:c r="C218" s="133" t="inlineStr">
        <x:is>
          <x:t xml:space="preserve">20 Launch Documentation</x:t>
        </x:is>
      </x:c>
      <x:c r="D218" s="133" t="inlineStr">
        <x:is>
          <x:t xml:space="preserve">Documentation</x:t>
        </x:is>
      </x:c>
      <x:c r="E218" s="133" t="inlineStr">
        <x:is>
          <x:t xml:space="preserve">Privacy/Security Overview</x:t>
        </x:is>
      </x:c>
      <x:c r="F218" s="133" t="inlineStr">
        <x:is>
          <x:t xml:space="preserve">High-level confidentiality and access model documented.</x:t>
        </x:is>
      </x:c>
      <x:c r="G218" s="133" t="inlineStr">
        <x:is>
          <x:t xml:space="preserve">P0</x:t>
        </x:is>
      </x:c>
      <x:c r="H218" s="133" t="inlineStr">
        <x:is>
          <x:t xml:space="preserve">Not Started</x:t>
        </x:is>
      </x:c>
      <x:c r="I218" s="133" t="str"/>
      <x:c r="J218" s="133" t="str"/>
      <x:c r="K218" s="133" t="str"/>
      <x:c r="L218" s="133" t="inlineStr">
        <x:is>
          <x:t xml:space="preserve">G11</x:t>
        </x:is>
      </x:c>
      <x:c r="M218" s="133" t="str"/>
      <x:c r="N218" s="249" t="n"/>
      <x:c r="O218" s="249" t="n"/>
      <x:c r="P218" s="32" t="str"/>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5613e711e6744af3"/>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In Progress</x:v>
      </x:c>
      <x:c r="E16" s="133" t="str">
        <x:v>Project Owner / Engineering</x:v>
      </x:c>
      <x:c r="F16" s="133" t="str">
        <x:v>G11 IN PROGRESS — Phase 20 Launch Documentation is nearly complete. 20-01 through 20-11 are published and closed, including the consolidated FAQ &amp; Support path. The support route is documented through the authenticated application footer to /contact, with Technical Support inquiry handling and contact@nexuspavilion.com as the published corporate channel. G11 remains open pending 20-12 Privacy/Security Overview and the final Phase 20 internal-consistency review.</x:v>
      </x:c>
      <x:c r="G16" s="249" t="n">
        <x:v>46295</x:v>
      </x:c>
      <x:c r="H16" s="32" t="str">
        <x:v>Do not mark G11 complete until 20-12 is complete and the full Phase 20 documentation set has received its final internal-consistency review.</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22c51ce898124d01"/>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243</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0.662125340599455</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0.6690909090909091</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10</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In Progress</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11</x:v>
      </x:c>
      <x:c r="C53" s="28" t="n">
        <x:f>COUNTIFS('01 Master Plan'!C$5:C$383,A53,'01 Master Plan'!H$5:H$383,"In Progress")</x:f>
        <x:v>0</x:v>
      </x:c>
      <x:c r="D53" s="28" t="n">
        <x:f>COUNTIFS('01 Master Plan'!C$5:C$383,A53,'01 Master Plan'!H$5:H$383,"Not Started")</x:f>
        <x:v>1</x:v>
      </x:c>
      <x:c r="E53" s="28" t="n">
        <x:f>COUNTIFS('01 Master Plan'!C$5:C$383,A53,'01 Master Plan'!H$5:H$383,"Blocked")</x:f>
        <x:v>0</x:v>
      </x:c>
      <x:c r="F53" s="28" t="n">
        <x:f>COUNTIFS('01 Master Plan'!C$5:C$383,A53,'01 Master Plan'!H$5:H$383,"Deferred")</x:f>
        <x:v>0</x:v>
      </x:c>
      <x:c r="G53" s="258" t="n">
        <x:f>IFERROR(B53/(B53+C53+D53+E53),0)</x:f>
        <x:v>0.9166666666666666</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9523d23581174d3f"/>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55ff836675214916"/>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eae7509f147f4e30"/>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c14b767d6f9c49e2"/>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68729f83fee2479e"/>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5ecbb68ee7eb41de"/>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d12f87dfb4ce444c"/>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ef1baa6bb5e64820"/>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916f18c7cd0f4afa"/>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10db5c27df7142ba"/>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8089cdf46a494cae"/>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7dcc7d29ae304653"/>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