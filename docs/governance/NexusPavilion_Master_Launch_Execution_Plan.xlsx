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f163b25dea40f9" /></Relationships>
</file>

<file path=xl/workbook.xml><?xml version="1.0" encoding="utf-8"?>
<x:workbook xmlns:x="http://schemas.openxmlformats.org/spreadsheetml/2006/main">
  <x:sheets>
    <x:sheet xmlns:r="http://schemas.openxmlformats.org/officeDocument/2006/relationships" name="01 Master Plan" sheetId="1" r:id="R3b2dc733754c46e5"/>
    <x:sheet xmlns:r="http://schemas.openxmlformats.org/officeDocument/2006/relationships" name="03 Launch Gates" sheetId="2" r:id="Rec6a760ca5774663"/>
    <x:sheet xmlns:r="http://schemas.openxmlformats.org/officeDocument/2006/relationships" name="00 Dashboard" sheetId="3" r:id="Rf47309f6a4324306"/>
    <x:sheet xmlns:r="http://schemas.openxmlformats.org/officeDocument/2006/relationships" name="04 Cursor Tasks" sheetId="4" r:id="R387747af7d6c4e3e"/>
    <x:sheet xmlns:r="http://schemas.openxmlformats.org/officeDocument/2006/relationships" name="05 UAT Matrix" sheetId="5" r:id="Rd92360ec80104a8b"/>
    <x:sheet xmlns:r="http://schemas.openxmlformats.org/officeDocument/2006/relationships" name="06 Security Matrix" sheetId="6" r:id="R2e9d6b8564ab47b3"/>
    <x:sheet xmlns:r="http://schemas.openxmlformats.org/officeDocument/2006/relationships" name="07 Risks" sheetId="7" r:id="Rb77b6b90ea134150"/>
    <x:sheet xmlns:r="http://schemas.openxmlformats.org/officeDocument/2006/relationships" name="08 Architecture" sheetId="8" r:id="R6cea0819d0874ed2"/>
    <x:sheet xmlns:r="http://schemas.openxmlformats.org/officeDocument/2006/relationships" name="09 Release Checklist" sheetId="9" r:id="R81e57973a1da45c6"/>
    <x:sheet xmlns:r="http://schemas.openxmlformats.org/officeDocument/2006/relationships" name="10 Change Log" sheetId="10" r:id="Rad7efe5283ec420a"/>
    <x:sheet xmlns:r="http://schemas.openxmlformats.org/officeDocument/2006/relationships" name="11 Scope &amp; Roadmap" sheetId="11" r:id="Rbcf4138aa0674342"/>
    <x:sheet xmlns:r="http://schemas.openxmlformats.org/officeDocument/2006/relationships" name="12 How to Use" sheetId="12" r:id="Rf6c2d0f31d18446c"/>
    <x:sheet xmlns:r="http://schemas.openxmlformats.org/officeDocument/2006/relationships" name="13 UI Program" sheetId="13" r:id="Rc8831c9ca6594b54"/>
    <x:sheet xmlns:r="http://schemas.openxmlformats.org/officeDocument/2006/relationships" name="14 UI Scorecard" sheetId="14" r:id="Rebb9f40a8b8d43d9"/>
    <x:sheet xmlns:r="http://schemas.openxmlformats.org/officeDocument/2006/relationships" name="15 Motion Guidance" sheetId="15" r:id="R68e7cf85df6d4c35"/>
    <x:sheet xmlns:r="http://schemas.openxmlformats.org/officeDocument/2006/relationships" name="16 Design Standards" sheetId="16" r:id="R23e72564c0b5436c"/>
    <x:sheet xmlns:r="http://schemas.openxmlformats.org/officeDocument/2006/relationships" name="17 Corporate Platform" sheetId="17" r:id="R6c3f5b196dbb4193"/>
    <x:sheet xmlns:r="http://schemas.openxmlformats.org/officeDocument/2006/relationships" name="18 Analytics Reuse Map" sheetId="18" r:id="R2e036a892445434b"/>
    <x:sheet xmlns:r="http://schemas.openxmlformats.org/officeDocument/2006/relationships" name="19 Executive Insights Discovery" sheetId="19" r:id="Ree46ab77d7d84b5b"/>
    <x:sheet xmlns:r="http://schemas.openxmlformats.org/officeDocument/2006/relationships" name="20 Procurement Insights Discovery" sheetId="20" r:id="R2b341719bdb14205"/>
    <x:sheet xmlns:r="http://schemas.openxmlformats.org/officeDocument/2006/relationships" name="21 Commercial Insights Discovery" sheetId="21" r:id="R829c8fc73e98415e"/>
    <x:sheet xmlns:r="http://schemas.openxmlformats.org/officeDocument/2006/relationships" name="22 Project Insights Discovery" sheetId="22" r:id="R69cbec8ed4984fb2"/>
    <x:sheet xmlns:r="http://schemas.openxmlformats.org/officeDocument/2006/relationships" name="23 Performance Discovery" sheetId="23" r:id="Rbab19325071740a4"/>
    <x:sheet xmlns:r="http://schemas.openxmlformats.org/officeDocument/2006/relationships" name="24 Risk Compliance Discovery" sheetId="24" r:id="R3d0f2ae2abed4669"/>
    <x:sheet xmlns:r="http://schemas.openxmlformats.org/officeDocument/2006/relationships" name="25 Commercial Handoff" sheetId="25" r:id="R581de5ac19214018"/>
    <x:sheet xmlns:r="http://schemas.openxmlformats.org/officeDocument/2006/relationships" name="26 RFQ Governance" sheetId="26" r:id="R5148cf1815a0422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e4d4a1750734b26" /><Relationship Type="http://schemas.openxmlformats.org/officeDocument/2006/relationships/theme" Target="/xl/theme/theme1.xml" Id="Re6396d99a2734049" /><Relationship Type="http://schemas.openxmlformats.org/officeDocument/2006/relationships/sharedStrings" Target="/xl/sharedStrings.xml" Id="R56e53722637d4de3" /><Relationship Type="http://schemas.openxmlformats.org/officeDocument/2006/relationships/worksheet" Target="/xl/worksheets/sheet1.xml" Id="R3b2dc733754c46e5" /><Relationship Type="http://schemas.openxmlformats.org/officeDocument/2006/relationships/worksheet" Target="/xl/worksheets/sheet2.xml" Id="Rec6a760ca5774663" /><Relationship Type="http://schemas.openxmlformats.org/officeDocument/2006/relationships/worksheet" Target="/xl/worksheets/sheet3.xml" Id="Rf47309f6a4324306" /><Relationship Type="http://schemas.openxmlformats.org/officeDocument/2006/relationships/worksheet" Target="/xl/worksheets/sheet4.xml" Id="R387747af7d6c4e3e" /><Relationship Type="http://schemas.openxmlformats.org/officeDocument/2006/relationships/worksheet" Target="/xl/worksheets/sheet5.xml" Id="Rd92360ec80104a8b" /><Relationship Type="http://schemas.openxmlformats.org/officeDocument/2006/relationships/worksheet" Target="/xl/worksheets/sheet6.xml" Id="R2e9d6b8564ab47b3" /><Relationship Type="http://schemas.openxmlformats.org/officeDocument/2006/relationships/worksheet" Target="/xl/worksheets/sheet7.xml" Id="Rb77b6b90ea134150" /><Relationship Type="http://schemas.openxmlformats.org/officeDocument/2006/relationships/worksheet" Target="/xl/worksheets/sheet8.xml" Id="R6cea0819d0874ed2" /><Relationship Type="http://schemas.openxmlformats.org/officeDocument/2006/relationships/worksheet" Target="/xl/worksheets/sheet9.xml" Id="R81e57973a1da45c6" /><Relationship Type="http://schemas.openxmlformats.org/officeDocument/2006/relationships/worksheet" Target="/xl/worksheets/sheet10.xml" Id="Rad7efe5283ec420a" /><Relationship Type="http://schemas.openxmlformats.org/officeDocument/2006/relationships/worksheet" Target="/xl/worksheets/sheet11.xml" Id="Rbcf4138aa0674342" /><Relationship Type="http://schemas.openxmlformats.org/officeDocument/2006/relationships/worksheet" Target="/xl/worksheets/sheet12.xml" Id="Rf6c2d0f31d18446c" /><Relationship Type="http://schemas.openxmlformats.org/officeDocument/2006/relationships/worksheet" Target="/xl/worksheets/sheet13.xml" Id="Rc8831c9ca6594b54" /><Relationship Type="http://schemas.openxmlformats.org/officeDocument/2006/relationships/worksheet" Target="/xl/worksheets/sheet14.xml" Id="Rebb9f40a8b8d43d9" /><Relationship Type="http://schemas.openxmlformats.org/officeDocument/2006/relationships/worksheet" Target="/xl/worksheets/sheet15.xml" Id="R68e7cf85df6d4c35" /><Relationship Type="http://schemas.openxmlformats.org/officeDocument/2006/relationships/worksheet" Target="/xl/worksheets/sheet16.xml" Id="R23e72564c0b5436c" /><Relationship Type="http://schemas.openxmlformats.org/officeDocument/2006/relationships/worksheet" Target="/xl/worksheets/sheet17.xml" Id="R6c3f5b196dbb4193" /><Relationship Type="http://schemas.openxmlformats.org/officeDocument/2006/relationships/worksheet" Target="/xl/worksheets/sheet18.xml" Id="R2e036a892445434b" /><Relationship Type="http://schemas.openxmlformats.org/officeDocument/2006/relationships/worksheet" Target="/xl/worksheets/sheet19.xml" Id="Ree46ab77d7d84b5b" /><Relationship Type="http://schemas.openxmlformats.org/officeDocument/2006/relationships/worksheet" Target="/xl/worksheets/sheet20.xml" Id="R2b341719bdb14205" /><Relationship Type="http://schemas.openxmlformats.org/officeDocument/2006/relationships/worksheet" Target="/xl/worksheets/sheet21.xml" Id="R829c8fc73e98415e" /><Relationship Type="http://schemas.openxmlformats.org/officeDocument/2006/relationships/worksheet" Target="/xl/worksheets/sheet22.xml" Id="R69cbec8ed4984fb2" /><Relationship Type="http://schemas.openxmlformats.org/officeDocument/2006/relationships/worksheet" Target="/xl/worksheets/sheet23.xml" Id="Rbab19325071740a4" /><Relationship Type="http://schemas.openxmlformats.org/officeDocument/2006/relationships/worksheet" Target="/xl/worksheets/sheet24.xml" Id="R3d0f2ae2abed4669" /><Relationship Type="http://schemas.openxmlformats.org/officeDocument/2006/relationships/worksheet" Target="/xl/worksheets/sheet25.xml" Id="R581de5ac19214018" /><Relationship Type="http://schemas.openxmlformats.org/officeDocument/2006/relationships/worksheet" Target="/xl/worksheets/sheet26.xml" Id="R5148cf1815a0422d" /></Relationships>
</file>

<file path=xl/drawings/_rels/drawing1.xml.rels>&#65279;<?xml version="1.0" encoding="utf-8"?><Relationships xmlns="http://schemas.openxmlformats.org/package/2006/relationships"><Relationship Type="http://schemas.openxmlformats.org/officeDocument/2006/relationships/chart" Target="/xl/drawings/charts/chart1.xml" Id="R2cdd4f50f2ac4cb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dd4f50f2ac4cb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27a4a42cb1b48e1" /></Relationships>
</file>

<file path=xl/worksheets/_rels/sheet2.xml.rels>&#65279;<?xml version="1.0" encoding="utf-8"?><Relationships xmlns="http://schemas.openxmlformats.org/package/2006/relationships"><Relationship Type="http://schemas.openxmlformats.org/officeDocument/2006/relationships/table" Target="/xl/tables/table2.xml" Id="R0c968d8f92fc42dc" /></Relationships>
</file>

<file path=xl/worksheets/_rels/sheet3.xml.rels>&#65279;<?xml version="1.0" encoding="utf-8"?><Relationships xmlns="http://schemas.openxmlformats.org/package/2006/relationships"><Relationship Type="http://schemas.openxmlformats.org/officeDocument/2006/relationships/drawing" Target="/xl/drawings/drawing1.xml" Id="Rdbc4f248bb044748" /></Relationships>
</file>

<file path=xl/worksheets/_rels/sheet4.xml.rels>&#65279;<?xml version="1.0" encoding="utf-8"?><Relationships xmlns="http://schemas.openxmlformats.org/package/2006/relationships"><Relationship Type="http://schemas.openxmlformats.org/officeDocument/2006/relationships/table" Target="/xl/tables/table3.xml" Id="R586f16a1edb84eb4" /></Relationships>
</file>

<file path=xl/worksheets/_rels/sheet5.xml.rels>&#65279;<?xml version="1.0" encoding="utf-8"?><Relationships xmlns="http://schemas.openxmlformats.org/package/2006/relationships"><Relationship Type="http://schemas.openxmlformats.org/officeDocument/2006/relationships/table" Target="/xl/tables/table4.xml" Id="R0a06eddde4024a88" /></Relationships>
</file>

<file path=xl/worksheets/_rels/sheet6.xml.rels>&#65279;<?xml version="1.0" encoding="utf-8"?><Relationships xmlns="http://schemas.openxmlformats.org/package/2006/relationships"><Relationship Type="http://schemas.openxmlformats.org/officeDocument/2006/relationships/table" Target="/xl/tables/table5.xml" Id="R8775647c80594b1b" /></Relationships>
</file>

<file path=xl/worksheets/_rels/sheet7.xml.rels>&#65279;<?xml version="1.0" encoding="utf-8"?><Relationships xmlns="http://schemas.openxmlformats.org/package/2006/relationships"><Relationship Type="http://schemas.openxmlformats.org/officeDocument/2006/relationships/table" Target="/xl/tables/table6.xml" Id="R789bcac2303d4a47" /></Relationships>
</file>

<file path=xl/worksheets/_rels/sheet9.xml.rels>&#65279;<?xml version="1.0" encoding="utf-8"?><Relationships xmlns="http://schemas.openxmlformats.org/package/2006/relationships"><Relationship Type="http://schemas.openxmlformats.org/officeDocument/2006/relationships/table" Target="/xl/tables/table7.xml" Id="Rbd0030ecb4d8409c" /></Relationships>
</file>

<file path=xl/worksheets/_rels/sheet10.xml.rels>&#65279;<?xml version="1.0" encoding="utf-8"?><Relationships xmlns="http://schemas.openxmlformats.org/package/2006/relationships"><Relationship Type="http://schemas.openxmlformats.org/officeDocument/2006/relationships/table" Target="/xl/tables/table8.xml" Id="R0c6da418d8ab4972" /></Relationships>
</file>

<file path=xl/worksheets/_rels/sheet11.xml.rels>&#65279;<?xml version="1.0" encoding="utf-8"?><Relationships xmlns="http://schemas.openxmlformats.org/package/2006/relationships"><Relationship Type="http://schemas.openxmlformats.org/officeDocument/2006/relationships/table" Target="/xl/tables/table9.xml" Id="Ra3a540674a8e458b" /></Relationships>
</file>

<file path=xl/worksheets/_rels/sheet13.xml.rels>&#65279;<?xml version="1.0" encoding="utf-8"?><Relationships xmlns="http://schemas.openxmlformats.org/package/2006/relationships"><Relationship Type="http://schemas.openxmlformats.org/officeDocument/2006/relationships/table" Target="/xl/tables/table10.xml" Id="R48f44f689b034ece" /></Relationships>
</file>

<file path=xl/worksheets/_rels/sheet14.xml.rels>&#65279;<?xml version="1.0" encoding="utf-8"?><Relationships xmlns="http://schemas.openxmlformats.org/package/2006/relationships"><Relationship Type="http://schemas.openxmlformats.org/officeDocument/2006/relationships/table" Target="/xl/tables/table11.xml" Id="R4eabca74c3484d5f" /></Relationships>
</file>

<file path=xl/worksheets/_rels/sheet15.xml.rels>&#65279;<?xml version="1.0" encoding="utf-8"?><Relationships xmlns="http://schemas.openxmlformats.org/package/2006/relationships"><Relationship Type="http://schemas.openxmlformats.org/officeDocument/2006/relationships/table" Target="/xl/tables/table12.xml" Id="R341f33bc1edb4399" /></Relationships>
</file>

<file path=xl/worksheets/_rels/sheet16.xml.rels>&#65279;<?xml version="1.0" encoding="utf-8"?><Relationships xmlns="http://schemas.openxmlformats.org/package/2006/relationships"><Relationship Type="http://schemas.openxmlformats.org/officeDocument/2006/relationships/table" Target="/xl/tables/table13.xml" Id="R57cd081cb72b421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27a4a42cb1b48e1"/>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0c968d8f92fc42dc"/>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279</x:v>
      </x:c>
      <x:c r="D6" s="133" t="inlineStr">
        <x:is>
          <x:t xml:space="preserve">G0A — Corporate platform architecture ready</x:t>
        </x:is>
      </x:c>
      <x:c r="E6" s="32" t="str">
        <x:f>'03 Launch Gates'!D20</x:f>
        <x:v>Completed</x:v>
      </x:c>
      <x:c r="G6" t="inlineStr">
        <x:is>
          <x:t xml:space="preserve">UI Tasks Complete</x:t>
        </x:is>
      </x:c>
      <x:c r="H6" t="n">
        <x:f>SUM(B36:B46)</x:f>
        <x:v>57</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0.7602179836512262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0.7890909090909091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10</x:v>
      </x:c>
      <x:c r="C38" s="133" t="n">
        <x:f>COUNTIFS('01 Master Plan'!C$5:C$383,A38,'01 Master Plan'!H$5:H$383,"In Progress")</x:f>
        <x:v>0</x:v>
      </x:c>
      <x:c r="D38" s="133" t="n">
        <x:f>COUNTIFS('01 Master Plan'!C$5:C$383,A38,'01 Master Plan'!H$5:H$383,"Not Started")</x:f>
        <x:v>7</x:v>
      </x:c>
      <x:c r="E38" s="133" t="n">
        <x:f>COUNTIFS('01 Master Plan'!C$5:C$383,A38,'01 Master Plan'!H$5:H$383,"Blocked")</x:f>
        <x:v>0</x:v>
      </x:c>
      <x:c r="F38" s="133" t="n">
        <x:f>COUNTIFS('01 Master Plan'!C$5:C$383,A38,'01 Master Plan'!H$5:H$383,"Deferred")</x:f>
        <x:v>0</x:v>
      </x:c>
      <x:c r="G38" s="255" t="n">
        <x:f>IFERROR(B38/(B38+C38+D38+E38),0)</x:f>
        <x:v>0.5882352941176471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dbc4f248bb04474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86f16a1edb84eb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a06eddde4024a88"/>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775647c80594b1b"/>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789bcac2303d4a4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bd0030ecb4d8409c"/>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c6da418d8ab497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3a540674a8e458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13C-10 complete: buttons, form controls, date/deadline controls, badges/status chips, card roles, enterprise tables, confirmation dialogs, drawer/side-panel contract, tooltip/popover contract, and toast/inline-feedback contract. Next: 13C-11 Standardize loading/skeleton states.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8f44f689b034ece"/>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4eabca74c3484d5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341f33bc1edb4399"/>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57cd081cb72b421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