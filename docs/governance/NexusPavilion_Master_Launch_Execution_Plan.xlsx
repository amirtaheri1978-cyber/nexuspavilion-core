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5b7a31214784b7c" /></Relationships>
</file>

<file path=xl/workbook.xml><?xml version="1.0" encoding="utf-8"?>
<x:workbook xmlns:x="http://schemas.openxmlformats.org/spreadsheetml/2006/main">
  <x:sheets>
    <x:sheet xmlns:r="http://schemas.openxmlformats.org/officeDocument/2006/relationships" name="01 Master Plan" sheetId="1" r:id="Rb621924409cb4190"/>
    <x:sheet xmlns:r="http://schemas.openxmlformats.org/officeDocument/2006/relationships" name="03 Launch Gates" sheetId="2" r:id="R852838aa2bc04b9b"/>
    <x:sheet xmlns:r="http://schemas.openxmlformats.org/officeDocument/2006/relationships" name="00 Dashboard" sheetId="3" r:id="R24cbeece8d5e40b5"/>
    <x:sheet xmlns:r="http://schemas.openxmlformats.org/officeDocument/2006/relationships" name="04 Cursor Tasks" sheetId="4" r:id="R05f7c03382d34fb8"/>
    <x:sheet xmlns:r="http://schemas.openxmlformats.org/officeDocument/2006/relationships" name="05 UAT Matrix" sheetId="5" r:id="Rc1be5915e7e94f67"/>
    <x:sheet xmlns:r="http://schemas.openxmlformats.org/officeDocument/2006/relationships" name="06 Security Matrix" sheetId="6" r:id="R84fc0899d4454c4c"/>
    <x:sheet xmlns:r="http://schemas.openxmlformats.org/officeDocument/2006/relationships" name="07 Risks" sheetId="7" r:id="Rc202e13a9e294f96"/>
    <x:sheet xmlns:r="http://schemas.openxmlformats.org/officeDocument/2006/relationships" name="08 Architecture" sheetId="8" r:id="Rab281584642c4563"/>
    <x:sheet xmlns:r="http://schemas.openxmlformats.org/officeDocument/2006/relationships" name="09 Release Checklist" sheetId="9" r:id="R2ae6d44b63ee49c4"/>
    <x:sheet xmlns:r="http://schemas.openxmlformats.org/officeDocument/2006/relationships" name="10 Change Log" sheetId="10" r:id="R9e63073815134516"/>
    <x:sheet xmlns:r="http://schemas.openxmlformats.org/officeDocument/2006/relationships" name="11 Scope &amp; Roadmap" sheetId="11" r:id="Ra84be84ed21643d5"/>
    <x:sheet xmlns:r="http://schemas.openxmlformats.org/officeDocument/2006/relationships" name="12 How to Use" sheetId="12" r:id="Rb42a87a62b804c08"/>
    <x:sheet xmlns:r="http://schemas.openxmlformats.org/officeDocument/2006/relationships" name="13 UI Program" sheetId="13" r:id="Ra6fef072399f47e7"/>
    <x:sheet xmlns:r="http://schemas.openxmlformats.org/officeDocument/2006/relationships" name="14 UI Scorecard" sheetId="14" r:id="Rd0b596a657e844a1"/>
    <x:sheet xmlns:r="http://schemas.openxmlformats.org/officeDocument/2006/relationships" name="15 Motion Guidance" sheetId="15" r:id="R84d4e6ca8ac843b0"/>
    <x:sheet xmlns:r="http://schemas.openxmlformats.org/officeDocument/2006/relationships" name="16 Design Standards" sheetId="16" r:id="R17f7df91c0b34749"/>
    <x:sheet xmlns:r="http://schemas.openxmlformats.org/officeDocument/2006/relationships" name="17 Corporate Platform" sheetId="17" r:id="Rc70a6bbdafb94692"/>
    <x:sheet xmlns:r="http://schemas.openxmlformats.org/officeDocument/2006/relationships" name="18 Analytics Reuse Map" sheetId="18" r:id="R29ab3fc88c5d4f9a"/>
    <x:sheet xmlns:r="http://schemas.openxmlformats.org/officeDocument/2006/relationships" name="19 Executive Insights Discovery" sheetId="19" r:id="R956ec740556d453a"/>
    <x:sheet xmlns:r="http://schemas.openxmlformats.org/officeDocument/2006/relationships" name="20 Procurement Insights Discovery" sheetId="20" r:id="R381bf667254f4a3a"/>
    <x:sheet xmlns:r="http://schemas.openxmlformats.org/officeDocument/2006/relationships" name="21 Commercial Insights Discovery" sheetId="21" r:id="R5ed1154b7b164612"/>
    <x:sheet xmlns:r="http://schemas.openxmlformats.org/officeDocument/2006/relationships" name="22 Project Insights Discovery" sheetId="22" r:id="R1ed05224c1fa4d76"/>
    <x:sheet xmlns:r="http://schemas.openxmlformats.org/officeDocument/2006/relationships" name="23 Performance Discovery" sheetId="23" r:id="R26f0f131184c4f4f"/>
    <x:sheet xmlns:r="http://schemas.openxmlformats.org/officeDocument/2006/relationships" name="24 Risk Compliance Discovery" sheetId="24" r:id="R27d0365b34074103"/>
    <x:sheet xmlns:r="http://schemas.openxmlformats.org/officeDocument/2006/relationships" name="25 Commercial Handoff" sheetId="25" r:id="Rcacc71cc9bd8451f"/>
    <x:sheet xmlns:r="http://schemas.openxmlformats.org/officeDocument/2006/relationships" name="26 RFQ Governance" sheetId="26" r:id="Rfbbf1cf5b49645f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438ec8b19a5441c" /><Relationship Type="http://schemas.openxmlformats.org/officeDocument/2006/relationships/theme" Target="/xl/theme/theme1.xml" Id="R5583260519784ea6" /><Relationship Type="http://schemas.openxmlformats.org/officeDocument/2006/relationships/sharedStrings" Target="/xl/sharedStrings.xml" Id="R523f880f7bb64039" /><Relationship Type="http://schemas.openxmlformats.org/officeDocument/2006/relationships/worksheet" Target="/xl/worksheets/sheet1.xml" Id="Rb621924409cb4190" /><Relationship Type="http://schemas.openxmlformats.org/officeDocument/2006/relationships/worksheet" Target="/xl/worksheets/sheet2.xml" Id="R852838aa2bc04b9b" /><Relationship Type="http://schemas.openxmlformats.org/officeDocument/2006/relationships/worksheet" Target="/xl/worksheets/sheet3.xml" Id="R24cbeece8d5e40b5" /><Relationship Type="http://schemas.openxmlformats.org/officeDocument/2006/relationships/worksheet" Target="/xl/worksheets/sheet4.xml" Id="R05f7c03382d34fb8" /><Relationship Type="http://schemas.openxmlformats.org/officeDocument/2006/relationships/worksheet" Target="/xl/worksheets/sheet5.xml" Id="Rc1be5915e7e94f67" /><Relationship Type="http://schemas.openxmlformats.org/officeDocument/2006/relationships/worksheet" Target="/xl/worksheets/sheet6.xml" Id="R84fc0899d4454c4c" /><Relationship Type="http://schemas.openxmlformats.org/officeDocument/2006/relationships/worksheet" Target="/xl/worksheets/sheet7.xml" Id="Rc202e13a9e294f96" /><Relationship Type="http://schemas.openxmlformats.org/officeDocument/2006/relationships/worksheet" Target="/xl/worksheets/sheet8.xml" Id="Rab281584642c4563" /><Relationship Type="http://schemas.openxmlformats.org/officeDocument/2006/relationships/worksheet" Target="/xl/worksheets/sheet9.xml" Id="R2ae6d44b63ee49c4" /><Relationship Type="http://schemas.openxmlformats.org/officeDocument/2006/relationships/worksheet" Target="/xl/worksheets/sheet10.xml" Id="R9e63073815134516" /><Relationship Type="http://schemas.openxmlformats.org/officeDocument/2006/relationships/worksheet" Target="/xl/worksheets/sheet11.xml" Id="Ra84be84ed21643d5" /><Relationship Type="http://schemas.openxmlformats.org/officeDocument/2006/relationships/worksheet" Target="/xl/worksheets/sheet12.xml" Id="Rb42a87a62b804c08" /><Relationship Type="http://schemas.openxmlformats.org/officeDocument/2006/relationships/worksheet" Target="/xl/worksheets/sheet13.xml" Id="Ra6fef072399f47e7" /><Relationship Type="http://schemas.openxmlformats.org/officeDocument/2006/relationships/worksheet" Target="/xl/worksheets/sheet14.xml" Id="Rd0b596a657e844a1" /><Relationship Type="http://schemas.openxmlformats.org/officeDocument/2006/relationships/worksheet" Target="/xl/worksheets/sheet15.xml" Id="R84d4e6ca8ac843b0" /><Relationship Type="http://schemas.openxmlformats.org/officeDocument/2006/relationships/worksheet" Target="/xl/worksheets/sheet16.xml" Id="R17f7df91c0b34749" /><Relationship Type="http://schemas.openxmlformats.org/officeDocument/2006/relationships/worksheet" Target="/xl/worksheets/sheet17.xml" Id="Rc70a6bbdafb94692" /><Relationship Type="http://schemas.openxmlformats.org/officeDocument/2006/relationships/worksheet" Target="/xl/worksheets/sheet18.xml" Id="R29ab3fc88c5d4f9a" /><Relationship Type="http://schemas.openxmlformats.org/officeDocument/2006/relationships/worksheet" Target="/xl/worksheets/sheet19.xml" Id="R956ec740556d453a" /><Relationship Type="http://schemas.openxmlformats.org/officeDocument/2006/relationships/worksheet" Target="/xl/worksheets/sheet20.xml" Id="R381bf667254f4a3a" /><Relationship Type="http://schemas.openxmlformats.org/officeDocument/2006/relationships/worksheet" Target="/xl/worksheets/sheet21.xml" Id="R5ed1154b7b164612" /><Relationship Type="http://schemas.openxmlformats.org/officeDocument/2006/relationships/worksheet" Target="/xl/worksheets/sheet22.xml" Id="R1ed05224c1fa4d76" /><Relationship Type="http://schemas.openxmlformats.org/officeDocument/2006/relationships/worksheet" Target="/xl/worksheets/sheet23.xml" Id="R26f0f131184c4f4f" /><Relationship Type="http://schemas.openxmlformats.org/officeDocument/2006/relationships/worksheet" Target="/xl/worksheets/sheet24.xml" Id="R27d0365b34074103" /><Relationship Type="http://schemas.openxmlformats.org/officeDocument/2006/relationships/worksheet" Target="/xl/worksheets/sheet25.xml" Id="Rcacc71cc9bd8451f" /><Relationship Type="http://schemas.openxmlformats.org/officeDocument/2006/relationships/worksheet" Target="/xl/worksheets/sheet26.xml" Id="Rfbbf1cf5b49645f4" /></Relationships>
</file>

<file path=xl/drawings/_rels/drawing1.xml.rels>&#65279;<?xml version="1.0" encoding="utf-8"?><Relationships xmlns="http://schemas.openxmlformats.org/package/2006/relationships"><Relationship Type="http://schemas.openxmlformats.org/officeDocument/2006/relationships/chart" Target="/xl/drawings/charts/chart1.xml" Id="Rbd6144509f84461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d6144509f84461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193f04543ee4faa" /></Relationships>
</file>

<file path=xl/worksheets/_rels/sheet2.xml.rels>&#65279;<?xml version="1.0" encoding="utf-8"?><Relationships xmlns="http://schemas.openxmlformats.org/package/2006/relationships"><Relationship Type="http://schemas.openxmlformats.org/officeDocument/2006/relationships/table" Target="/xl/tables/table2.xml" Id="R5ebc3609e4e846ec" /></Relationships>
</file>

<file path=xl/worksheets/_rels/sheet3.xml.rels>&#65279;<?xml version="1.0" encoding="utf-8"?><Relationships xmlns="http://schemas.openxmlformats.org/package/2006/relationships"><Relationship Type="http://schemas.openxmlformats.org/officeDocument/2006/relationships/drawing" Target="/xl/drawings/drawing1.xml" Id="R88f1da9c01574cdf" /></Relationships>
</file>

<file path=xl/worksheets/_rels/sheet4.xml.rels>&#65279;<?xml version="1.0" encoding="utf-8"?><Relationships xmlns="http://schemas.openxmlformats.org/package/2006/relationships"><Relationship Type="http://schemas.openxmlformats.org/officeDocument/2006/relationships/table" Target="/xl/tables/table3.xml" Id="Ra1e7c1208e6f48d4" /></Relationships>
</file>

<file path=xl/worksheets/_rels/sheet5.xml.rels>&#65279;<?xml version="1.0" encoding="utf-8"?><Relationships xmlns="http://schemas.openxmlformats.org/package/2006/relationships"><Relationship Type="http://schemas.openxmlformats.org/officeDocument/2006/relationships/table" Target="/xl/tables/table4.xml" Id="Ref45c581ff7b4ed2" /></Relationships>
</file>

<file path=xl/worksheets/_rels/sheet6.xml.rels>&#65279;<?xml version="1.0" encoding="utf-8"?><Relationships xmlns="http://schemas.openxmlformats.org/package/2006/relationships"><Relationship Type="http://schemas.openxmlformats.org/officeDocument/2006/relationships/table" Target="/xl/tables/table5.xml" Id="R28d1dfb5c3d34c0d" /></Relationships>
</file>

<file path=xl/worksheets/_rels/sheet7.xml.rels>&#65279;<?xml version="1.0" encoding="utf-8"?><Relationships xmlns="http://schemas.openxmlformats.org/package/2006/relationships"><Relationship Type="http://schemas.openxmlformats.org/officeDocument/2006/relationships/table" Target="/xl/tables/table6.xml" Id="R01717dd3bcfb4538" /></Relationships>
</file>

<file path=xl/worksheets/_rels/sheet9.xml.rels>&#65279;<?xml version="1.0" encoding="utf-8"?><Relationships xmlns="http://schemas.openxmlformats.org/package/2006/relationships"><Relationship Type="http://schemas.openxmlformats.org/officeDocument/2006/relationships/table" Target="/xl/tables/table7.xml" Id="R3270011a65a44f87" /></Relationships>
</file>

<file path=xl/worksheets/_rels/sheet10.xml.rels>&#65279;<?xml version="1.0" encoding="utf-8"?><Relationships xmlns="http://schemas.openxmlformats.org/package/2006/relationships"><Relationship Type="http://schemas.openxmlformats.org/officeDocument/2006/relationships/table" Target="/xl/tables/table8.xml" Id="R6d8e4eb354004f77" /></Relationships>
</file>

<file path=xl/worksheets/_rels/sheet11.xml.rels>&#65279;<?xml version="1.0" encoding="utf-8"?><Relationships xmlns="http://schemas.openxmlformats.org/package/2006/relationships"><Relationship Type="http://schemas.openxmlformats.org/officeDocument/2006/relationships/table" Target="/xl/tables/table9.xml" Id="R3157358281cf4b77" /></Relationships>
</file>

<file path=xl/worksheets/_rels/sheet13.xml.rels>&#65279;<?xml version="1.0" encoding="utf-8"?><Relationships xmlns="http://schemas.openxmlformats.org/package/2006/relationships"><Relationship Type="http://schemas.openxmlformats.org/officeDocument/2006/relationships/table" Target="/xl/tables/table10.xml" Id="Rdec55e9a501346d3" /></Relationships>
</file>

<file path=xl/worksheets/_rels/sheet14.xml.rels>&#65279;<?xml version="1.0" encoding="utf-8"?><Relationships xmlns="http://schemas.openxmlformats.org/package/2006/relationships"><Relationship Type="http://schemas.openxmlformats.org/officeDocument/2006/relationships/table" Target="/xl/tables/table11.xml" Id="R5fa8cde2f34c445b" /></Relationships>
</file>

<file path=xl/worksheets/_rels/sheet15.xml.rels>&#65279;<?xml version="1.0" encoding="utf-8"?><Relationships xmlns="http://schemas.openxmlformats.org/package/2006/relationships"><Relationship Type="http://schemas.openxmlformats.org/officeDocument/2006/relationships/table" Target="/xl/tables/table12.xml" Id="R3c5c0abb463143b4" /></Relationships>
</file>

<file path=xl/worksheets/_rels/sheet16.xml.rels>&#65279;<?xml version="1.0" encoding="utf-8"?><Relationships xmlns="http://schemas.openxmlformats.org/package/2006/relationships"><Relationship Type="http://schemas.openxmlformats.org/officeDocument/2006/relationships/table" Target="/xl/tables/table13.xml" Id="R3aa3288c75004db3"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Blocked</x:v>
      </x:c>
      <x:c r="I321" s="133" t="str">
        <x:v>Project Owner / Product / Engineering</x:v>
      </x:c>
      <x:c r="J321" s="133" t="str"/>
      <x:c r="K321" s="133" t="inlineStr">
        <x:is>
          <x:t xml:space="preserve">13G-10</x:t>
        </x:is>
      </x:c>
      <x:c r="L321" s="133" t="str"/>
      <x:c r="M321" s="133" t="str">
        <x:v>BLOCKED / MY TASKS DATA MODEL NOT AVAILABLE — Activity Center currently has a launch-frozen company-scoped taxonomy of Needs Attention, Updates, and History only. Repository contracts explicitly prohibit rendering My Tasks or deriving personal tasks from notification title/message or compatibility fields. Existing notifications have no assignee/recipient-user/due-date/task-status/completion model, so implementing My Tasks would require a new data/ownership contract outside the presentation-only scope of 13H-11.</x:v>
      </x:c>
      <x:c r="N321" s="249" t="n"/>
      <x:c r="O321" s="249" t="n">
        <x:v>46296</x:v>
      </x:c>
      <x:c r="P321" s="135" t="str">
        <x:v>Evidence: src/lib/launch/procurement-activity-event-writers-contract.test.ts explicitly asserts Activity Center does not render 'My Tasks' or personal task derivation and locks exact Attention/Updates taxonomy. src/lib/procurement/activity-center-prioritization.ts defines only attention/updates/history; no task classification exists. Company-scoped notification query, source-link authorization, attention prioritization, Updates and History remain valid and unchanged. No code, API, DB, RLS, notification-generation or taxonomy change was made. Focused tests/lint/build/diff-check PASS; responsive review PARTIAL with no horizontal overflow; current page visual quality remains below 13H acceptance because the mandatory My Tasks requirement cannot be truthfully implemented. Resolution requires an approved My Tasks data/ownership model or explicit change to Master Plan acceptance. Until then 13H-11 remains BLOCKED. Next dependency-independent executable canonical task: 13H-12 — Upgrade Project Portfolio.</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Blocked</x:v>
      </x:c>
      <x:c r="I324" s="133" t="str">
        <x:v>Project Owner / Product / Engineering</x:v>
      </x:c>
      <x:c r="J324" s="133" t="str"/>
      <x:c r="K324" s="133" t="inlineStr">
        <x:is>
          <x:t xml:space="preserve">13G-10</x:t>
        </x:is>
      </x:c>
      <x:c r="L324" s="133" t="str"/>
      <x:c r="M324" s="133" t="str">
        <x:v>BLOCKED / STRATEGIC INSIGHTS FREEZE CONFLICT — Canonical Strategic Insights resolves to direct /analytics, which previously passed Product-Gate and remains explicitly FROZEN. Read-only reconciliation found no canonical tracker/repository evidence that 13H-14 supersedes that freeze. The current HEAD Analytics surface already scores approximately 9.3/10 and preserves commercial confidentiality, recommendation-vs-award distinctions, and evidence/inference truthfulness contracts, but some design-system shell drift remains. Because that drift cannot be acted on without reopening the frozen surface, no implementation is authorized.</x:v>
      </x:c>
      <x:c r="N324" s="249" t="n"/>
      <x:c r="O324" s="249" t="n">
        <x:v>46297</x:v>
      </x:c>
      <x:c r="P324" s="135" t="str">
        <x:v>Evidence: canonical route is /analytics; Dashboard StrategicIntelligenceWorkspace is only a teaser/CTA and not a substitute implementation target. Direct /analytics was previously Product-Gate PASS/FROZEN; freeze remains applicable. Master Plan 13H-14 does not contain explicit language superseding the freeze, and no repository/tracker evidence was found granting a presentation-only reopen. Current shared Executive system application is partial on HEAD; page-local shell/chrome drift exists, but there is no authorized defect or changed requirement permitting modification. Commercial confidentiality remains deadline-locked; recommendation remains distinct from award; evidence vs inference wording passes current truthfulness contracts. Working tree contains substantial unrelated dirty Analytics WIP, including page rewrite and analytics components/tests, and none of it may be treated as authorized 13H-14 scope. Resolution requires explicit Product Owner/Master Plan authorization to reopen exact allowlisted presentation files, or an explicit decision that prior Product-Gate evidence satisfies 13H-14. Until resolved, 13H-14 remains BLOCKED. Next dependency-independent executable canonical task: 13H-15 — Upgrade Identity &amp; Profile.</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8193f04543ee4faa"/>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5ebc3609e4e846e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342</x:v>
      </x:c>
      <x:c r="D6" s="133" t="inlineStr">
        <x:is>
          <x:t xml:space="preserve">G0A — Corporate platform architecture ready</x:t>
        </x:is>
      </x:c>
      <x:c r="E6" s="32" t="str">
        <x:f>'03 Launch Gates'!D20</x:f>
        <x:v>Completed</x:v>
      </x:c>
      <x:c r="G6" t="inlineStr">
        <x:is>
          <x:t xml:space="preserve">UI Tasks Complete</x:t>
        </x:is>
      </x:c>
      <x:c r="H6" t="n">
        <x:f>SUM(B36:B46)</x:f>
        <x:v>120</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8</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0.9318801089918256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15</x:v>
      </x:c>
      <x:c r="C44" s="28" t="n">
        <x:f>COUNTIFS('01 Master Plan'!C$5:C$383,A44,'01 Master Plan'!H$5:H$383,"In Progress")</x:f>
        <x:v>0</x:v>
      </x:c>
      <x:c r="D44" s="28" t="n">
        <x:f>COUNTIFS('01 Master Plan'!C$5:C$383,A44,'01 Master Plan'!H$5:H$383,"Not Started")</x:f>
        <x:v>3</x:v>
      </x:c>
      <x:c r="E44" s="28" t="n">
        <x:f>COUNTIFS('01 Master Plan'!C$5:C$383,A44,'01 Master Plan'!H$5:H$383,"Blocked")</x:f>
        <x:v>2</x:v>
      </x:c>
      <x:c r="F44" s="28" t="n">
        <x:f>COUNTIFS('01 Master Plan'!C$5:C$383,A44,'01 Master Plan'!H$5:H$383,"Deferred")</x:f>
        <x:v>0</x:v>
      </x:c>
      <x:c r="G44" s="258" t="n">
        <x:f>IFERROR(B44/(B44+C44+D44+E44),0)</x:f>
        <x:v>0.75</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88f1da9c01574cdf"/>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1e7c1208e6f48d4"/>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ef45c581ff7b4ed2"/>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28d1dfb5c3d34c0d"/>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1717dd3bcfb4538"/>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3270011a65a44f87"/>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6d8e4eb354004f77"/>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3157358281cf4b77"/>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13H-10, 13H-12 through 13H-13, and 13H-15 through 13H-17 PASS/CLOSED/PUBLISHED; 13H-11 remains BLOCKED pending an approved My Tasks ownership/data contract; 13H-14 remains BLOCKED by the frozen /analytics Strategic Insights surface. Capabilities &amp; Qualifications editors are now presentation-standardized with taxonomy, persistence and public-visibility contracts preserved. Next executable canonical task: 13H-18 Upgrade Compliance &amp; Documents.</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dec55e9a501346d3"/>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5fa8cde2f34c445b"/>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3c5c0abb463143b4"/>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aa3288c75004db3"/>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