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d5aa49ce724555" /></Relationships>
</file>

<file path=xl/workbook.xml><?xml version="1.0" encoding="utf-8"?>
<x:workbook xmlns:x="http://schemas.openxmlformats.org/spreadsheetml/2006/main">
  <x:sheets>
    <x:sheet xmlns:r="http://schemas.openxmlformats.org/officeDocument/2006/relationships" name="01 Master Plan" sheetId="1" r:id="Ra1b0c5acc21e479c"/>
    <x:sheet xmlns:r="http://schemas.openxmlformats.org/officeDocument/2006/relationships" name="03 Launch Gates" sheetId="2" r:id="Raf9444f2921742d4"/>
    <x:sheet xmlns:r="http://schemas.openxmlformats.org/officeDocument/2006/relationships" name="00 Dashboard" sheetId="3" r:id="R93ce23a6ed194e1e"/>
    <x:sheet xmlns:r="http://schemas.openxmlformats.org/officeDocument/2006/relationships" name="04 Cursor Tasks" sheetId="4" r:id="R4a48765669084164"/>
    <x:sheet xmlns:r="http://schemas.openxmlformats.org/officeDocument/2006/relationships" name="05 UAT Matrix" sheetId="5" r:id="Rcffadd27001c491e"/>
    <x:sheet xmlns:r="http://schemas.openxmlformats.org/officeDocument/2006/relationships" name="06 Security Matrix" sheetId="6" r:id="Ra11cfb223d574bc0"/>
    <x:sheet xmlns:r="http://schemas.openxmlformats.org/officeDocument/2006/relationships" name="07 Risks" sheetId="7" r:id="Ra732d1c41b184655"/>
    <x:sheet xmlns:r="http://schemas.openxmlformats.org/officeDocument/2006/relationships" name="08 Architecture" sheetId="8" r:id="Rc9251c9b77074fb6"/>
    <x:sheet xmlns:r="http://schemas.openxmlformats.org/officeDocument/2006/relationships" name="09 Release Checklist" sheetId="9" r:id="Rbc2737b41e4e4f55"/>
    <x:sheet xmlns:r="http://schemas.openxmlformats.org/officeDocument/2006/relationships" name="10 Change Log" sheetId="10" r:id="R6f8c280ce0214b16"/>
    <x:sheet xmlns:r="http://schemas.openxmlformats.org/officeDocument/2006/relationships" name="11 Scope &amp; Roadmap" sheetId="11" r:id="Rd6065b52055244f6"/>
    <x:sheet xmlns:r="http://schemas.openxmlformats.org/officeDocument/2006/relationships" name="12 How to Use" sheetId="12" r:id="Rdeec40c5b11b4eb9"/>
    <x:sheet xmlns:r="http://schemas.openxmlformats.org/officeDocument/2006/relationships" name="13 UI Program" sheetId="13" r:id="Rb54ca576a4404fb2"/>
    <x:sheet xmlns:r="http://schemas.openxmlformats.org/officeDocument/2006/relationships" name="14 UI Scorecard" sheetId="14" r:id="R249ecfde4e064a6f"/>
    <x:sheet xmlns:r="http://schemas.openxmlformats.org/officeDocument/2006/relationships" name="15 Motion Guidance" sheetId="15" r:id="R9bbb18bb29ce4ab8"/>
    <x:sheet xmlns:r="http://schemas.openxmlformats.org/officeDocument/2006/relationships" name="16 Design Standards" sheetId="16" r:id="R026dbb1de9294b0d"/>
    <x:sheet xmlns:r="http://schemas.openxmlformats.org/officeDocument/2006/relationships" name="17 Corporate Platform" sheetId="17" r:id="R91a045d877a5427c"/>
    <x:sheet xmlns:r="http://schemas.openxmlformats.org/officeDocument/2006/relationships" name="18 Analytics Reuse Map" sheetId="18" r:id="Rc7748f8596274285"/>
    <x:sheet xmlns:r="http://schemas.openxmlformats.org/officeDocument/2006/relationships" name="19 Executive Insights Discovery" sheetId="19" r:id="R1ec4b12eef274a1b"/>
    <x:sheet xmlns:r="http://schemas.openxmlformats.org/officeDocument/2006/relationships" name="20 Procurement Insights Discovery" sheetId="20" r:id="Rb18f4701f2954ce6"/>
    <x:sheet xmlns:r="http://schemas.openxmlformats.org/officeDocument/2006/relationships" name="21 Commercial Insights Discovery" sheetId="21" r:id="R619e4904baa34652"/>
    <x:sheet xmlns:r="http://schemas.openxmlformats.org/officeDocument/2006/relationships" name="22 Project Insights Discovery" sheetId="22" r:id="R7c6beb36bead4445"/>
    <x:sheet xmlns:r="http://schemas.openxmlformats.org/officeDocument/2006/relationships" name="23 Performance Discovery" sheetId="23" r:id="Rfe88b3092f664f90"/>
    <x:sheet xmlns:r="http://schemas.openxmlformats.org/officeDocument/2006/relationships" name="24 Risk Compliance Discovery" sheetId="24" r:id="R1a6e7a382f144309"/>
    <x:sheet xmlns:r="http://schemas.openxmlformats.org/officeDocument/2006/relationships" name="25 Commercial Handoff" sheetId="25" r:id="R14ef5bffe43c4b7a"/>
    <x:sheet xmlns:r="http://schemas.openxmlformats.org/officeDocument/2006/relationships" name="26 RFQ Governance" sheetId="26" r:id="R08ceed6d42dd4d4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c7e6c2638b44276" /><Relationship Type="http://schemas.openxmlformats.org/officeDocument/2006/relationships/theme" Target="/xl/theme/theme1.xml" Id="R039f76baf796467d" /><Relationship Type="http://schemas.openxmlformats.org/officeDocument/2006/relationships/sharedStrings" Target="/xl/sharedStrings.xml" Id="Rf2fcae2d0038462e" /><Relationship Type="http://schemas.openxmlformats.org/officeDocument/2006/relationships/worksheet" Target="/xl/worksheets/sheet1.xml" Id="Ra1b0c5acc21e479c" /><Relationship Type="http://schemas.openxmlformats.org/officeDocument/2006/relationships/worksheet" Target="/xl/worksheets/sheet2.xml" Id="Raf9444f2921742d4" /><Relationship Type="http://schemas.openxmlformats.org/officeDocument/2006/relationships/worksheet" Target="/xl/worksheets/sheet3.xml" Id="R93ce23a6ed194e1e" /><Relationship Type="http://schemas.openxmlformats.org/officeDocument/2006/relationships/worksheet" Target="/xl/worksheets/sheet4.xml" Id="R4a48765669084164" /><Relationship Type="http://schemas.openxmlformats.org/officeDocument/2006/relationships/worksheet" Target="/xl/worksheets/sheet5.xml" Id="Rcffadd27001c491e" /><Relationship Type="http://schemas.openxmlformats.org/officeDocument/2006/relationships/worksheet" Target="/xl/worksheets/sheet6.xml" Id="Ra11cfb223d574bc0" /><Relationship Type="http://schemas.openxmlformats.org/officeDocument/2006/relationships/worksheet" Target="/xl/worksheets/sheet7.xml" Id="Ra732d1c41b184655" /><Relationship Type="http://schemas.openxmlformats.org/officeDocument/2006/relationships/worksheet" Target="/xl/worksheets/sheet8.xml" Id="Rc9251c9b77074fb6" /><Relationship Type="http://schemas.openxmlformats.org/officeDocument/2006/relationships/worksheet" Target="/xl/worksheets/sheet9.xml" Id="Rbc2737b41e4e4f55" /><Relationship Type="http://schemas.openxmlformats.org/officeDocument/2006/relationships/worksheet" Target="/xl/worksheets/sheet10.xml" Id="R6f8c280ce0214b16" /><Relationship Type="http://schemas.openxmlformats.org/officeDocument/2006/relationships/worksheet" Target="/xl/worksheets/sheet11.xml" Id="Rd6065b52055244f6" /><Relationship Type="http://schemas.openxmlformats.org/officeDocument/2006/relationships/worksheet" Target="/xl/worksheets/sheet12.xml" Id="Rdeec40c5b11b4eb9" /><Relationship Type="http://schemas.openxmlformats.org/officeDocument/2006/relationships/worksheet" Target="/xl/worksheets/sheet13.xml" Id="Rb54ca576a4404fb2" /><Relationship Type="http://schemas.openxmlformats.org/officeDocument/2006/relationships/worksheet" Target="/xl/worksheets/sheet14.xml" Id="R249ecfde4e064a6f" /><Relationship Type="http://schemas.openxmlformats.org/officeDocument/2006/relationships/worksheet" Target="/xl/worksheets/sheet15.xml" Id="R9bbb18bb29ce4ab8" /><Relationship Type="http://schemas.openxmlformats.org/officeDocument/2006/relationships/worksheet" Target="/xl/worksheets/sheet16.xml" Id="R026dbb1de9294b0d" /><Relationship Type="http://schemas.openxmlformats.org/officeDocument/2006/relationships/worksheet" Target="/xl/worksheets/sheet17.xml" Id="R91a045d877a5427c" /><Relationship Type="http://schemas.openxmlformats.org/officeDocument/2006/relationships/worksheet" Target="/xl/worksheets/sheet18.xml" Id="Rc7748f8596274285" /><Relationship Type="http://schemas.openxmlformats.org/officeDocument/2006/relationships/worksheet" Target="/xl/worksheets/sheet19.xml" Id="R1ec4b12eef274a1b" /><Relationship Type="http://schemas.openxmlformats.org/officeDocument/2006/relationships/worksheet" Target="/xl/worksheets/sheet20.xml" Id="Rb18f4701f2954ce6" /><Relationship Type="http://schemas.openxmlformats.org/officeDocument/2006/relationships/worksheet" Target="/xl/worksheets/sheet21.xml" Id="R619e4904baa34652" /><Relationship Type="http://schemas.openxmlformats.org/officeDocument/2006/relationships/worksheet" Target="/xl/worksheets/sheet22.xml" Id="R7c6beb36bead4445" /><Relationship Type="http://schemas.openxmlformats.org/officeDocument/2006/relationships/worksheet" Target="/xl/worksheets/sheet23.xml" Id="Rfe88b3092f664f90" /><Relationship Type="http://schemas.openxmlformats.org/officeDocument/2006/relationships/worksheet" Target="/xl/worksheets/sheet24.xml" Id="R1a6e7a382f144309" /><Relationship Type="http://schemas.openxmlformats.org/officeDocument/2006/relationships/worksheet" Target="/xl/worksheets/sheet25.xml" Id="R14ef5bffe43c4b7a" /><Relationship Type="http://schemas.openxmlformats.org/officeDocument/2006/relationships/worksheet" Target="/xl/worksheets/sheet26.xml" Id="R08ceed6d42dd4d4e" /></Relationships>
</file>

<file path=xl/drawings/_rels/drawing1.xml.rels>&#65279;<?xml version="1.0" encoding="utf-8"?><Relationships xmlns="http://schemas.openxmlformats.org/package/2006/relationships"><Relationship Type="http://schemas.openxmlformats.org/officeDocument/2006/relationships/chart" Target="/xl/drawings/charts/chart1.xml" Id="R4dd3cfb2ea144020"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dd3cfb2ea144020"/>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ac9a96019f14abd" /></Relationships>
</file>

<file path=xl/worksheets/_rels/sheet2.xml.rels>&#65279;<?xml version="1.0" encoding="utf-8"?><Relationships xmlns="http://schemas.openxmlformats.org/package/2006/relationships"><Relationship Type="http://schemas.openxmlformats.org/officeDocument/2006/relationships/table" Target="/xl/tables/table2.xml" Id="R9171358cf7cc4e61" /></Relationships>
</file>

<file path=xl/worksheets/_rels/sheet3.xml.rels>&#65279;<?xml version="1.0" encoding="utf-8"?><Relationships xmlns="http://schemas.openxmlformats.org/package/2006/relationships"><Relationship Type="http://schemas.openxmlformats.org/officeDocument/2006/relationships/drawing" Target="/xl/drawings/drawing1.xml" Id="Re027617ff2b94e56" /></Relationships>
</file>

<file path=xl/worksheets/_rels/sheet4.xml.rels>&#65279;<?xml version="1.0" encoding="utf-8"?><Relationships xmlns="http://schemas.openxmlformats.org/package/2006/relationships"><Relationship Type="http://schemas.openxmlformats.org/officeDocument/2006/relationships/table" Target="/xl/tables/table3.xml" Id="Rfbb9ee2e4df743f4" /></Relationships>
</file>

<file path=xl/worksheets/_rels/sheet5.xml.rels>&#65279;<?xml version="1.0" encoding="utf-8"?><Relationships xmlns="http://schemas.openxmlformats.org/package/2006/relationships"><Relationship Type="http://schemas.openxmlformats.org/officeDocument/2006/relationships/table" Target="/xl/tables/table4.xml" Id="R9950077b1eb74c49" /></Relationships>
</file>

<file path=xl/worksheets/_rels/sheet6.xml.rels>&#65279;<?xml version="1.0" encoding="utf-8"?><Relationships xmlns="http://schemas.openxmlformats.org/package/2006/relationships"><Relationship Type="http://schemas.openxmlformats.org/officeDocument/2006/relationships/table" Target="/xl/tables/table5.xml" Id="R99c6ac8135f14cb3" /></Relationships>
</file>

<file path=xl/worksheets/_rels/sheet7.xml.rels>&#65279;<?xml version="1.0" encoding="utf-8"?><Relationships xmlns="http://schemas.openxmlformats.org/package/2006/relationships"><Relationship Type="http://schemas.openxmlformats.org/officeDocument/2006/relationships/table" Target="/xl/tables/table6.xml" Id="R662e4a214f7443c2" /></Relationships>
</file>

<file path=xl/worksheets/_rels/sheet9.xml.rels>&#65279;<?xml version="1.0" encoding="utf-8"?><Relationships xmlns="http://schemas.openxmlformats.org/package/2006/relationships"><Relationship Type="http://schemas.openxmlformats.org/officeDocument/2006/relationships/table" Target="/xl/tables/table7.xml" Id="R06ce2916a2984c83" /></Relationships>
</file>

<file path=xl/worksheets/_rels/sheet10.xml.rels>&#65279;<?xml version="1.0" encoding="utf-8"?><Relationships xmlns="http://schemas.openxmlformats.org/package/2006/relationships"><Relationship Type="http://schemas.openxmlformats.org/officeDocument/2006/relationships/table" Target="/xl/tables/table8.xml" Id="R1dc4d6ea253d41a2" /></Relationships>
</file>

<file path=xl/worksheets/_rels/sheet11.xml.rels>&#65279;<?xml version="1.0" encoding="utf-8"?><Relationships xmlns="http://schemas.openxmlformats.org/package/2006/relationships"><Relationship Type="http://schemas.openxmlformats.org/officeDocument/2006/relationships/table" Target="/xl/tables/table9.xml" Id="Rd5ca75a8fd6b4d16" /></Relationships>
</file>

<file path=xl/worksheets/_rels/sheet13.xml.rels>&#65279;<?xml version="1.0" encoding="utf-8"?><Relationships xmlns="http://schemas.openxmlformats.org/package/2006/relationships"><Relationship Type="http://schemas.openxmlformats.org/officeDocument/2006/relationships/table" Target="/xl/tables/table10.xml" Id="R90695e8dd8b344a5" /></Relationships>
</file>

<file path=xl/worksheets/_rels/sheet14.xml.rels>&#65279;<?xml version="1.0" encoding="utf-8"?><Relationships xmlns="http://schemas.openxmlformats.org/package/2006/relationships"><Relationship Type="http://schemas.openxmlformats.org/officeDocument/2006/relationships/table" Target="/xl/tables/table11.xml" Id="R7ff8b44486c347f3" /></Relationships>
</file>

<file path=xl/worksheets/_rels/sheet15.xml.rels>&#65279;<?xml version="1.0" encoding="utf-8"?><Relationships xmlns="http://schemas.openxmlformats.org/package/2006/relationships"><Relationship Type="http://schemas.openxmlformats.org/officeDocument/2006/relationships/table" Target="/xl/tables/table12.xml" Id="R645b455ed56d41a2" /></Relationships>
</file>

<file path=xl/worksheets/_rels/sheet16.xml.rels>&#65279;<?xml version="1.0" encoding="utf-8"?><Relationships xmlns="http://schemas.openxmlformats.org/package/2006/relationships"><Relationship Type="http://schemas.openxmlformats.org/officeDocument/2006/relationships/table" Target="/xl/tables/table13.xml" Id="R8b53031ac522428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ac9a96019f14ab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9171358cf7cc4e6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339</x:v>
      </x:c>
      <x:c r="D6" s="133" t="inlineStr">
        <x:is>
          <x:t xml:space="preserve">G0A — Corporate platform architecture ready</x:t>
        </x:is>
      </x:c>
      <x:c r="E6" s="32" t="str">
        <x:f>'03 Launch Gates'!D20</x:f>
        <x:v>Completed</x:v>
      </x:c>
      <x:c r="G6" t="inlineStr">
        <x:is>
          <x:t xml:space="preserve">UI Tasks Complete</x:t>
        </x:is>
      </x:c>
      <x:c r="H6" t="n">
        <x:f>SUM(B36:B46)</x:f>
        <x:v>117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7</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0.9237057220708447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12</x:v>
      </x:c>
      <x:c r="C44" s="28" t="n">
        <x:f>COUNTIFS('01 Master Plan'!C$5:C$383,A44,'01 Master Plan'!H$5:H$383,"In Progress")</x:f>
        <x:v>0</x:v>
      </x:c>
      <x:c r="D44" s="28" t="n">
        <x:f>COUNTIFS('01 Master Plan'!C$5:C$383,A44,'01 Master Plan'!H$5:H$383,"Not Started")</x:f>
        <x:v>7</x:v>
      </x:c>
      <x:c r="E44" s="28" t="n">
        <x:f>COUNTIFS('01 Master Plan'!C$5:C$383,A44,'01 Master Plan'!H$5:H$383,"Blocked")</x:f>
        <x:v>1</x:v>
      </x:c>
      <x:c r="F44" s="28" t="n">
        <x:f>COUNTIFS('01 Master Plan'!C$5:C$383,A44,'01 Master Plan'!H$5:H$383,"Deferred")</x:f>
        <x:v>0</x:v>
      </x:c>
      <x:c r="G44" s="258" t="n">
        <x:f>IFERROR(B44/(B44+C44+D44+E44),0)</x:f>
        <x:v>0.6</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e027617ff2b94e56"/>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bb9ee2e4df743f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9950077b1eb74c4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99c6ac8135f14cb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62e4a214f7443c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06ce2916a2984c83"/>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dc4d6ea253d41a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d5ca75a8fd6b4d16"/>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and 13H-12 through 13H-13 PASS/CLOSED/PUBLISHED; 13H-11 remains BLOCKED pending an approved My Tasks ownership/data contract. Company Network public discovery is now company-neutral and presentation-standardized, with public capability/qualification evidence preserved and internal/commercial viewer-dependent data removed from the public surface. Next executable canonical task: 13H-14 Upgrade Strategic Insights.</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90695e8dd8b344a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7ff8b44486c347f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645b455ed56d41a2"/>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b53031ac522428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