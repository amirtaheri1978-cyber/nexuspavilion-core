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dff54b3677942da" /></Relationships>
</file>

<file path=xl/workbook.xml><?xml version="1.0" encoding="utf-8"?>
<x:workbook xmlns:x="http://schemas.openxmlformats.org/spreadsheetml/2006/main">
  <x:sheets>
    <x:sheet xmlns:r="http://schemas.openxmlformats.org/officeDocument/2006/relationships" name="01 Master Plan" sheetId="1" r:id="R0a6a7c70f9504e28"/>
    <x:sheet xmlns:r="http://schemas.openxmlformats.org/officeDocument/2006/relationships" name="03 Launch Gates" sheetId="2" r:id="Ra4b89227e8b5412c"/>
    <x:sheet xmlns:r="http://schemas.openxmlformats.org/officeDocument/2006/relationships" name="00 Dashboard" sheetId="3" r:id="R73f984f9c2eb4b36"/>
    <x:sheet xmlns:r="http://schemas.openxmlformats.org/officeDocument/2006/relationships" name="04 Cursor Tasks" sheetId="4" r:id="Re4d4de57db744ee8"/>
    <x:sheet xmlns:r="http://schemas.openxmlformats.org/officeDocument/2006/relationships" name="05 UAT Matrix" sheetId="5" r:id="R24d1f1f2c04a4ff2"/>
    <x:sheet xmlns:r="http://schemas.openxmlformats.org/officeDocument/2006/relationships" name="06 Security Matrix" sheetId="6" r:id="R3f3e63c542634aca"/>
    <x:sheet xmlns:r="http://schemas.openxmlformats.org/officeDocument/2006/relationships" name="07 Risks" sheetId="7" r:id="R20dec669ecb04eaf"/>
    <x:sheet xmlns:r="http://schemas.openxmlformats.org/officeDocument/2006/relationships" name="08 Architecture" sheetId="8" r:id="Ra88a70e1534641ce"/>
    <x:sheet xmlns:r="http://schemas.openxmlformats.org/officeDocument/2006/relationships" name="09 Release Checklist" sheetId="9" r:id="R517f6416b34b4186"/>
    <x:sheet xmlns:r="http://schemas.openxmlformats.org/officeDocument/2006/relationships" name="10 Change Log" sheetId="10" r:id="R5741d123db474ba3"/>
    <x:sheet xmlns:r="http://schemas.openxmlformats.org/officeDocument/2006/relationships" name="11 Scope &amp; Roadmap" sheetId="11" r:id="R71dc33a87c27447d"/>
    <x:sheet xmlns:r="http://schemas.openxmlformats.org/officeDocument/2006/relationships" name="12 How to Use" sheetId="12" r:id="R9bce9f1218e84051"/>
    <x:sheet xmlns:r="http://schemas.openxmlformats.org/officeDocument/2006/relationships" name="13 UI Program" sheetId="13" r:id="Rb8a05642333742c7"/>
    <x:sheet xmlns:r="http://schemas.openxmlformats.org/officeDocument/2006/relationships" name="14 UI Scorecard" sheetId="14" r:id="Rec966c6bf7314f5a"/>
    <x:sheet xmlns:r="http://schemas.openxmlformats.org/officeDocument/2006/relationships" name="15 Motion Guidance" sheetId="15" r:id="Rf2bd941d8d414800"/>
    <x:sheet xmlns:r="http://schemas.openxmlformats.org/officeDocument/2006/relationships" name="16 Design Standards" sheetId="16" r:id="Rf4a12ba48dd9432d"/>
    <x:sheet xmlns:r="http://schemas.openxmlformats.org/officeDocument/2006/relationships" name="17 Corporate Platform" sheetId="17" r:id="R439ce4f1d833443d"/>
    <x:sheet xmlns:r="http://schemas.openxmlformats.org/officeDocument/2006/relationships" name="18 Analytics Reuse Map" sheetId="18" r:id="Rfa8b1f6e91824744"/>
    <x:sheet xmlns:r="http://schemas.openxmlformats.org/officeDocument/2006/relationships" name="19 Executive Insights Discovery" sheetId="19" r:id="R031e92198bff4dc2"/>
    <x:sheet xmlns:r="http://schemas.openxmlformats.org/officeDocument/2006/relationships" name="20 Procurement Insights Discovery" sheetId="20" r:id="Rb1033cbe2e464e64"/>
    <x:sheet xmlns:r="http://schemas.openxmlformats.org/officeDocument/2006/relationships" name="21 Commercial Insights Discovery" sheetId="21" r:id="R1035cdcb1c884bf7"/>
    <x:sheet xmlns:r="http://schemas.openxmlformats.org/officeDocument/2006/relationships" name="22 Project Insights Discovery" sheetId="22" r:id="R2af8ab4493914ab2"/>
    <x:sheet xmlns:r="http://schemas.openxmlformats.org/officeDocument/2006/relationships" name="23 Performance Discovery" sheetId="23" r:id="Rd2ec297bf2f64e92"/>
    <x:sheet xmlns:r="http://schemas.openxmlformats.org/officeDocument/2006/relationships" name="24 Risk Compliance Discovery" sheetId="24" r:id="R61dcf4bbdbb5401d"/>
    <x:sheet xmlns:r="http://schemas.openxmlformats.org/officeDocument/2006/relationships" name="25 Commercial Handoff" sheetId="25" r:id="Ra4c4adb7a06447af"/>
    <x:sheet xmlns:r="http://schemas.openxmlformats.org/officeDocument/2006/relationships" name="26 RFQ Governance" sheetId="26" r:id="Re9ad2b1ffd414a9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c95e20255b1484c" /><Relationship Type="http://schemas.openxmlformats.org/officeDocument/2006/relationships/theme" Target="/xl/theme/theme1.xml" Id="R4cc5caf3d27544ac" /><Relationship Type="http://schemas.openxmlformats.org/officeDocument/2006/relationships/sharedStrings" Target="/xl/sharedStrings.xml" Id="R35d835ce41d64331" /><Relationship Type="http://schemas.openxmlformats.org/officeDocument/2006/relationships/worksheet" Target="/xl/worksheets/sheet1.xml" Id="R0a6a7c70f9504e28" /><Relationship Type="http://schemas.openxmlformats.org/officeDocument/2006/relationships/worksheet" Target="/xl/worksheets/sheet2.xml" Id="Ra4b89227e8b5412c" /><Relationship Type="http://schemas.openxmlformats.org/officeDocument/2006/relationships/worksheet" Target="/xl/worksheets/sheet3.xml" Id="R73f984f9c2eb4b36" /><Relationship Type="http://schemas.openxmlformats.org/officeDocument/2006/relationships/worksheet" Target="/xl/worksheets/sheet4.xml" Id="Re4d4de57db744ee8" /><Relationship Type="http://schemas.openxmlformats.org/officeDocument/2006/relationships/worksheet" Target="/xl/worksheets/sheet5.xml" Id="R24d1f1f2c04a4ff2" /><Relationship Type="http://schemas.openxmlformats.org/officeDocument/2006/relationships/worksheet" Target="/xl/worksheets/sheet6.xml" Id="R3f3e63c542634aca" /><Relationship Type="http://schemas.openxmlformats.org/officeDocument/2006/relationships/worksheet" Target="/xl/worksheets/sheet7.xml" Id="R20dec669ecb04eaf" /><Relationship Type="http://schemas.openxmlformats.org/officeDocument/2006/relationships/worksheet" Target="/xl/worksheets/sheet8.xml" Id="Ra88a70e1534641ce" /><Relationship Type="http://schemas.openxmlformats.org/officeDocument/2006/relationships/worksheet" Target="/xl/worksheets/sheet9.xml" Id="R517f6416b34b4186" /><Relationship Type="http://schemas.openxmlformats.org/officeDocument/2006/relationships/worksheet" Target="/xl/worksheets/sheet10.xml" Id="R5741d123db474ba3" /><Relationship Type="http://schemas.openxmlformats.org/officeDocument/2006/relationships/worksheet" Target="/xl/worksheets/sheet11.xml" Id="R71dc33a87c27447d" /><Relationship Type="http://schemas.openxmlformats.org/officeDocument/2006/relationships/worksheet" Target="/xl/worksheets/sheet12.xml" Id="R9bce9f1218e84051" /><Relationship Type="http://schemas.openxmlformats.org/officeDocument/2006/relationships/worksheet" Target="/xl/worksheets/sheet13.xml" Id="Rb8a05642333742c7" /><Relationship Type="http://schemas.openxmlformats.org/officeDocument/2006/relationships/worksheet" Target="/xl/worksheets/sheet14.xml" Id="Rec966c6bf7314f5a" /><Relationship Type="http://schemas.openxmlformats.org/officeDocument/2006/relationships/worksheet" Target="/xl/worksheets/sheet15.xml" Id="Rf2bd941d8d414800" /><Relationship Type="http://schemas.openxmlformats.org/officeDocument/2006/relationships/worksheet" Target="/xl/worksheets/sheet16.xml" Id="Rf4a12ba48dd9432d" /><Relationship Type="http://schemas.openxmlformats.org/officeDocument/2006/relationships/worksheet" Target="/xl/worksheets/sheet17.xml" Id="R439ce4f1d833443d" /><Relationship Type="http://schemas.openxmlformats.org/officeDocument/2006/relationships/worksheet" Target="/xl/worksheets/sheet18.xml" Id="Rfa8b1f6e91824744" /><Relationship Type="http://schemas.openxmlformats.org/officeDocument/2006/relationships/worksheet" Target="/xl/worksheets/sheet19.xml" Id="R031e92198bff4dc2" /><Relationship Type="http://schemas.openxmlformats.org/officeDocument/2006/relationships/worksheet" Target="/xl/worksheets/sheet20.xml" Id="Rb1033cbe2e464e64" /><Relationship Type="http://schemas.openxmlformats.org/officeDocument/2006/relationships/worksheet" Target="/xl/worksheets/sheet21.xml" Id="R1035cdcb1c884bf7" /><Relationship Type="http://schemas.openxmlformats.org/officeDocument/2006/relationships/worksheet" Target="/xl/worksheets/sheet22.xml" Id="R2af8ab4493914ab2" /><Relationship Type="http://schemas.openxmlformats.org/officeDocument/2006/relationships/worksheet" Target="/xl/worksheets/sheet23.xml" Id="Rd2ec297bf2f64e92" /><Relationship Type="http://schemas.openxmlformats.org/officeDocument/2006/relationships/worksheet" Target="/xl/worksheets/sheet24.xml" Id="R61dcf4bbdbb5401d" /><Relationship Type="http://schemas.openxmlformats.org/officeDocument/2006/relationships/worksheet" Target="/xl/worksheets/sheet25.xml" Id="Ra4c4adb7a06447af" /><Relationship Type="http://schemas.openxmlformats.org/officeDocument/2006/relationships/worksheet" Target="/xl/worksheets/sheet26.xml" Id="Re9ad2b1ffd414a9a" /></Relationships>
</file>

<file path=xl/drawings/_rels/drawing1.xml.rels>&#65279;<?xml version="1.0" encoding="utf-8"?><Relationships xmlns="http://schemas.openxmlformats.org/package/2006/relationships"><Relationship Type="http://schemas.openxmlformats.org/officeDocument/2006/relationships/chart" Target="/xl/drawings/charts/chart1.xml" Id="R5a8abf7c987a4c10"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a8abf7c987a4c10"/>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4a003f8b97e4538" /></Relationships>
</file>

<file path=xl/worksheets/_rels/sheet2.xml.rels>&#65279;<?xml version="1.0" encoding="utf-8"?><Relationships xmlns="http://schemas.openxmlformats.org/package/2006/relationships"><Relationship Type="http://schemas.openxmlformats.org/officeDocument/2006/relationships/table" Target="/xl/tables/table2.xml" Id="Reb051a530c96471a" /></Relationships>
</file>

<file path=xl/worksheets/_rels/sheet3.xml.rels>&#65279;<?xml version="1.0" encoding="utf-8"?><Relationships xmlns="http://schemas.openxmlformats.org/package/2006/relationships"><Relationship Type="http://schemas.openxmlformats.org/officeDocument/2006/relationships/drawing" Target="/xl/drawings/drawing1.xml" Id="R3ba65f09b49b4fe2" /></Relationships>
</file>

<file path=xl/worksheets/_rels/sheet4.xml.rels>&#65279;<?xml version="1.0" encoding="utf-8"?><Relationships xmlns="http://schemas.openxmlformats.org/package/2006/relationships"><Relationship Type="http://schemas.openxmlformats.org/officeDocument/2006/relationships/table" Target="/xl/tables/table3.xml" Id="R3e215a9b4923431a" /></Relationships>
</file>

<file path=xl/worksheets/_rels/sheet5.xml.rels>&#65279;<?xml version="1.0" encoding="utf-8"?><Relationships xmlns="http://schemas.openxmlformats.org/package/2006/relationships"><Relationship Type="http://schemas.openxmlformats.org/officeDocument/2006/relationships/table" Target="/xl/tables/table4.xml" Id="R0f7b521e447b4430" /></Relationships>
</file>

<file path=xl/worksheets/_rels/sheet6.xml.rels>&#65279;<?xml version="1.0" encoding="utf-8"?><Relationships xmlns="http://schemas.openxmlformats.org/package/2006/relationships"><Relationship Type="http://schemas.openxmlformats.org/officeDocument/2006/relationships/table" Target="/xl/tables/table5.xml" Id="Rfa22964f2a614fba" /></Relationships>
</file>

<file path=xl/worksheets/_rels/sheet7.xml.rels>&#65279;<?xml version="1.0" encoding="utf-8"?><Relationships xmlns="http://schemas.openxmlformats.org/package/2006/relationships"><Relationship Type="http://schemas.openxmlformats.org/officeDocument/2006/relationships/table" Target="/xl/tables/table6.xml" Id="R8e66d75bb7be4610" /></Relationships>
</file>

<file path=xl/worksheets/_rels/sheet9.xml.rels>&#65279;<?xml version="1.0" encoding="utf-8"?><Relationships xmlns="http://schemas.openxmlformats.org/package/2006/relationships"><Relationship Type="http://schemas.openxmlformats.org/officeDocument/2006/relationships/table" Target="/xl/tables/table7.xml" Id="Rb0a1b5dab06545ea" /></Relationships>
</file>

<file path=xl/worksheets/_rels/sheet10.xml.rels>&#65279;<?xml version="1.0" encoding="utf-8"?><Relationships xmlns="http://schemas.openxmlformats.org/package/2006/relationships"><Relationship Type="http://schemas.openxmlformats.org/officeDocument/2006/relationships/table" Target="/xl/tables/table8.xml" Id="R95c0df7f0bac48cd" /></Relationships>
</file>

<file path=xl/worksheets/_rels/sheet11.xml.rels>&#65279;<?xml version="1.0" encoding="utf-8"?><Relationships xmlns="http://schemas.openxmlformats.org/package/2006/relationships"><Relationship Type="http://schemas.openxmlformats.org/officeDocument/2006/relationships/table" Target="/xl/tables/table9.xml" Id="R6706f5f1e7a5473f" /></Relationships>
</file>

<file path=xl/worksheets/_rels/sheet13.xml.rels>&#65279;<?xml version="1.0" encoding="utf-8"?><Relationships xmlns="http://schemas.openxmlformats.org/package/2006/relationships"><Relationship Type="http://schemas.openxmlformats.org/officeDocument/2006/relationships/table" Target="/xl/tables/table10.xml" Id="R394864548012446f" /></Relationships>
</file>

<file path=xl/worksheets/_rels/sheet14.xml.rels>&#65279;<?xml version="1.0" encoding="utf-8"?><Relationships xmlns="http://schemas.openxmlformats.org/package/2006/relationships"><Relationship Type="http://schemas.openxmlformats.org/officeDocument/2006/relationships/table" Target="/xl/tables/table11.xml" Id="R73615fd5fb354df9" /></Relationships>
</file>

<file path=xl/worksheets/_rels/sheet15.xml.rels>&#65279;<?xml version="1.0" encoding="utf-8"?><Relationships xmlns="http://schemas.openxmlformats.org/package/2006/relationships"><Relationship Type="http://schemas.openxmlformats.org/officeDocument/2006/relationships/table" Target="/xl/tables/table12.xml" Id="Rea44d0c633424b36" /></Relationships>
</file>

<file path=xl/worksheets/_rels/sheet16.xml.rels>&#65279;<?xml version="1.0" encoding="utf-8"?><Relationships xmlns="http://schemas.openxmlformats.org/package/2006/relationships"><Relationship Type="http://schemas.openxmlformats.org/officeDocument/2006/relationships/table" Target="/xl/tables/table13.xml" Id="R260d326d62bf46ec"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4a003f8b97e4538"/>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eb051a530c96471a"/>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256</x:v>
      </x:c>
      <x:c r="D6" s="133" t="inlineStr">
        <x:is>
          <x:t xml:space="preserve">G0A — Corporate platform architecture ready</x:t>
        </x:is>
      </x:c>
      <x:c r="E6" s="32" t="str">
        <x:f>'03 Launch Gates'!D20</x:f>
        <x:v>Completed</x:v>
      </x:c>
      <x:c r="G6" t="inlineStr">
        <x:is>
          <x:t xml:space="preserve">UI Tasks Complete</x:t>
        </x:is>
      </x:c>
      <x:c r="H6" t="n">
        <x:f>SUM(B36:B46)</x:f>
        <x:v>34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0.6975476839237057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0.7163636363636363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9</x:v>
      </x:c>
      <x:c r="C36" s="133" t="n">
        <x:f>COUNTIFS('01 Master Plan'!C$5:C$383,A36,'01 Master Plan'!H$5:H$383,"In Progress")</x:f>
        <x:v>0</x:v>
      </x:c>
      <x:c r="D36" s="133" t="n">
        <x:f>COUNTIFS('01 Master Plan'!C$5:C$383,A36,'01 Master Plan'!H$5:H$383,"Not Started")</x:f>
        <x:v>1</x:v>
      </x:c>
      <x:c r="E36" s="133" t="n">
        <x:f>COUNTIFS('01 Master Plan'!C$5:C$383,A36,'01 Master Plan'!H$5:H$383,"Blocked")</x:f>
        <x:v>0</x:v>
      </x:c>
      <x:c r="F36" s="133" t="n">
        <x:f>COUNTIFS('01 Master Plan'!C$5:C$383,A36,'01 Master Plan'!H$5:H$383,"Deferred")</x:f>
        <x:v>0</x:v>
      </x:c>
      <x:c r="G36" s="255" t="n">
        <x:f>IFERROR(B36/(B36+C36+D36+E36),0)</x:f>
        <x:v>0.9</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3ba65f09b49b4fe2"/>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e215a9b4923431a"/>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f7b521e447b4430"/>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a22964f2a614fb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8e66d75bb7be4610"/>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b0a1b5dab06545ea"/>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95c0df7f0bac48cd"/>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706f5f1e7a5473f"/>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In Progress</x:v>
      </x:c>
      <x:c r="J5" s="133" t="str">
        <x:v>13A-01 through 13A-09 complete. Baseline scorecard coverage recorded for all 23 entries; 11 verified scores and 12 explicit UNVERIFIED entries. 13A-10 approval remains.</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94864548012446f"/>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73615fd5fb354df9"/>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ea44d0c633424b3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260d326d62bf46ec"/>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