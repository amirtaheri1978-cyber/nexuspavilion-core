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0426d24aafe4e03" /></Relationships>
</file>

<file path=xl/workbook.xml><?xml version="1.0" encoding="utf-8"?>
<x:workbook xmlns:x="http://schemas.openxmlformats.org/spreadsheetml/2006/main">
  <x:sheets>
    <x:sheet xmlns:r="http://schemas.openxmlformats.org/officeDocument/2006/relationships" name="01 Master Plan" sheetId="1" r:id="Ref04d2a74df74ac1"/>
    <x:sheet xmlns:r="http://schemas.openxmlformats.org/officeDocument/2006/relationships" name="03 Launch Gates" sheetId="2" r:id="R09cea87006884ed7"/>
    <x:sheet xmlns:r="http://schemas.openxmlformats.org/officeDocument/2006/relationships" name="00 Dashboard" sheetId="3" r:id="R764ba600e2d34f4e"/>
    <x:sheet xmlns:r="http://schemas.openxmlformats.org/officeDocument/2006/relationships" name="04 Cursor Tasks" sheetId="4" r:id="R5de0280a148d4a63"/>
    <x:sheet xmlns:r="http://schemas.openxmlformats.org/officeDocument/2006/relationships" name="05 UAT Matrix" sheetId="5" r:id="R27cbbe30c37c494e"/>
    <x:sheet xmlns:r="http://schemas.openxmlformats.org/officeDocument/2006/relationships" name="06 Security Matrix" sheetId="6" r:id="R5c80af67a5904c8f"/>
    <x:sheet xmlns:r="http://schemas.openxmlformats.org/officeDocument/2006/relationships" name="07 Risks" sheetId="7" r:id="Rdb836c84f46244fc"/>
    <x:sheet xmlns:r="http://schemas.openxmlformats.org/officeDocument/2006/relationships" name="08 Architecture" sheetId="8" r:id="Rcafe134d01464abc"/>
    <x:sheet xmlns:r="http://schemas.openxmlformats.org/officeDocument/2006/relationships" name="09 Release Checklist" sheetId="9" r:id="Rf0c11e3dbd8b47e2"/>
    <x:sheet xmlns:r="http://schemas.openxmlformats.org/officeDocument/2006/relationships" name="10 Change Log" sheetId="10" r:id="Rb98efbb595174828"/>
    <x:sheet xmlns:r="http://schemas.openxmlformats.org/officeDocument/2006/relationships" name="11 Scope &amp; Roadmap" sheetId="11" r:id="Rc4d732b85ffa4567"/>
    <x:sheet xmlns:r="http://schemas.openxmlformats.org/officeDocument/2006/relationships" name="12 How to Use" sheetId="12" r:id="R85fd7b32b44346dd"/>
    <x:sheet xmlns:r="http://schemas.openxmlformats.org/officeDocument/2006/relationships" name="13 UI Program" sheetId="13" r:id="R4c17c1cb468a4334"/>
    <x:sheet xmlns:r="http://schemas.openxmlformats.org/officeDocument/2006/relationships" name="14 UI Scorecard" sheetId="14" r:id="Rc540a970fa844c60"/>
    <x:sheet xmlns:r="http://schemas.openxmlformats.org/officeDocument/2006/relationships" name="15 Motion Guidance" sheetId="15" r:id="R1851f782221b4a3f"/>
    <x:sheet xmlns:r="http://schemas.openxmlformats.org/officeDocument/2006/relationships" name="16 Design Standards" sheetId="16" r:id="R9c9b971a74614368"/>
    <x:sheet xmlns:r="http://schemas.openxmlformats.org/officeDocument/2006/relationships" name="17 Corporate Platform" sheetId="17" r:id="R64a9f04d9b7542da"/>
    <x:sheet xmlns:r="http://schemas.openxmlformats.org/officeDocument/2006/relationships" name="18 Analytics Reuse Map" sheetId="18" r:id="Rfc33ed6bec034791"/>
    <x:sheet xmlns:r="http://schemas.openxmlformats.org/officeDocument/2006/relationships" name="19 Executive Insights Discovery" sheetId="19" r:id="R47e156c5068b4ebc"/>
    <x:sheet xmlns:r="http://schemas.openxmlformats.org/officeDocument/2006/relationships" name="20 Procurement Insights Discovery" sheetId="20" r:id="Ra2c407d0229e4ee3"/>
    <x:sheet xmlns:r="http://schemas.openxmlformats.org/officeDocument/2006/relationships" name="21 Commercial Insights Discovery" sheetId="21" r:id="R64a6af8d9de149be"/>
    <x:sheet xmlns:r="http://schemas.openxmlformats.org/officeDocument/2006/relationships" name="22 Project Insights Discovery" sheetId="22" r:id="R06a4087aef4b458d"/>
    <x:sheet xmlns:r="http://schemas.openxmlformats.org/officeDocument/2006/relationships" name="23 Performance Discovery" sheetId="23" r:id="R325ed391eec040ad"/>
    <x:sheet xmlns:r="http://schemas.openxmlformats.org/officeDocument/2006/relationships" name="24 Risk Compliance Discovery" sheetId="24" r:id="Rce62cd16e63f4c9b"/>
    <x:sheet xmlns:r="http://schemas.openxmlformats.org/officeDocument/2006/relationships" name="25 Commercial Handoff" sheetId="25" r:id="Rb19d6e1838ce4634"/>
    <x:sheet xmlns:r="http://schemas.openxmlformats.org/officeDocument/2006/relationships" name="26 RFQ Governance" sheetId="26" r:id="R6a50e1e35113458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3f98f708008249f5" /><Relationship Type="http://schemas.openxmlformats.org/officeDocument/2006/relationships/theme" Target="/xl/theme/theme1.xml" Id="R945e18c19ade42f6" /><Relationship Type="http://schemas.openxmlformats.org/officeDocument/2006/relationships/sharedStrings" Target="/xl/sharedStrings.xml" Id="Re18ea45e8dc7432f" /><Relationship Type="http://schemas.openxmlformats.org/officeDocument/2006/relationships/worksheet" Target="/xl/worksheets/sheet1.xml" Id="Ref04d2a74df74ac1" /><Relationship Type="http://schemas.openxmlformats.org/officeDocument/2006/relationships/worksheet" Target="/xl/worksheets/sheet2.xml" Id="R09cea87006884ed7" /><Relationship Type="http://schemas.openxmlformats.org/officeDocument/2006/relationships/worksheet" Target="/xl/worksheets/sheet3.xml" Id="R764ba600e2d34f4e" /><Relationship Type="http://schemas.openxmlformats.org/officeDocument/2006/relationships/worksheet" Target="/xl/worksheets/sheet4.xml" Id="R5de0280a148d4a63" /><Relationship Type="http://schemas.openxmlformats.org/officeDocument/2006/relationships/worksheet" Target="/xl/worksheets/sheet5.xml" Id="R27cbbe30c37c494e" /><Relationship Type="http://schemas.openxmlformats.org/officeDocument/2006/relationships/worksheet" Target="/xl/worksheets/sheet6.xml" Id="R5c80af67a5904c8f" /><Relationship Type="http://schemas.openxmlformats.org/officeDocument/2006/relationships/worksheet" Target="/xl/worksheets/sheet7.xml" Id="Rdb836c84f46244fc" /><Relationship Type="http://schemas.openxmlformats.org/officeDocument/2006/relationships/worksheet" Target="/xl/worksheets/sheet8.xml" Id="Rcafe134d01464abc" /><Relationship Type="http://schemas.openxmlformats.org/officeDocument/2006/relationships/worksheet" Target="/xl/worksheets/sheet9.xml" Id="Rf0c11e3dbd8b47e2" /><Relationship Type="http://schemas.openxmlformats.org/officeDocument/2006/relationships/worksheet" Target="/xl/worksheets/sheet10.xml" Id="Rb98efbb595174828" /><Relationship Type="http://schemas.openxmlformats.org/officeDocument/2006/relationships/worksheet" Target="/xl/worksheets/sheet11.xml" Id="Rc4d732b85ffa4567" /><Relationship Type="http://schemas.openxmlformats.org/officeDocument/2006/relationships/worksheet" Target="/xl/worksheets/sheet12.xml" Id="R85fd7b32b44346dd" /><Relationship Type="http://schemas.openxmlformats.org/officeDocument/2006/relationships/worksheet" Target="/xl/worksheets/sheet13.xml" Id="R4c17c1cb468a4334" /><Relationship Type="http://schemas.openxmlformats.org/officeDocument/2006/relationships/worksheet" Target="/xl/worksheets/sheet14.xml" Id="Rc540a970fa844c60" /><Relationship Type="http://schemas.openxmlformats.org/officeDocument/2006/relationships/worksheet" Target="/xl/worksheets/sheet15.xml" Id="R1851f782221b4a3f" /><Relationship Type="http://schemas.openxmlformats.org/officeDocument/2006/relationships/worksheet" Target="/xl/worksheets/sheet16.xml" Id="R9c9b971a74614368" /><Relationship Type="http://schemas.openxmlformats.org/officeDocument/2006/relationships/worksheet" Target="/xl/worksheets/sheet17.xml" Id="R64a9f04d9b7542da" /><Relationship Type="http://schemas.openxmlformats.org/officeDocument/2006/relationships/worksheet" Target="/xl/worksheets/sheet18.xml" Id="Rfc33ed6bec034791" /><Relationship Type="http://schemas.openxmlformats.org/officeDocument/2006/relationships/worksheet" Target="/xl/worksheets/sheet19.xml" Id="R47e156c5068b4ebc" /><Relationship Type="http://schemas.openxmlformats.org/officeDocument/2006/relationships/worksheet" Target="/xl/worksheets/sheet20.xml" Id="Ra2c407d0229e4ee3" /><Relationship Type="http://schemas.openxmlformats.org/officeDocument/2006/relationships/worksheet" Target="/xl/worksheets/sheet21.xml" Id="R64a6af8d9de149be" /><Relationship Type="http://schemas.openxmlformats.org/officeDocument/2006/relationships/worksheet" Target="/xl/worksheets/sheet22.xml" Id="R06a4087aef4b458d" /><Relationship Type="http://schemas.openxmlformats.org/officeDocument/2006/relationships/worksheet" Target="/xl/worksheets/sheet23.xml" Id="R325ed391eec040ad" /><Relationship Type="http://schemas.openxmlformats.org/officeDocument/2006/relationships/worksheet" Target="/xl/worksheets/sheet24.xml" Id="Rce62cd16e63f4c9b" /><Relationship Type="http://schemas.openxmlformats.org/officeDocument/2006/relationships/worksheet" Target="/xl/worksheets/sheet25.xml" Id="Rb19d6e1838ce4634" /><Relationship Type="http://schemas.openxmlformats.org/officeDocument/2006/relationships/worksheet" Target="/xl/worksheets/sheet26.xml" Id="R6a50e1e351134584" /></Relationships>
</file>

<file path=xl/drawings/_rels/drawing1.xml.rels>&#65279;<?xml version="1.0" encoding="utf-8"?><Relationships xmlns="http://schemas.openxmlformats.org/package/2006/relationships"><Relationship Type="http://schemas.openxmlformats.org/officeDocument/2006/relationships/chart" Target="/xl/drawings/charts/chart1.xml" Id="Rbb11d78cfe06482f"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b11d78cfe06482f"/>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46ae9927c4444b48" /></Relationships>
</file>

<file path=xl/worksheets/_rels/sheet2.xml.rels>&#65279;<?xml version="1.0" encoding="utf-8"?><Relationships xmlns="http://schemas.openxmlformats.org/package/2006/relationships"><Relationship Type="http://schemas.openxmlformats.org/officeDocument/2006/relationships/table" Target="/xl/tables/table2.xml" Id="R9e68e8050d6644dc" /></Relationships>
</file>

<file path=xl/worksheets/_rels/sheet3.xml.rels>&#65279;<?xml version="1.0" encoding="utf-8"?><Relationships xmlns="http://schemas.openxmlformats.org/package/2006/relationships"><Relationship Type="http://schemas.openxmlformats.org/officeDocument/2006/relationships/drawing" Target="/xl/drawings/drawing1.xml" Id="R48aea19c010f4ea0" /></Relationships>
</file>

<file path=xl/worksheets/_rels/sheet4.xml.rels>&#65279;<?xml version="1.0" encoding="utf-8"?><Relationships xmlns="http://schemas.openxmlformats.org/package/2006/relationships"><Relationship Type="http://schemas.openxmlformats.org/officeDocument/2006/relationships/table" Target="/xl/tables/table3.xml" Id="R3bf099c4d2e24db0" /></Relationships>
</file>

<file path=xl/worksheets/_rels/sheet5.xml.rels>&#65279;<?xml version="1.0" encoding="utf-8"?><Relationships xmlns="http://schemas.openxmlformats.org/package/2006/relationships"><Relationship Type="http://schemas.openxmlformats.org/officeDocument/2006/relationships/table" Target="/xl/tables/table4.xml" Id="Ra6115103cd4147ab" /></Relationships>
</file>

<file path=xl/worksheets/_rels/sheet6.xml.rels>&#65279;<?xml version="1.0" encoding="utf-8"?><Relationships xmlns="http://schemas.openxmlformats.org/package/2006/relationships"><Relationship Type="http://schemas.openxmlformats.org/officeDocument/2006/relationships/table" Target="/xl/tables/table5.xml" Id="R89f9ef76e00c4da2" /></Relationships>
</file>

<file path=xl/worksheets/_rels/sheet7.xml.rels>&#65279;<?xml version="1.0" encoding="utf-8"?><Relationships xmlns="http://schemas.openxmlformats.org/package/2006/relationships"><Relationship Type="http://schemas.openxmlformats.org/officeDocument/2006/relationships/table" Target="/xl/tables/table6.xml" Id="Rad7359081ce64834" /></Relationships>
</file>

<file path=xl/worksheets/_rels/sheet9.xml.rels>&#65279;<?xml version="1.0" encoding="utf-8"?><Relationships xmlns="http://schemas.openxmlformats.org/package/2006/relationships"><Relationship Type="http://schemas.openxmlformats.org/officeDocument/2006/relationships/table" Target="/xl/tables/table7.xml" Id="Re65a201b3d524a18" /></Relationships>
</file>

<file path=xl/worksheets/_rels/sheet10.xml.rels>&#65279;<?xml version="1.0" encoding="utf-8"?><Relationships xmlns="http://schemas.openxmlformats.org/package/2006/relationships"><Relationship Type="http://schemas.openxmlformats.org/officeDocument/2006/relationships/table" Target="/xl/tables/table8.xml" Id="Rac944f39b52c4970" /></Relationships>
</file>

<file path=xl/worksheets/_rels/sheet11.xml.rels>&#65279;<?xml version="1.0" encoding="utf-8"?><Relationships xmlns="http://schemas.openxmlformats.org/package/2006/relationships"><Relationship Type="http://schemas.openxmlformats.org/officeDocument/2006/relationships/table" Target="/xl/tables/table9.xml" Id="R7701b42ab6c04b1f" /></Relationships>
</file>

<file path=xl/worksheets/_rels/sheet13.xml.rels>&#65279;<?xml version="1.0" encoding="utf-8"?><Relationships xmlns="http://schemas.openxmlformats.org/package/2006/relationships"><Relationship Type="http://schemas.openxmlformats.org/officeDocument/2006/relationships/table" Target="/xl/tables/table10.xml" Id="R1f1f7f2909ef4743" /></Relationships>
</file>

<file path=xl/worksheets/_rels/sheet14.xml.rels>&#65279;<?xml version="1.0" encoding="utf-8"?><Relationships xmlns="http://schemas.openxmlformats.org/package/2006/relationships"><Relationship Type="http://schemas.openxmlformats.org/officeDocument/2006/relationships/table" Target="/xl/tables/table11.xml" Id="R6dd01c96df484b9a" /></Relationships>
</file>

<file path=xl/worksheets/_rels/sheet15.xml.rels>&#65279;<?xml version="1.0" encoding="utf-8"?><Relationships xmlns="http://schemas.openxmlformats.org/package/2006/relationships"><Relationship Type="http://schemas.openxmlformats.org/officeDocument/2006/relationships/table" Target="/xl/tables/table12.xml" Id="R9a45b30d56384166" /></Relationships>
</file>

<file path=xl/worksheets/_rels/sheet16.xml.rels>&#65279;<?xml version="1.0" encoding="utf-8"?><Relationships xmlns="http://schemas.openxmlformats.org/package/2006/relationships"><Relationship Type="http://schemas.openxmlformats.org/officeDocument/2006/relationships/table" Target="/xl/tables/table13.xml" Id="R8bf4ea0f10e04e05"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f>IF(H250="Completed","✓",IF(H250="Blocked","!",""))</x:f>
      </x:c>
      <x:c r="B250" s="133" t="inlineStr">
        <x:is>
          <x:t xml:space="preserve">13C-04</x:t>
        </x:is>
      </x:c>
      <x:c r="C250" s="133" t="inlineStr">
        <x:is>
          <x:t xml:space="preserve">13C Shared Enterprise Components</x:t>
        </x:is>
      </x:c>
      <x:c r="D250" s="133" t="inlineStr">
        <x:is>
          <x:t xml:space="preserve">Components</x:t>
        </x:is>
      </x:c>
      <x:c r="E250" s="133" t="inlineStr">
        <x:is>
          <x:t xml:space="preserve">Standardize badges/status chips</x:t>
        </x:is>
      </x:c>
      <x:c r="F250" s="133" t="inlineStr">
        <x:is>
          <x:t xml:space="preserve">RFQ, RFI, quote, award, risk and workflow statuses use one semantic badge system.</x:t>
        </x:is>
      </x:c>
      <x:c r="G250" s="133" t="inlineStr">
        <x:is>
          <x:t xml:space="preserve">P0</x:t>
        </x:is>
      </x:c>
      <x:c r="H250" s="133" t="inlineStr">
        <x:is>
          <x:t xml:space="preserve">Not Started</x:t>
        </x:is>
      </x:c>
      <x:c r="I250" s="133" t="str"/>
      <x:c r="J250" s="133" t="str"/>
      <x:c r="K250" s="133" t="inlineStr">
        <x:is>
          <x:t xml:space="preserve">13B-12</x:t>
        </x:is>
      </x:c>
      <x:c r="L250" s="133" t="str"/>
      <x:c r="M250" s="133" t="str"/>
      <x:c r="N250" s="249" t="n"/>
      <x:c r="O250" s="249" t="n"/>
      <x:c r="P250" s="135" t="str"/>
    </x:row>
    <x:row r="251">
      <x:c r="A251" s="133" t="str">
        <x:f>IF(H251="Completed","✓",IF(H251="Blocked","!",""))</x:f>
      </x:c>
      <x:c r="B251" s="133" t="inlineStr">
        <x:is>
          <x:t xml:space="preserve">13C-05</x:t>
        </x:is>
      </x:c>
      <x:c r="C251" s="133" t="inlineStr">
        <x:is>
          <x:t xml:space="preserve">13C Shared Enterprise Components</x:t>
        </x:is>
      </x:c>
      <x:c r="D251" s="133" t="inlineStr">
        <x:is>
          <x:t xml:space="preserve">Components</x:t>
        </x:is>
      </x:c>
      <x:c r="E251" s="133" t="inlineStr">
        <x:is>
          <x:t xml:space="preserve">Standardize card roles</x:t>
        </x:is>
      </x:c>
      <x:c r="F251" s="133" t="inlineStr">
        <x:is>
          <x:t xml:space="preserve">Only Status/Metric/Action/Intelligence/Summary cards remain; redundant card variants are consolidated.</x:t>
        </x:is>
      </x:c>
      <x:c r="G251" s="133" t="inlineStr">
        <x:is>
          <x:t xml:space="preserve">P0</x:t>
        </x:is>
      </x:c>
      <x:c r="H251" s="133" t="inlineStr">
        <x:is>
          <x:t xml:space="preserve">Not Started</x:t>
        </x:is>
      </x:c>
      <x:c r="I251" s="133" t="str"/>
      <x:c r="J251" s="133" t="str"/>
      <x:c r="K251" s="133" t="inlineStr">
        <x:is>
          <x:t xml:space="preserve">13B-12</x:t>
        </x:is>
      </x:c>
      <x:c r="L251" s="133" t="str"/>
      <x:c r="M251" s="133" t="str"/>
      <x:c r="N251" s="249" t="n"/>
      <x:c r="O251" s="249" t="n"/>
      <x:c r="P251" s="135" t="str"/>
    </x:row>
    <x:row r="252">
      <x:c r="A252" s="133" t="str">
        <x:f>IF(H252="Completed","✓",IF(H252="Blocked","!",""))</x:f>
      </x:c>
      <x:c r="B252" s="133" t="inlineStr">
        <x:is>
          <x:t xml:space="preserve">13C-06</x:t>
        </x:is>
      </x:c>
      <x:c r="C252" s="133" t="inlineStr">
        <x:is>
          <x:t xml:space="preserve">13C Shared Enterprise Components</x:t>
        </x:is>
      </x:c>
      <x:c r="D252" s="133" t="inlineStr">
        <x:is>
          <x:t xml:space="preserve">Components</x:t>
        </x:is>
      </x:c>
      <x:c r="E252" s="133" t="inlineStr">
        <x:is>
          <x:t xml:space="preserve">Standardize enterprise tables</x:t>
        </x:is>
      </x:c>
      <x:c r="F252" s="133" t="inlineStr">
        <x:is>
          <x:t xml:space="preserve">Sticky headers, alignment, density, overflow, sorting/filter visual states and responsive behavior are consistent.</x:t>
        </x:is>
      </x:c>
      <x:c r="G252" s="133" t="inlineStr">
        <x:is>
          <x:t xml:space="preserve">P0</x:t>
        </x:is>
      </x:c>
      <x:c r="H252" s="133" t="inlineStr">
        <x:is>
          <x:t xml:space="preserve">Not Started</x:t>
        </x:is>
      </x:c>
      <x:c r="I252" s="133" t="str"/>
      <x:c r="J252" s="133" t="str"/>
      <x:c r="K252" s="133" t="inlineStr">
        <x:is>
          <x:t xml:space="preserve">13B-12</x:t>
        </x:is>
      </x:c>
      <x:c r="L252" s="133" t="str"/>
      <x:c r="M252" s="133" t="str"/>
      <x:c r="N252" s="249" t="n"/>
      <x:c r="O252" s="249" t="n"/>
      <x:c r="P252" s="135" t="str"/>
    </x:row>
    <x:row r="253">
      <x:c r="A253" s="133" t="str">
        <x:f>IF(H253="Completed","✓",IF(H253="Blocked","!",""))</x:f>
      </x:c>
      <x:c r="B253" s="133" t="inlineStr">
        <x:is>
          <x:t xml:space="preserve">13C-07</x:t>
        </x:is>
      </x:c>
      <x:c r="C253" s="133" t="inlineStr">
        <x:is>
          <x:t xml:space="preserve">13C Shared Enterprise Components</x:t>
        </x:is>
      </x:c>
      <x:c r="D253" s="133" t="inlineStr">
        <x:is>
          <x:t xml:space="preserve">Components</x:t>
        </x:is>
      </x:c>
      <x:c r="E253" s="133" t="inlineStr">
        <x:is>
          <x:t xml:space="preserve">Standardize dialogs and confirmation modals</x:t>
        </x:is>
      </x:c>
      <x:c r="F253" s="133" t="inlineStr">
        <x:is>
          <x:t xml:space="preserve">Consequential actions use consistent confirmation hierarchy and keyboard behavior.</x:t>
        </x:is>
      </x:c>
      <x:c r="G253" s="133" t="inlineStr">
        <x:is>
          <x:t xml:space="preserve">P0</x:t>
        </x:is>
      </x:c>
      <x:c r="H253" s="133" t="inlineStr">
        <x:is>
          <x:t xml:space="preserve">Not Started</x:t>
        </x:is>
      </x:c>
      <x:c r="I253" s="133" t="str"/>
      <x:c r="J253" s="133" t="str"/>
      <x:c r="K253" s="133" t="inlineStr">
        <x:is>
          <x:t xml:space="preserve">13B-12</x:t>
        </x:is>
      </x:c>
      <x:c r="L253" s="133" t="str"/>
      <x:c r="M253" s="133" t="str"/>
      <x:c r="N253" s="249" t="n"/>
      <x:c r="O253" s="249" t="n"/>
      <x:c r="P253" s="135" t="str"/>
    </x:row>
    <x:row r="254">
      <x:c r="A254" s="133" t="str">
        <x:f>IF(H254="Completed","✓",IF(H254="Blocked","!",""))</x:f>
      </x:c>
      <x:c r="B254" s="133" t="inlineStr">
        <x:is>
          <x:t xml:space="preserve">13C-08</x:t>
        </x:is>
      </x:c>
      <x:c r="C254" s="133" t="inlineStr">
        <x:is>
          <x:t xml:space="preserve">13C Shared Enterprise Components</x:t>
        </x:is>
      </x:c>
      <x:c r="D254" s="133" t="inlineStr">
        <x:is>
          <x:t xml:space="preserve">Components</x:t>
        </x:is>
      </x:c>
      <x:c r="E254" s="133" t="inlineStr">
        <x:is>
          <x:t xml:space="preserve">Standardize drawers/side panels</x:t>
        </x:is>
      </x:c>
      <x:c r="F254" s="133" t="inlineStr">
        <x:is>
          <x:t xml:space="preserve">Contextual help, filters, details and intelligence use reusable drawer primitives.</x:t>
        </x:is>
      </x:c>
      <x:c r="G254" s="133" t="inlineStr">
        <x:is>
          <x:t xml:space="preserve">P0</x:t>
        </x:is>
      </x:c>
      <x:c r="H254" s="133" t="inlineStr">
        <x:is>
          <x:t xml:space="preserve">Not Started</x:t>
        </x:is>
      </x:c>
      <x:c r="I254" s="133" t="str"/>
      <x:c r="J254" s="133" t="str"/>
      <x:c r="K254" s="133" t="inlineStr">
        <x:is>
          <x:t xml:space="preserve">13B-12</x:t>
        </x:is>
      </x:c>
      <x:c r="L254" s="133" t="str"/>
      <x:c r="M254" s="133" t="str"/>
      <x:c r="N254" s="249" t="n"/>
      <x:c r="O254" s="249" t="n"/>
      <x:c r="P254" s="135" t="str"/>
    </x:row>
    <x:row r="255">
      <x:c r="A255" s="133" t="str">
        <x:f>IF(H255="Completed","✓",IF(H255="Blocked","!",""))</x:f>
      </x:c>
      <x:c r="B255" s="133" t="inlineStr">
        <x:is>
          <x:t xml:space="preserve">13C-09</x:t>
        </x:is>
      </x:c>
      <x:c r="C255" s="133" t="inlineStr">
        <x:is>
          <x:t xml:space="preserve">13C Shared Enterprise Components</x:t>
        </x:is>
      </x:c>
      <x:c r="D255" s="133" t="inlineStr">
        <x:is>
          <x:t xml:space="preserve">Components</x:t>
        </x:is>
      </x:c>
      <x:c r="E255" s="133" t="inlineStr">
        <x:is>
          <x:t xml:space="preserve">Standardize tooltips/popovers</x:t>
        </x:is>
      </x:c>
      <x:c r="F255" s="133" t="inlineStr">
        <x:is>
          <x:t xml:space="preserve">Short contextual explanations share timing, placement and accessibility behavior.</x:t>
        </x:is>
      </x:c>
      <x:c r="G255" s="133" t="inlineStr">
        <x:is>
          <x:t xml:space="preserve">P1</x:t>
        </x:is>
      </x:c>
      <x:c r="H255" s="133" t="inlineStr">
        <x:is>
          <x:t xml:space="preserve">Not Started</x:t>
        </x:is>
      </x:c>
      <x:c r="I255" s="133" t="str"/>
      <x:c r="J255" s="133" t="str"/>
      <x:c r="K255" s="133" t="inlineStr">
        <x:is>
          <x:t xml:space="preserve">13B-12</x:t>
        </x:is>
      </x:c>
      <x:c r="L255" s="133" t="str"/>
      <x:c r="M255" s="133" t="str"/>
      <x:c r="N255" s="249" t="n"/>
      <x:c r="O255" s="249" t="n"/>
      <x:c r="P255" s="135" t="str"/>
    </x:row>
    <x:row r="256">
      <x:c r="A256" s="133" t="str">
        <x:f>IF(H256="Completed","✓",IF(H256="Blocked","!",""))</x:f>
      </x:c>
      <x:c r="B256" s="133" t="inlineStr">
        <x:is>
          <x:t xml:space="preserve">13C-10</x:t>
        </x:is>
      </x:c>
      <x:c r="C256" s="133" t="inlineStr">
        <x:is>
          <x:t xml:space="preserve">13C Shared Enterprise Components</x:t>
        </x:is>
      </x:c>
      <x:c r="D256" s="133" t="inlineStr">
        <x:is>
          <x:t xml:space="preserve">Components</x:t>
        </x:is>
      </x:c>
      <x:c r="E256" s="133" t="inlineStr">
        <x:is>
          <x:t xml:space="preserve">Standardize toast/inline feedback</x:t>
        </x:is>
      </x:c>
      <x:c r="F256" s="133" t="inlineStr">
        <x:is>
          <x:t xml:space="preserve">Success, error, warning and informational feedback share one non-intrusive system.</x:t>
        </x:is>
      </x:c>
      <x:c r="G256" s="133" t="inlineStr">
        <x:is>
          <x:t xml:space="preserve">P0</x:t>
        </x:is>
      </x:c>
      <x:c r="H256" s="133" t="inlineStr">
        <x:is>
          <x:t xml:space="preserve">Not Started</x:t>
        </x:is>
      </x:c>
      <x:c r="I256" s="133" t="str"/>
      <x:c r="J256" s="133" t="str"/>
      <x:c r="K256" s="133" t="inlineStr">
        <x:is>
          <x:t xml:space="preserve">13B-12</x:t>
        </x:is>
      </x:c>
      <x:c r="L256" s="133" t="str"/>
      <x:c r="M256" s="133" t="str"/>
      <x:c r="N256" s="249" t="n"/>
      <x:c r="O256" s="249" t="n"/>
      <x:c r="P256" s="135" t="str"/>
    </x:row>
    <x:row r="257">
      <x:c r="A257" s="133" t="str">
        <x:f>IF(H257="Completed","✓",IF(H257="Blocked","!",""))</x:f>
      </x:c>
      <x:c r="B257" s="133" t="inlineStr">
        <x:is>
          <x:t xml:space="preserve">13C-11</x:t>
        </x:is>
      </x:c>
      <x:c r="C257" s="133" t="inlineStr">
        <x:is>
          <x:t xml:space="preserve">13C Shared Enterprise Components</x:t>
        </x:is>
      </x:c>
      <x:c r="D257" s="133" t="inlineStr">
        <x:is>
          <x:t xml:space="preserve">Components</x:t>
        </x:is>
      </x:c>
      <x:c r="E257" s="133" t="inlineStr">
        <x:is>
          <x:t xml:space="preserve">Standardize loading/skeleton states</x:t>
        </x:is>
      </x:c>
      <x:c r="F257" s="133" t="inlineStr">
        <x:is>
          <x:t xml:space="preserve">Core async surfaces use reusable skeleton/progress patterns without artificial delays.</x:t>
        </x:is>
      </x:c>
      <x:c r="G257" s="133" t="inlineStr">
        <x:is>
          <x:t xml:space="preserve">P0</x:t>
        </x:is>
      </x:c>
      <x:c r="H257" s="133" t="inlineStr">
        <x:is>
          <x:t xml:space="preserve">Not Started</x:t>
        </x:is>
      </x:c>
      <x:c r="I257" s="133" t="str"/>
      <x:c r="J257" s="133" t="str"/>
      <x:c r="K257" s="133" t="inlineStr">
        <x:is>
          <x:t xml:space="preserve">13B-12</x:t>
        </x:is>
      </x:c>
      <x:c r="L257" s="133" t="str"/>
      <x:c r="M257" s="133" t="str"/>
      <x:c r="N257" s="249" t="n"/>
      <x:c r="O257" s="249" t="n"/>
      <x:c r="P257" s="135" t="str"/>
    </x:row>
    <x:row r="258">
      <x:c r="A258" s="133" t="str">
        <x:f>IF(H258="Completed","✓",IF(H258="Blocked","!",""))</x:f>
      </x:c>
      <x:c r="B258" s="133" t="inlineStr">
        <x:is>
          <x:t xml:space="preserve">13C-12</x:t>
        </x:is>
      </x:c>
      <x:c r="C258" s="133" t="inlineStr">
        <x:is>
          <x:t xml:space="preserve">13C Shared Enterprise Components</x:t>
        </x:is>
      </x:c>
      <x:c r="D258" s="133" t="inlineStr">
        <x:is>
          <x:t xml:space="preserve">Components</x:t>
        </x:is>
      </x:c>
      <x:c r="E258" s="133" t="inlineStr">
        <x:is>
          <x:t xml:space="preserve">Standardize empty states</x:t>
        </x:is>
      </x:c>
      <x:c r="F258" s="133" t="inlineStr">
        <x:is>
          <x:t xml:space="preserve">Empty states explain context and next action using reusable layout/content rules.</x:t>
        </x:is>
      </x:c>
      <x:c r="G258" s="133" t="inlineStr">
        <x:is>
          <x:t xml:space="preserve">P0</x:t>
        </x:is>
      </x:c>
      <x:c r="H258" s="133" t="inlineStr">
        <x:is>
          <x:t xml:space="preserve">Not Started</x:t>
        </x:is>
      </x:c>
      <x:c r="I258" s="133" t="str"/>
      <x:c r="J258" s="133" t="str"/>
      <x:c r="K258" s="133" t="inlineStr">
        <x:is>
          <x:t xml:space="preserve">13B-12</x:t>
        </x:is>
      </x:c>
      <x:c r="L258" s="133" t="str"/>
      <x:c r="M258" s="133" t="str"/>
      <x:c r="N258" s="249" t="n"/>
      <x:c r="O258" s="249" t="n"/>
      <x:c r="P258" s="135" t="str"/>
    </x:row>
    <x:row r="259">
      <x:c r="A259" s="133" t="str">
        <x:f>IF(H259="Completed","✓",IF(H259="Blocked","!",""))</x:f>
      </x:c>
      <x:c r="B259" s="133" t="inlineStr">
        <x:is>
          <x:t xml:space="preserve">13C-13</x:t>
        </x:is>
      </x:c>
      <x:c r="C259" s="133" t="inlineStr">
        <x:is>
          <x:t xml:space="preserve">13C Shared Enterprise Components</x:t>
        </x:is>
      </x:c>
      <x:c r="D259" s="133" t="inlineStr">
        <x:is>
          <x:t xml:space="preserve">Components</x:t>
        </x:is>
      </x:c>
      <x:c r="E259" s="133" t="inlineStr">
        <x:is>
          <x:t xml:space="preserve">Standardize error states</x:t>
        </x:is>
      </x:c>
      <x:c r="F259" s="133" t="inlineStr">
        <x:is>
          <x:t xml:space="preserve">Errors identify problem, impact and recovery action consistently.</x:t>
        </x:is>
      </x:c>
      <x:c r="G259" s="133" t="inlineStr">
        <x:is>
          <x:t xml:space="preserve">P0</x:t>
        </x:is>
      </x:c>
      <x:c r="H259" s="133" t="inlineStr">
        <x:is>
          <x:t xml:space="preserve">Not Started</x:t>
        </x:is>
      </x:c>
      <x:c r="I259" s="133" t="str"/>
      <x:c r="J259" s="133" t="str"/>
      <x:c r="K259" s="133" t="inlineStr">
        <x:is>
          <x:t xml:space="preserve">13B-12</x:t>
        </x:is>
      </x:c>
      <x:c r="L259" s="133" t="str"/>
      <x:c r="M259" s="133" t="str"/>
      <x:c r="N259" s="249" t="n"/>
      <x:c r="O259" s="249" t="n"/>
      <x:c r="P259" s="135" t="str"/>
    </x:row>
    <x:row r="260">
      <x:c r="A260" s="133" t="str">
        <x:f>IF(H260="Completed","✓",IF(H260="Blocked","!",""))</x:f>
      </x:c>
      <x:c r="B260" s="133" t="inlineStr">
        <x:is>
          <x:t xml:space="preserve">13C-14</x:t>
        </x:is>
      </x:c>
      <x:c r="C260" s="133" t="inlineStr">
        <x:is>
          <x:t xml:space="preserve">13C Shared Enterprise Components</x:t>
        </x:is>
      </x:c>
      <x:c r="D260" s="133" t="inlineStr">
        <x:is>
          <x:t xml:space="preserve">Components</x:t>
        </x:is>
      </x:c>
      <x:c r="E260" s="133" t="inlineStr">
        <x:is>
          <x:t xml:space="preserve">Create workflow stepper component</x:t>
        </x:is>
      </x:c>
      <x:c r="F260" s="133" t="inlineStr">
        <x:is>
          <x:t xml:space="preserve">Issuer/respondent lifecycle stages use one reusable accessible progress/navigation component.</x:t>
        </x:is>
      </x:c>
      <x:c r="G260" s="133" t="inlineStr">
        <x:is>
          <x:t xml:space="preserve">P0</x:t>
        </x:is>
      </x:c>
      <x:c r="H260" s="133" t="inlineStr">
        <x:is>
          <x:t xml:space="preserve">Not Started</x:t>
        </x:is>
      </x:c>
      <x:c r="I260" s="133" t="str"/>
      <x:c r="J260" s="133" t="str"/>
      <x:c r="K260" s="133" t="inlineStr">
        <x:is>
          <x:t xml:space="preserve">13B-12</x:t>
        </x:is>
      </x:c>
      <x:c r="L260" s="133" t="str"/>
      <x:c r="M260" s="133" t="str"/>
      <x:c r="N260" s="249" t="n"/>
      <x:c r="O260" s="249" t="n"/>
      <x:c r="P260" s="135" t="str"/>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46ae9927c4444b48"/>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9e68e8050d6644dc"/>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272</x:v>
      </x:c>
      <x:c r="D6" s="133" t="inlineStr">
        <x:is>
          <x:t xml:space="preserve">G0A — Corporate platform architecture ready</x:t>
        </x:is>
      </x:c>
      <x:c r="E6" s="32" t="str">
        <x:f>'03 Launch Gates'!D20</x:f>
        <x:v>Completed</x:v>
      </x:c>
      <x:c r="G6" t="inlineStr">
        <x:is>
          <x:t xml:space="preserve">UI Tasks Complete</x:t>
        </x:is>
      </x:c>
      <x:c r="H6" t="n">
        <x:f>SUM(B36:B46)</x:f>
        <x:v>50</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0.7411444141689373</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0.7672727272727272</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3</x:v>
      </x:c>
      <x:c r="C38" s="133" t="n">
        <x:f>COUNTIFS('01 Master Plan'!C$5:C$383,A38,'01 Master Plan'!H$5:H$383,"In Progress")</x:f>
        <x:v>0</x:v>
      </x:c>
      <x:c r="D38" s="133" t="n">
        <x:f>COUNTIFS('01 Master Plan'!C$5:C$383,A38,'01 Master Plan'!H$5:H$383,"Not Started")</x:f>
        <x:v>14</x:v>
      </x:c>
      <x:c r="E38" s="133" t="n">
        <x:f>COUNTIFS('01 Master Plan'!C$5:C$383,A38,'01 Master Plan'!H$5:H$383,"Blocked")</x:f>
        <x:v>0</x:v>
      </x:c>
      <x:c r="F38" s="133" t="n">
        <x:f>COUNTIFS('01 Master Plan'!C$5:C$383,A38,'01 Master Plan'!H$5:H$383,"Deferred")</x:f>
        <x:v>0</x:v>
      </x:c>
      <x:c r="G38" s="255" t="n">
        <x:f>IFERROR(B38/(B38+C38+D38+E38),0)</x:f>
        <x:v>0.17647058823529413</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48aea19c010f4ea0"/>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3bf099c4d2e24db0"/>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a6115103cd4147ab"/>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89f9ef76e00c4da2"/>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ad7359081ce64834"/>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e65a201b3d524a18"/>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ac944f39b52c4970"/>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7701b42ab6c04b1f"/>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U2 / Phase 13C IN PROGRESS — 13C-01 button system, 13C-02 form controls, and 13C-03 date/deadline controls complete. Next: 13C-04 Standardize badges/status chips.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1f1f7f2909ef4743"/>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6dd01c96df484b9a"/>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9a45b30d56384166"/>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8bf4ea0f10e04e05"/>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