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c6bdf8ca51a40f6" /></Relationships>
</file>

<file path=xl/workbook.xml><?xml version="1.0" encoding="utf-8"?>
<x:workbook xmlns:x="http://schemas.openxmlformats.org/spreadsheetml/2006/main">
  <x:sheets>
    <x:sheet xmlns:r="http://schemas.openxmlformats.org/officeDocument/2006/relationships" name="01 Master Plan" sheetId="1" r:id="R34fffc6ae98c4a69"/>
    <x:sheet xmlns:r="http://schemas.openxmlformats.org/officeDocument/2006/relationships" name="03 Launch Gates" sheetId="2" r:id="R7d6041485dbe4724"/>
    <x:sheet xmlns:r="http://schemas.openxmlformats.org/officeDocument/2006/relationships" name="00 Dashboard" sheetId="3" r:id="Radf5531db26b4854"/>
    <x:sheet xmlns:r="http://schemas.openxmlformats.org/officeDocument/2006/relationships" name="04 Cursor Tasks" sheetId="4" r:id="Rfaf633d852e34a73"/>
    <x:sheet xmlns:r="http://schemas.openxmlformats.org/officeDocument/2006/relationships" name="05 UAT Matrix" sheetId="5" r:id="Refae3d2bb0d14f10"/>
    <x:sheet xmlns:r="http://schemas.openxmlformats.org/officeDocument/2006/relationships" name="06 Security Matrix" sheetId="6" r:id="R9c35be3885324d48"/>
    <x:sheet xmlns:r="http://schemas.openxmlformats.org/officeDocument/2006/relationships" name="07 Risks" sheetId="7" r:id="R32bbe522a708470e"/>
    <x:sheet xmlns:r="http://schemas.openxmlformats.org/officeDocument/2006/relationships" name="08 Architecture" sheetId="8" r:id="Rcd7a124879c34e73"/>
    <x:sheet xmlns:r="http://schemas.openxmlformats.org/officeDocument/2006/relationships" name="09 Release Checklist" sheetId="9" r:id="R96e3ed97980748d6"/>
    <x:sheet xmlns:r="http://schemas.openxmlformats.org/officeDocument/2006/relationships" name="10 Change Log" sheetId="10" r:id="R359cf6a1e4284328"/>
    <x:sheet xmlns:r="http://schemas.openxmlformats.org/officeDocument/2006/relationships" name="11 Scope &amp; Roadmap" sheetId="11" r:id="Rb2475e2251c54f89"/>
    <x:sheet xmlns:r="http://schemas.openxmlformats.org/officeDocument/2006/relationships" name="12 How to Use" sheetId="12" r:id="R1b97d2e0c51e4a68"/>
    <x:sheet xmlns:r="http://schemas.openxmlformats.org/officeDocument/2006/relationships" name="13 UI Program" sheetId="13" r:id="R5f7fb2f80fa2461c"/>
    <x:sheet xmlns:r="http://schemas.openxmlformats.org/officeDocument/2006/relationships" name="14 UI Scorecard" sheetId="14" r:id="R3fdd1c061ec34541"/>
    <x:sheet xmlns:r="http://schemas.openxmlformats.org/officeDocument/2006/relationships" name="15 Motion Guidance" sheetId="15" r:id="R4ad94dd6c2254bef"/>
    <x:sheet xmlns:r="http://schemas.openxmlformats.org/officeDocument/2006/relationships" name="16 Design Standards" sheetId="16" r:id="R0787a20190f64604"/>
    <x:sheet xmlns:r="http://schemas.openxmlformats.org/officeDocument/2006/relationships" name="17 Corporate Platform" sheetId="17" r:id="R64156ce7aa394dc5"/>
    <x:sheet xmlns:r="http://schemas.openxmlformats.org/officeDocument/2006/relationships" name="18 Analytics Reuse Map" sheetId="18" r:id="R9626c9e6456b42d8"/>
    <x:sheet xmlns:r="http://schemas.openxmlformats.org/officeDocument/2006/relationships" name="19 Executive Insights Discovery" sheetId="19" r:id="R48aca9f189dc4863"/>
    <x:sheet xmlns:r="http://schemas.openxmlformats.org/officeDocument/2006/relationships" name="20 Procurement Insights Discovery" sheetId="20" r:id="Rd0b38da0137f4671"/>
    <x:sheet xmlns:r="http://schemas.openxmlformats.org/officeDocument/2006/relationships" name="21 Commercial Insights Discovery" sheetId="21" r:id="R8a8fa5962f994a46"/>
    <x:sheet xmlns:r="http://schemas.openxmlformats.org/officeDocument/2006/relationships" name="22 Project Insights Discovery" sheetId="22" r:id="R18af0b066f1541a0"/>
    <x:sheet xmlns:r="http://schemas.openxmlformats.org/officeDocument/2006/relationships" name="23 Performance Discovery" sheetId="23" r:id="R834d133e565048db"/>
    <x:sheet xmlns:r="http://schemas.openxmlformats.org/officeDocument/2006/relationships" name="24 Risk Compliance Discovery" sheetId="24" r:id="Rc46084bc121f4ce1"/>
    <x:sheet xmlns:r="http://schemas.openxmlformats.org/officeDocument/2006/relationships" name="25 Commercial Handoff" sheetId="25" r:id="Rad19e266b38645a6"/>
    <x:sheet xmlns:r="http://schemas.openxmlformats.org/officeDocument/2006/relationships" name="26 RFQ Governance" sheetId="26" r:id="R61c687ccf05d4468"/>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1c8021d7d4394e32" /><Relationship Type="http://schemas.openxmlformats.org/officeDocument/2006/relationships/theme" Target="/xl/theme/theme1.xml" Id="R3cc64e8efd7f42c4" /><Relationship Type="http://schemas.openxmlformats.org/officeDocument/2006/relationships/sharedStrings" Target="/xl/sharedStrings.xml" Id="R96b2b5ce277c43a3" /><Relationship Type="http://schemas.openxmlformats.org/officeDocument/2006/relationships/worksheet" Target="/xl/worksheets/sheet1.xml" Id="R34fffc6ae98c4a69" /><Relationship Type="http://schemas.openxmlformats.org/officeDocument/2006/relationships/worksheet" Target="/xl/worksheets/sheet2.xml" Id="R7d6041485dbe4724" /><Relationship Type="http://schemas.openxmlformats.org/officeDocument/2006/relationships/worksheet" Target="/xl/worksheets/sheet3.xml" Id="Radf5531db26b4854" /><Relationship Type="http://schemas.openxmlformats.org/officeDocument/2006/relationships/worksheet" Target="/xl/worksheets/sheet4.xml" Id="Rfaf633d852e34a73" /><Relationship Type="http://schemas.openxmlformats.org/officeDocument/2006/relationships/worksheet" Target="/xl/worksheets/sheet5.xml" Id="Refae3d2bb0d14f10" /><Relationship Type="http://schemas.openxmlformats.org/officeDocument/2006/relationships/worksheet" Target="/xl/worksheets/sheet6.xml" Id="R9c35be3885324d48" /><Relationship Type="http://schemas.openxmlformats.org/officeDocument/2006/relationships/worksheet" Target="/xl/worksheets/sheet7.xml" Id="R32bbe522a708470e" /><Relationship Type="http://schemas.openxmlformats.org/officeDocument/2006/relationships/worksheet" Target="/xl/worksheets/sheet8.xml" Id="Rcd7a124879c34e73" /><Relationship Type="http://schemas.openxmlformats.org/officeDocument/2006/relationships/worksheet" Target="/xl/worksheets/sheet9.xml" Id="R96e3ed97980748d6" /><Relationship Type="http://schemas.openxmlformats.org/officeDocument/2006/relationships/worksheet" Target="/xl/worksheets/sheet10.xml" Id="R359cf6a1e4284328" /><Relationship Type="http://schemas.openxmlformats.org/officeDocument/2006/relationships/worksheet" Target="/xl/worksheets/sheet11.xml" Id="Rb2475e2251c54f89" /><Relationship Type="http://schemas.openxmlformats.org/officeDocument/2006/relationships/worksheet" Target="/xl/worksheets/sheet12.xml" Id="R1b97d2e0c51e4a68" /><Relationship Type="http://schemas.openxmlformats.org/officeDocument/2006/relationships/worksheet" Target="/xl/worksheets/sheet13.xml" Id="R5f7fb2f80fa2461c" /><Relationship Type="http://schemas.openxmlformats.org/officeDocument/2006/relationships/worksheet" Target="/xl/worksheets/sheet14.xml" Id="R3fdd1c061ec34541" /><Relationship Type="http://schemas.openxmlformats.org/officeDocument/2006/relationships/worksheet" Target="/xl/worksheets/sheet15.xml" Id="R4ad94dd6c2254bef" /><Relationship Type="http://schemas.openxmlformats.org/officeDocument/2006/relationships/worksheet" Target="/xl/worksheets/sheet16.xml" Id="R0787a20190f64604" /><Relationship Type="http://schemas.openxmlformats.org/officeDocument/2006/relationships/worksheet" Target="/xl/worksheets/sheet17.xml" Id="R64156ce7aa394dc5" /><Relationship Type="http://schemas.openxmlformats.org/officeDocument/2006/relationships/worksheet" Target="/xl/worksheets/sheet18.xml" Id="R9626c9e6456b42d8" /><Relationship Type="http://schemas.openxmlformats.org/officeDocument/2006/relationships/worksheet" Target="/xl/worksheets/sheet19.xml" Id="R48aca9f189dc4863" /><Relationship Type="http://schemas.openxmlformats.org/officeDocument/2006/relationships/worksheet" Target="/xl/worksheets/sheet20.xml" Id="Rd0b38da0137f4671" /><Relationship Type="http://schemas.openxmlformats.org/officeDocument/2006/relationships/worksheet" Target="/xl/worksheets/sheet21.xml" Id="R8a8fa5962f994a46" /><Relationship Type="http://schemas.openxmlformats.org/officeDocument/2006/relationships/worksheet" Target="/xl/worksheets/sheet22.xml" Id="R18af0b066f1541a0" /><Relationship Type="http://schemas.openxmlformats.org/officeDocument/2006/relationships/worksheet" Target="/xl/worksheets/sheet23.xml" Id="R834d133e565048db" /><Relationship Type="http://schemas.openxmlformats.org/officeDocument/2006/relationships/worksheet" Target="/xl/worksheets/sheet24.xml" Id="Rc46084bc121f4ce1" /><Relationship Type="http://schemas.openxmlformats.org/officeDocument/2006/relationships/worksheet" Target="/xl/worksheets/sheet25.xml" Id="Rad19e266b38645a6" /><Relationship Type="http://schemas.openxmlformats.org/officeDocument/2006/relationships/worksheet" Target="/xl/worksheets/sheet26.xml" Id="R61c687ccf05d4468" /></Relationships>
</file>

<file path=xl/drawings/_rels/drawing1.xml.rels>&#65279;<?xml version="1.0" encoding="utf-8"?><Relationships xmlns="http://schemas.openxmlformats.org/package/2006/relationships"><Relationship Type="http://schemas.openxmlformats.org/officeDocument/2006/relationships/chart" Target="/xl/drawings/charts/chart1.xml" Id="R2ec10e373cd24159"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2ec10e373cd24159"/>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43adf4024b2f4bbc" /></Relationships>
</file>

<file path=xl/worksheets/_rels/sheet2.xml.rels>&#65279;<?xml version="1.0" encoding="utf-8"?><Relationships xmlns="http://schemas.openxmlformats.org/package/2006/relationships"><Relationship Type="http://schemas.openxmlformats.org/officeDocument/2006/relationships/table" Target="/xl/tables/table2.xml" Id="Rf474f69ee2434e38" /></Relationships>
</file>

<file path=xl/worksheets/_rels/sheet3.xml.rels>&#65279;<?xml version="1.0" encoding="utf-8"?><Relationships xmlns="http://schemas.openxmlformats.org/package/2006/relationships"><Relationship Type="http://schemas.openxmlformats.org/officeDocument/2006/relationships/drawing" Target="/xl/drawings/drawing1.xml" Id="R6d408c9b89854491" /></Relationships>
</file>

<file path=xl/worksheets/_rels/sheet4.xml.rels>&#65279;<?xml version="1.0" encoding="utf-8"?><Relationships xmlns="http://schemas.openxmlformats.org/package/2006/relationships"><Relationship Type="http://schemas.openxmlformats.org/officeDocument/2006/relationships/table" Target="/xl/tables/table3.xml" Id="R7503aab09fb04ec3" /></Relationships>
</file>

<file path=xl/worksheets/_rels/sheet5.xml.rels>&#65279;<?xml version="1.0" encoding="utf-8"?><Relationships xmlns="http://schemas.openxmlformats.org/package/2006/relationships"><Relationship Type="http://schemas.openxmlformats.org/officeDocument/2006/relationships/table" Target="/xl/tables/table4.xml" Id="Rd7db7b13f9d7479a" /></Relationships>
</file>

<file path=xl/worksheets/_rels/sheet6.xml.rels>&#65279;<?xml version="1.0" encoding="utf-8"?><Relationships xmlns="http://schemas.openxmlformats.org/package/2006/relationships"><Relationship Type="http://schemas.openxmlformats.org/officeDocument/2006/relationships/table" Target="/xl/tables/table5.xml" Id="Rccf47eca825346af" /></Relationships>
</file>

<file path=xl/worksheets/_rels/sheet7.xml.rels>&#65279;<?xml version="1.0" encoding="utf-8"?><Relationships xmlns="http://schemas.openxmlformats.org/package/2006/relationships"><Relationship Type="http://schemas.openxmlformats.org/officeDocument/2006/relationships/table" Target="/xl/tables/table6.xml" Id="Rc098e9b295424a07" /></Relationships>
</file>

<file path=xl/worksheets/_rels/sheet9.xml.rels>&#65279;<?xml version="1.0" encoding="utf-8"?><Relationships xmlns="http://schemas.openxmlformats.org/package/2006/relationships"><Relationship Type="http://schemas.openxmlformats.org/officeDocument/2006/relationships/table" Target="/xl/tables/table7.xml" Id="Ra09545daaa25464a" /></Relationships>
</file>

<file path=xl/worksheets/_rels/sheet10.xml.rels>&#65279;<?xml version="1.0" encoding="utf-8"?><Relationships xmlns="http://schemas.openxmlformats.org/package/2006/relationships"><Relationship Type="http://schemas.openxmlformats.org/officeDocument/2006/relationships/table" Target="/xl/tables/table8.xml" Id="R45fc92405d0a4f44" /></Relationships>
</file>

<file path=xl/worksheets/_rels/sheet11.xml.rels>&#65279;<?xml version="1.0" encoding="utf-8"?><Relationships xmlns="http://schemas.openxmlformats.org/package/2006/relationships"><Relationship Type="http://schemas.openxmlformats.org/officeDocument/2006/relationships/table" Target="/xl/tables/table9.xml" Id="R78757e8f251d4402" /></Relationships>
</file>

<file path=xl/worksheets/_rels/sheet13.xml.rels>&#65279;<?xml version="1.0" encoding="utf-8"?><Relationships xmlns="http://schemas.openxmlformats.org/package/2006/relationships"><Relationship Type="http://schemas.openxmlformats.org/officeDocument/2006/relationships/table" Target="/xl/tables/table10.xml" Id="R3d82fbf3f9d741ea" /></Relationships>
</file>

<file path=xl/worksheets/_rels/sheet14.xml.rels>&#65279;<?xml version="1.0" encoding="utf-8"?><Relationships xmlns="http://schemas.openxmlformats.org/package/2006/relationships"><Relationship Type="http://schemas.openxmlformats.org/officeDocument/2006/relationships/table" Target="/xl/tables/table11.xml" Id="Rbe7bee52c4c145a3" /></Relationships>
</file>

<file path=xl/worksheets/_rels/sheet15.xml.rels>&#65279;<?xml version="1.0" encoding="utf-8"?><Relationships xmlns="http://schemas.openxmlformats.org/package/2006/relationships"><Relationship Type="http://schemas.openxmlformats.org/officeDocument/2006/relationships/table" Target="/xl/tables/table12.xml" Id="Ra65c9a1ab47347c5" /></Relationships>
</file>

<file path=xl/worksheets/_rels/sheet16.xml.rels>&#65279;<?xml version="1.0" encoding="utf-8"?><Relationships xmlns="http://schemas.openxmlformats.org/package/2006/relationships"><Relationship Type="http://schemas.openxmlformats.org/officeDocument/2006/relationships/table" Target="/xl/tables/table13.xml" Id="Ra0be167d06be4813"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v>✓</x:v>
      </x:c>
      <x:c r="B201" s="133" t="str">
        <x:v>19-02</x:v>
      </x:c>
      <x:c r="C201" s="133" t="str">
        <x:v>19 Marketing Alignment</x:v>
      </x:c>
      <x:c r="D201" s="133" t="str">
        <x:v>Marketing</x:v>
      </x:c>
      <x:c r="E201" s="133" t="str">
        <x:v>Align website architecture message</x:v>
      </x:c>
      <x:c r="F201" s="133" t="str">
        <x:v>Company Workspace and Procurement Center story matches actual product.</x:v>
      </x:c>
      <x:c r="G201" s="133" t="str">
        <x:v>P1</x:v>
      </x:c>
      <x:c r="H201" s="133" t="str">
        <x:v>Completed</x:v>
      </x:c>
      <x:c r="I201" s="133" t="str">
        <x:v>Project Owner / Engineering</x:v>
      </x:c>
      <x:c r="J201" s="133"/>
      <x:c r="K201" s="133"/>
      <x:c r="L201" s="133"/>
      <x:c r="M201" s="133" t="str">
        <x:v>PASS / CLOSED — Public product architecture copy now explicitly reflects the implemented application model: Intelligent Procurement is organized around a Company Workspace for company identity, access and operating context, with a Procurement Center for authorized RFQ, supplier-response, commercial-evaluation and governed award workflows. The exact message is aligned across the corporate homepage and About page. Scoped diff-check PASS; lint PASS; production build PASS including TypeScript and 70/70 static pages.</x:v>
      </x:c>
      <x:c r="N201" s="249"/>
      <x:c r="O201" s="249" t="n">
        <x:v>46294</x:v>
      </x:c>
      <x:c r="P201" s="32" t="str">
        <x:v>Published at de1876e65b56d76519e4e2edd79ed49d425ba7e6 as an exact two-file copy-only change to src/app/page.tsx and src/app/about/page.tsx. No layout, styles, motion, routes, authentication, pricing, procurement business logic or other files changed. 19-02 CLOSED / FROZEN. Next canonical task: 19-03 — Separate Available Now vs Planned.</x:v>
      </x:c>
    </x:row>
    <x:row r="202">
      <x:c r="A202" s="42" t="str">
        <x:v>✓</x:v>
      </x:c>
      <x:c r="B202" s="133" t="str">
        <x:v>19-03</x:v>
      </x:c>
      <x:c r="C202" s="133" t="str">
        <x:v>19 Marketing Alignment</x:v>
      </x:c>
      <x:c r="D202" s="133" t="str">
        <x:v>Marketing</x:v>
      </x:c>
      <x:c r="E202" s="133" t="str">
        <x:v>Separate Available Now vs Planned</x:v>
      </x:c>
      <x:c r="F202" s="133" t="str">
        <x:v>Future Contract/PO/advanced AI is not presented as production-ready.</x:v>
      </x:c>
      <x:c r="G202" s="133" t="str">
        <x:v>P0</x:v>
      </x:c>
      <x:c r="H202" s="133" t="str">
        <x:v>Completed</x:v>
      </x:c>
      <x:c r="I202" s="133" t="str">
        <x:v>Project Owner / Engineering</x:v>
      </x:c>
      <x:c r="J202" s="133"/>
      <x:c r="K202" s="133"/>
      <x:c r="L202" s="133" t="str">
        <x:v>G12</x:v>
      </x:c>
      <x:c r="M202" s="133" t="str">
        <x:v>PASS / EVIDENCE-ONLY CLOSED — Read-only audit of the launch-facing corporate homepage, About, Early Access, Contact, Privacy, Terms and corporate footer confirmed that future Contract/PO automation, autonomous sourcing agents and advanced/generative AI capabilities are not presented as currently available or production-ready. The public product is explicitly marked IN DEVELOPMENT on corporate product surfaces. The Early Access capability list is limited to implemented RFQ, supplier invitation/submission, procurement governance, commercial evaluation, contract award workflow, supplier intelligence and executive decision-support capabilities. The remaining 'Contract award workflows' wording describes the verified award workflow and is not a claim of full Contract/PO automation.</x:v>
      </x:c>
      <x:c r="N202" s="249"/>
      <x:c r="O202" s="249" t="n">
        <x:v>46295</x:v>
      </x:c>
      <x:c r="P202" s="32" t="str">
        <x:v>Evidence-only closure on published HEAD cccbc24b5270e96f799401f630aaeb25d3d4594b; no source change required. Planned/future capabilities remain omitted from launch-facing capability claims rather than being marketed as available. Privacy/Terms future-product language remains appropriately qualified. 19-03 CLOSED / FROZEN. Next canonical task: 19-04 — Finalize launch positioning copy.</x:v>
      </x:c>
    </x:row>
    <x:row r="203">
      <x:c r="A203" s="42" t="str">
        <x:v>✓</x:v>
      </x:c>
      <x:c r="B203" s="133" t="str">
        <x:v>19-04</x:v>
      </x:c>
      <x:c r="C203" s="133" t="str">
        <x:v>19 Marketing Alignment</x:v>
      </x:c>
      <x:c r="D203" s="133" t="str">
        <x:v>Marketing</x:v>
      </x:c>
      <x:c r="E203" s="133" t="str">
        <x:v>Finalize launch positioning copy</x:v>
      </x:c>
      <x:c r="F203" s="133" t="str">
        <x:v>Evidence-backed procurement intelligence narrative is consistent with current launch capability.</x:v>
      </x:c>
      <x:c r="G203" s="133" t="str">
        <x:v>P1</x:v>
      </x:c>
      <x:c r="H203" s="133" t="str">
        <x:v>Completed</x:v>
      </x:c>
      <x:c r="I203" s="133" t="str">
        <x:v>Project Owner / Engineering</x:v>
      </x:c>
      <x:c r="J203" s="133"/>
      <x:c r="K203" s="133"/>
      <x:c r="L203" s="133"/>
      <x:c r="M203" s="133" t="str">
        <x:v>PASS / EVIDENCE-ONLY CLOSED — Final launch-positioning audit confirmed a consistent narrative across the corporate homepage, About, Early Access, Contact, Privacy, Terms and corporate footer. Nexus Pavilion Inc. remains the corporate parent; Intelligent Procurement remains a distinct product marked IN DEVELOPMENT on corporate/legal surfaces. The product story consistently combines implemented procurement workflows, Supplier Intelligence and Executive Decision Support with evidence/context/professional-judgment language. No AI-powered, AI-assisted, autonomous, guaranteed or instant-intelligence marketing claims were found. Early Access remains the commercial entry point, and current capabilities remain grounded in implemented RFQ, supplier-response, commercial-evaluation, governance and award workflows.</x:v>
      </x:c>
      <x:c r="N203" s="249"/>
      <x:c r="O203" s="249" t="n">
        <x:v>46295</x:v>
      </x:c>
      <x:c r="P203" s="32" t="str">
        <x:v>Evidence-only closure on published HEAD 3864da77397e375667007a92ddad0db4baa0df58; no source mutation required. Current public copy already satisfies the 19-04 exit criterion after 19-01 through 19-03 remediation. The final claim-consistency check supports G12 closure. 19-04 CLOSED / FROZEN. Next canonical task: 19-05 — Capture representative screenshots.</x:v>
      </x:c>
    </x:row>
    <x:row r="204">
      <x:c r="A204" s="42" t="str">
        <x:v>✓</x:v>
      </x:c>
      <x:c r="B204" s="133" t="str">
        <x:v>19-05</x:v>
      </x:c>
      <x:c r="C204" s="133" t="str">
        <x:v>19 Marketing Alignment</x:v>
      </x:c>
      <x:c r="D204" s="133" t="str">
        <x:v>Marketing</x:v>
      </x:c>
      <x:c r="E204" s="133" t="str">
        <x:v>Capture representative screenshots</x:v>
      </x:c>
      <x:c r="F204" s="133" t="str">
        <x:v>Screenshots show real launch-ready states and terminology.</x:v>
      </x:c>
      <x:c r="G204" s="133" t="str">
        <x:v>P1</x:v>
      </x:c>
      <x:c r="H204" s="133" t="str">
        <x:v>Completed</x:v>
      </x:c>
      <x:c r="I204" s="133" t="str">
        <x:v>Project Owner / Engineering</x:v>
      </x:c>
      <x:c r="J204" s="133"/>
      <x:c r="K204" s="133"/>
      <x:c r="L204" s="133"/>
      <x:c r="M204" s="133" t="str">
        <x:v>PASS / CLOSED — Representative launch evidence captured and reviewed across public and authenticated production-mode states. Public evidence includes the Nexus Pavilion corporate homepage Intelligent Procurement product section and the Limited Early Access page without the Next.js development indicator. Authenticated evidence includes the Northline Development Group Executive Overview, Procurement Center RFQ portfolio, a real awarded RFQ workspace, and its post-deadline quote-comparison view with commercial opening unlocked. Current terminology is consistent: Company Workspace, Procurement Center, Intelligent Procurement, Early Access, RFQ Workspace, Quote Comparison, and evidence-backed decision-support language. No genuine visual defect was observed in the reviewed launch states.</x:v>
      </x:c>
      <x:c r="N204" s="249"/>
      <x:c r="O204" s="249" t="n">
        <x:v>46295</x:v>
      </x:c>
      <x:c r="P204" s="32" t="str">
        <x:v>During 19-05, a scoped workspace-routing defect was discovered and resolved under the required exception chain. Existing-workspace users could remain on /create-company because the active root middleware checked session-cookie presence but did not resolve existing workspace context. Fix published at bc09262d358b6ff0810bf5076a36e42d5a1747a8 in middleware.ts plus focused tests only. The guard now redirects authenticated connected users to a safe continuation or /dashboard, preserves authenticated no-company onboarding, and propagates Supabase SSR refreshed request cookies, response cookies, and cache headers on pass-through and redirect responses. Validation: 56 focused/adjacent tests PASS; lint PASS; build PASS with TypeScript and 70/70 pages; git diff --check PASS; live Northline /create-company → /dashboard verification PASS. 19-05 CLOSED / FROZEN. Next canonical task: 19-06 — Create sales workflow story.</x:v>
      </x:c>
    </x:row>
    <x:row r="205">
      <x:c r="A205" s="42" t="str">
        <x:v>✓</x:v>
      </x:c>
      <x:c r="B205" s="133" t="str">
        <x:v>19-06</x:v>
      </x:c>
      <x:c r="C205" s="133" t="str">
        <x:v>19 Marketing Alignment</x:v>
      </x:c>
      <x:c r="D205" s="133" t="str">
        <x:v>Marketing</x:v>
      </x:c>
      <x:c r="E205" s="133" t="str">
        <x:v>Create sales workflow story</x:v>
      </x:c>
      <x:c r="F205" s="133" t="str">
        <x:v>Issuer/respondent/RFI/evaluation story explained from one architecture.</x:v>
      </x:c>
      <x:c r="G205" s="133" t="str">
        <x:v>P1</x:v>
      </x:c>
      <x:c r="H205" s="133" t="str">
        <x:v>Completed</x:v>
      </x:c>
      <x:c r="I205" s="133" t="str">
        <x:v>Project Owner / Engineering</x:v>
      </x:c>
      <x:c r="J205" s="133"/>
      <x:c r="K205" s="133"/>
      <x:c r="L205" s="133"/>
      <x:c r="M205" s="133" t="str">
        <x:v>PASS / CLOSED — Sales workflow story established from the implemented procurement architecture. One architecture connects both sides of the transaction: the issuing organization operates from its Company Workspace into the Procurement Center to create and govern an RFQ, choose the sourcing method and contract framework, and invite suppliers where permitted; authorized responding organizations enter the same RFQ as respondents, review scope, deadlines and formal addenda, use the Private RFI channel for bilateral clarification, and submit or revalidate quotations. Private RFIs remain visible only to the issuing procurement team and the originating respondent company; material clarifications affecting all respondents move through the formal Addendum workflow. Commercial evaluation remains deadline-governed: after commercial opening, eligible quotations are compared using ranked commercial evidence, timeline, evaluation and risk/exception context. Recommendations are decision support rather than automatic awards, and the issuing organization retains responsibility for the governed award decision.</x:v>
      </x:c>
      <x:c r="N205" s="249"/>
      <x:c r="O205" s="249" t="n">
        <x:v>46295</x:v>
      </x:c>
      <x:c r="P205" s="32" t="str">
        <x:v>Evidence-only closeout on published HEAD a11ecba13548e22ecccca2ac9f0f8651f6eaed1e; no source mutation required. Architecture sources reviewed: src/app/rfq/page.tsx; src/components/rfq-workspace/supplier-invitation-delivery.tsx; src/components/rfq-workspace/rfq-rfi-workspace.tsx; src/components/rfq-workspace/rfq-submit-workspace.tsx; src/components/rfq-workspace/rfq-quote-comparison.tsx. The story preserves the approved Company Workspace → Procurement Center hierarchy, keeps Workspace Membership distinct from RFQ Invitation, and does not claim autonomous sourcing, automatic award, Contract/PO lifecycle automation, or unsupported AI capability. 19-06 CLOSED / FROZEN. Next canonical task: 19-07 — Create investor platform story.</x:v>
      </x:c>
    </x:row>
    <x:row r="206">
      <x:c r="A206" s="42" t="str">
        <x:v>✓</x:v>
      </x:c>
      <x:c r="B206" s="133" t="str">
        <x:v>19-07</x:v>
      </x:c>
      <x:c r="C206" s="133" t="str">
        <x:v>19 Marketing Alignment</x:v>
      </x:c>
      <x:c r="D206" s="133" t="str">
        <x:v>Marketing</x:v>
      </x:c>
      <x:c r="E206" s="133" t="str">
        <x:v>Create investor platform story</x:v>
      </x:c>
      <x:c r="F206" s="133" t="str">
        <x:v>Vision distinguishes current foundation from roadmap expansion.</x:v>
      </x:c>
      <x:c r="G206" s="133" t="str">
        <x:v>P2</x:v>
      </x:c>
      <x:c r="H206" s="133" t="str">
        <x:v>Completed</x:v>
      </x:c>
      <x:c r="I206" s="133" t="str">
        <x:v>Project Owner / Engineering</x:v>
      </x:c>
      <x:c r="J206" s="133"/>
      <x:c r="K206" s="133"/>
      <x:c r="L206" s="133"/>
      <x:c r="M206" s="133" t="str">
        <x:v>PASS / CLOSED — Investor platform story now separates the validated current foundation from roadmap expansion. Current foundation: Nexus Pavilion Inc. is the corporate parent and Intelligent Procurement is its primary current product, positioned for Limited Early Access. The product's launch-stage foundation is a governed procurement decision system organized around Company Workspace and Procurement Center, with implemented RFQ creation and participation, supplier invitation and quotation workflows, Private RFI and Addendum governance, deadline-controlled commercial evaluation, supplier intelligence, executive decision support, and issuer-controlled award decisions. These capabilities support professional judgment rather than autonomous commercial decision-making. Roadmap expansion: broader Contract / PO / Mobilization automation, Advanced Benchmarking, and Autonomous Sourcing Agents remain explicitly post-launch, P2, or Deferred and are not current production capabilities. At the corporate level, the Nexus Pavilion Inc. portfolio architecture can support additional real products or initiatives later, but unreleased initiatives remain hidden by default or must be explicitly identified as non-live when approved for disclosure.</x:v>
      </x:c>
      <x:c r="N206" s="249"/>
      <x:c r="O206" s="249" t="n">
        <x:v>46295</x:v>
      </x:c>
      <x:c r="P206" s="32" t="str">
        <x:v>Evidence-only closeout on published HEAD 51aa24863e66813b7cbde774c4cae760a5e1bb8a; no source mutation required. Investor narrative reconciled against the canonical Master Plan / Scope &amp; Roadmap boundaries and the frozen Corporate Platform architecture. The resulting thesis is deliberately staged: a real current procurement foundation first; deeper workflow automation and intelligence later; broader corporate portfolio expansion only when supported by real initiatives and disclosure evidence. No future product names were invented, no roadmap item was promoted to Available Now, and no financial valuation, market-size, revenue, adoption, or return claim was introduced. 19-07 CLOSED / FROZEN. Phase 19 Marketing Alignment is complete (7/7). Next canonical task: 20-01 — Getting Started.</x:v>
      </x:c>
    </x:row>
    <x:row r="207">
      <x:c r="A207" s="42" t="str">
        <x:v>✓</x:v>
      </x:c>
      <x:c r="B207" s="133" t="str">
        <x:v>20-01</x:v>
      </x:c>
      <x:c r="C207" s="133" t="str">
        <x:v>20 Launch Documentation</x:v>
      </x:c>
      <x:c r="D207" s="133" t="str">
        <x:v>Documentation</x:v>
      </x:c>
      <x:c r="E207" s="133" t="str">
        <x:v>Getting Started</x:v>
      </x:c>
      <x:c r="F207" s="133" t="str">
        <x:v>New user can understand workspace and first actions.</x:v>
      </x:c>
      <x:c r="G207" s="133" t="str">
        <x:v>P0</x:v>
      </x:c>
      <x:c r="H207" s="133" t="str">
        <x:v>Completed</x:v>
      </x:c>
      <x:c r="I207" s="133" t="str">
        <x:v>Project Owner / Engineering</x:v>
      </x:c>
      <x:c r="J207" s="133"/>
      <x:c r="K207" s="133"/>
      <x:c r="L207" s="133" t="str">
        <x:v>G11</x:v>
      </x:c>
      <x:c r="M207" s="133" t="str">
        <x:v>PASS / CLOSED — Added launch-ready Getting Started documentation for Intelligent Procurement. The guide explains the Nexus Pavilion Inc. → Intelligent Procurement relationship, Company Workspace and Procurement Center architecture, sign-in and onboarding behavior, issuer/respondent participation, the governed RFQ lifecycle, first actions for issuing and responding organizations, and the professional-judgment boundary. It explicitly distinguishes Company Workspace membership from RFQ participation and avoids autonomous-award or unsupported AI claims.</x:v>
      </x:c>
      <x:c r="N207" s="249"/>
      <x:c r="O207" s="249" t="n">
        <x:v>46295</x:v>
      </x:c>
      <x:c r="P207" s="32" t="str">
        <x:v>Published at eee3601e69ceee1144ed43cbb06b596fcf0e87c4 as docs/launch/GETTING_STARTED.md. SEARCH confirmed no equivalent launch-ready Getting Started guide existed; the repository README remained default Next.js developer boilerplate and was not repurposed as product documentation. The new guide is intentionally an overview and defers detailed procedures to 20-02 through 20-12 to avoid duplication. Source commit adds exactly one documentation file; no application code, database, auth, procurement data, or runtime behavior changed. 20-01 CLOSED / FROZEN. Next canonical task: 20-02 — Create Company.</x:v>
      </x:c>
    </x:row>
    <x:row r="208">
      <x:c r="A208" s="42" t="str">
        <x:v>✓</x:v>
      </x:c>
      <x:c r="B208" s="133" t="str">
        <x:v>20-02</x:v>
      </x:c>
      <x:c r="C208" s="133" t="str">
        <x:v>20 Launch Documentation</x:v>
      </x:c>
      <x:c r="D208" s="133" t="str">
        <x:v>Documentation</x:v>
      </x:c>
      <x:c r="E208" s="133" t="str">
        <x:v>Create Company</x:v>
      </x:c>
      <x:c r="F208" s="133" t="str">
        <x:v>Company creation/onboarding documented.</x:v>
      </x:c>
      <x:c r="G208" s="133" t="str">
        <x:v>P0</x:v>
      </x:c>
      <x:c r="H208" s="133" t="str">
        <x:v>Completed</x:v>
      </x:c>
      <x:c r="I208" s="133" t="str">
        <x:v>Project Owner / Engineering</x:v>
      </x:c>
      <x:c r="J208" s="133"/>
      <x:c r="K208" s="133"/>
      <x:c r="L208" s="133" t="str">
        <x:v>G11</x:v>
      </x:c>
      <x:c r="M208" s="133" t="str">
        <x:v>PASS / CLOSED — Added launch-ready Create Company documentation covering when onboarding appears, required company and professional-identity inputs, the supported organization types, review and activation, RFQ continuation behavior, duplicate/recovery protection, post-activation checks, troubleshooting, and the governance boundary between Company Workspace creation and RFQ participation.</x:v>
      </x:c>
      <x:c r="N208" s="249"/>
      <x:c r="O208" s="249" t="n">
        <x:v>46295</x:v>
      </x:c>
      <x:c r="P208" s="32" t="str">
        <x:v>Published at 8bf0eb96db3c41c8d475076660d50cf3effb91b6 as docs/launch/CREATE_COMPANY.md. Documentation is grounded in the active /create-company UI, /api/companies/create route, workspace bootstrap contract, safe continuation helpers, and existing-workspace middleware guard. It documents the current duplicate/recovery behavior: already-connected accounts are blocked from creating another company; one recoverable owned company may be reattached and bootstrapped; multiple unresolved owned companies require recovery; incomplete bootstrap explicitly instructs the user not to create another company. The guide keeps Company Workspace onboarding distinct from RFQ Invitation and does not claim that onboarding grants RFQ access. Source commit adds exactly one documentation file; no application code, auth, database, or procurement data changed. 20-02 CLOSED / FROZEN. Next canonical task: 20-03 — Create RFQ.</x:v>
      </x:c>
    </x:row>
    <x:row r="209">
      <x:c r="A209" s="42" t="str">
        <x:v>✓</x:v>
      </x:c>
      <x:c r="B209" s="133" t="str">
        <x:v>20-03</x:v>
      </x:c>
      <x:c r="C209" s="133" t="str">
        <x:v>20 Launch Documentation</x:v>
      </x:c>
      <x:c r="D209" s="133" t="str">
        <x:v>Documentation</x:v>
      </x:c>
      <x:c r="E209" s="133" t="str">
        <x:v>Create RFQ</x:v>
      </x:c>
      <x:c r="F209" s="133" t="str">
        <x:v>Issuer RFQ creation/configuration documented.</x:v>
      </x:c>
      <x:c r="G209" s="133" t="str">
        <x:v>P0</x:v>
      </x:c>
      <x:c r="H209" s="133" t="str">
        <x:v>Completed</x:v>
      </x:c>
      <x:c r="I209" s="133" t="str">
        <x:v>Project Owner / Engineering</x:v>
      </x:c>
      <x:c r="J209" s="133"/>
      <x:c r="K209" s="133"/>
      <x:c r="L209" s="133" t="str">
        <x:v>G11</x:v>
      </x:c>
      <x:c r="M209" s="133" t="str">
        <x:v>PASS / CLOSED — Added launch-ready Create RFQ documentation covering issuer authorization, the five-step creation wizard, required publication fields, procurement scope, sourcing method, contract framework, evaluation model, project controls, enterprise requirements, draft autosave, publication-readiness blockers, Ready to Publish acknowledgement, server-side publication validation, post-publication document handling, deadline-locked commercial opening, replacement-procurement lineage, troubleshooting, and the business-domain boundaries that remain separate from RFQ creation.</x:v>
      </x:c>
      <x:c r="N209" s="249"/>
      <x:c r="O209" s="249" t="n">
        <x:v>46295</x:v>
      </x:c>
      <x:c r="P209" s="32" t="str">
        <x:v>Published at a0437715736af298cfafb7043cf0d52532e042b0 as docs/launch/CREATE_RFQ.md. Documentation is grounded in the active /rfq/new wizard, /api/rfqs server contract, procurement write authorization, RFQ requirements completeness, scope-review logic, publication-readiness review, and local draft-autosave implementation. The guide explicitly records the launch governance rule that Open, Invited / Selective, and Sealed Bid RFQs remain deadline-locked for issuer commercial evaluation; Open sourcing controls market access and does not enable rolling commercial evaluation. Supporting documents are documented as non-blocking at creation time and managed from the RFQ workspace after publication. Replacement procurement is documented as a new RFQ identity with governed lineage only; quotes, invitations, Addenda, acknowledgements, evaluations, and award state are not carried forward. Source commit adds exactly one documentation file; no application code, auth, database, or procurement data changed. 20-03 CLOSED / FROZEN. Next canonical task: 20-04 — Invite Companies.</x:v>
      </x:c>
    </x:row>
    <x:row r="210">
      <x:c r="A210" s="42" t="str">
        <x:v>✓</x:v>
      </x:c>
      <x:c r="B210" s="133" t="str">
        <x:v>20-04</x:v>
      </x:c>
      <x:c r="C210" s="133" t="str">
        <x:v>20 Launch Documentation</x:v>
      </x:c>
      <x:c r="D210" s="133" t="str">
        <x:v>Documentation</x:v>
      </x:c>
      <x:c r="E210" s="133" t="str">
        <x:v>Invite Companies</x:v>
      </x:c>
      <x:c r="F210" s="133" t="str">
        <x:v>Invitation lifecycle and troubleshooting documented.</x:v>
      </x:c>
      <x:c r="G210" s="133" t="str">
        <x:v>P0</x:v>
      </x:c>
      <x:c r="H210" s="133" t="str">
        <x:v>Completed</x:v>
      </x:c>
      <x:c r="I210" s="133" t="str">
        <x:v>Project Owner / Engineering</x:v>
      </x:c>
      <x:c r="J210" s="133"/>
      <x:c r="K210" s="133"/>
      <x:c r="L210" s="133" t="str">
        <x:v>G11</x:v>
      </x:c>
      <x:c r="M210" s="133" t="str">
        <x:v>PASS / CLOSED — Added launch-ready Invite Companies documentation for the RFQ Invitation lifecycle. The guide covers issuer invitation authorization, RFQ ownership and open/deadline prerequisites, controlled direct email invitation, secure tokenized invitation links, duplicate-invitation reuse, email sent/skipped/failed states, public-site/email configuration dependencies, respondent landing-page behavior, invalid/expired invitation handling, the currently disabled AVL boundary, troubleshooting, and the separation between RFQ Invitation and Company Workspace membership.</x:v>
      </x:c>
      <x:c r="N210" s="249"/>
      <x:c r="O210" s="249" t="n">
        <x:v>46295</x:v>
      </x:c>
      <x:c r="P210" s="32" t="str">
        <x:v>Published at 5c29929279783378fe7bc8f0ebe8139c409733bd as docs/launch/INVITE_COMPANIES.md. Documentation is grounded in /api/invites, InviteVendorForm, SupplierInvitationDelivery, SupplierInvitationResult, SupplierAvlPanel, /rfq/invite/[token], the authenticated RFQ submit continuation, procurement write authorization, supplier-domain availability flags, email delivery behavior, and public-site URL validation. The guide records current launch truth: Approved Vendor management and supplier compliance domains are not enabled in this environment; controlled direct email invitation remains available. For the same RFQ/email pair, the existing RFQ Invitation and secure link are reused rather than duplicated; email delivery is a separate outcome from invitation creation. Source commit adds exactly one documentation file; no application code, auth, database, email configuration, or procurement data changed. 20-04 CLOSED / FROZEN. Next canonical task: 20-05 — Respond to RFQ.</x:v>
      </x:c>
    </x:row>
    <x:row r="211">
      <x:c r="A211" s="42" t="str">
        <x:v>✓</x:v>
      </x:c>
      <x:c r="B211" s="133" t="str">
        <x:v>20-05</x:v>
      </x:c>
      <x:c r="C211" s="133" t="str">
        <x:v>20 Launch Documentation</x:v>
      </x:c>
      <x:c r="D211" s="133" t="str">
        <x:v>Documentation</x:v>
      </x:c>
      <x:c r="E211" s="133" t="str">
        <x:v>Respond to RFQ</x:v>
      </x:c>
      <x:c r="F211" s="133" t="str">
        <x:v>Respondent access/review flow documented.</x:v>
      </x:c>
      <x:c r="G211" s="133" t="str">
        <x:v>P0</x:v>
      </x:c>
      <x:c r="H211" s="133" t="str">
        <x:v>Completed</x:v>
      </x:c>
      <x:c r="I211" s="133" t="str">
        <x:v>Project Owner / Engineering</x:v>
      </x:c>
      <x:c r="J211" s="133"/>
      <x:c r="K211" s="133"/>
      <x:c r="L211" s="133" t="str">
        <x:v>G11</x:v>
      </x:c>
      <x:c r="M211" s="133" t="str">
        <x:v>PASS / CLOSED — Added launch-ready Respond to RFQ documentation covering respondent access paths, authentication and Company Workspace continuation, issuer/respondent separation, Procurement Center review, RFQ workspace review, documents and Addenda, Private RFI boundary, sourcing-method access, quotation handoff, existing-quote revalidation state, deadline/lifecycle boundaries, commercial confidentiality, troubleshooting, and business-domain separation.</x:v>
      </x:c>
      <x:c r="N211" s="249"/>
      <x:c r="O211" s="249" t="n">
        <x:v>46295</x:v>
      </x:c>
      <x:c r="P211" s="32" t="str">
        <x:v>Published at cdc9f114004e9d7d61e7cfd2510fd5c38f2c9d77 as docs/launch/RESPOND_TO_RFQ.md. Documentation is grounded in the active Procurement Center, procurement-context repository, RFQ access contract, RFQ detail workspace, secure RFQ Invitation handoff, and /rfq/[slug]/submit authorization flow. The guide records current respondent access truth: Open RFQs may be available through Open Marketplace; restricted Invited / Selective and Sealed Bid RFQs require governed RFQ-specific access; direct invitation and existing participation are supported respondent relationships. It preserves issuer/respondent separation, Company Workspace onboarding continuation, Private RFI vs formal Addendum rules, material-Addendum acknowledgement/revalidation behavior, and the launch commercial-confidentiality boundary. Source commit adds exactly one documentation file; no application code, auth, database, or procurement data changed. 20-05 CLOSED / FROZEN. Next canonical task: 20-06 — Submit RFI.</x:v>
      </x:c>
    </x:row>
    <x:row r="212">
      <x:c r="A212" s="42" t="str">
        <x:v>✓</x:v>
      </x:c>
      <x:c r="B212" s="133" t="str">
        <x:v>20-06</x:v>
      </x:c>
      <x:c r="C212" s="133" t="str">
        <x:v>20 Launch Documentation</x:v>
      </x:c>
      <x:c r="D212" s="133" t="str">
        <x:v>Documentation</x:v>
      </x:c>
      <x:c r="E212" s="133" t="str">
        <x:v>Submit RFI</x:v>
      </x:c>
      <x:c r="F212" s="133" t="str">
        <x:v>RFI/clarification rules and deadline documented.</x:v>
      </x:c>
      <x:c r="G212" s="133" t="str">
        <x:v>P0</x:v>
      </x:c>
      <x:c r="H212" s="133" t="str">
        <x:v>Completed</x:v>
      </x:c>
      <x:c r="I212" s="133" t="str">
        <x:v>Project Owner / Engineering</x:v>
      </x:c>
      <x:c r="J212" s="133"/>
      <x:c r="K212" s="133"/>
      <x:c r="L212" s="133" t="str">
        <x:v>G11</x:v>
      </x:c>
      <x:c r="M212" s="133" t="str">
        <x:v>PASS / CLOSED — Added launch-ready Submit RFI documentation covering the bilateral Private RFI boundary, respondent eligibility, Open vs restricted sourcing access, effective RFI deadline resolution, dedicated-RFI-deadline fallback to submission closing, open/approaching/closed/unavailable deadline states, private question submission, issuer response authorization, notification-email behavior, RFI history, formal Addendum escalation for material clarifications, quotation revalidation implications, troubleshooting, and domain separation.</x:v>
      </x:c>
      <x:c r="N212" s="249"/>
      <x:c r="O212" s="249" t="n">
        <x:v>46295</x:v>
      </x:c>
      <x:c r="P212" s="32" t="str">
        <x:v>Published at 4ba115693650a9a189b817b2344536fb6f6913ad as docs/launch/SUBMIT_RFI.md. Documentation is grounded in src/app/api/rfq-rfis/route.ts, src/components/rfq-workspace/rfq-rfi-workspace.tsx, RFI deadline-awareness logic, the RFQ document/clarification workspace, procurement write authorization, restricted RFQ access verification, trusted procurement activity, public-site URL handling, and RFI response email delivery. Current rule is explicit: a configured RFI deadline governs clarification; otherwise the RFQ submission deadline becomes the effective RFI deadline. If the effective deadline cannot be resolved safely or has passed, new Private RFI submission is blocked. Private RFI remains bilateral; material clarifications affecting the common procurement basis must move through formal Addendum governance. Issuer responses are saved independently from best-effort email notification delivery. Source commit adds exactly one documentation file; no application code, auth, database, email configuration, or procurement data changed. 20-06 CLOSED / FROZEN. Next canonical task: 20-07 — Submit Quote.</x:v>
      </x:c>
    </x:row>
    <x:row r="213">
      <x:c r="A213" s="42" t="str">
        <x:v>✓</x:v>
      </x:c>
      <x:c r="B213" s="133" t="str">
        <x:v>20-07</x:v>
      </x:c>
      <x:c r="C213" s="133" t="str">
        <x:v>20 Launch Documentation</x:v>
      </x:c>
      <x:c r="D213" s="133" t="str">
        <x:v>Documentation</x:v>
      </x:c>
      <x:c r="E213" s="133" t="str">
        <x:v>Submit Quote</x:v>
      </x:c>
      <x:c r="F213" s="133" t="str">
        <x:v>Quote/proposal preparation and submission documented.</x:v>
      </x:c>
      <x:c r="G213" s="133" t="str">
        <x:v>P0</x:v>
      </x:c>
      <x:c r="H213" s="133" t="str">
        <x:v>Completed</x:v>
      </x:c>
      <x:c r="I213" s="133" t="str">
        <x:v>Project Owner / Engineering</x:v>
      </x:c>
      <x:c r="J213" s="133"/>
      <x:c r="K213" s="133"/>
      <x:c r="L213" s="133" t="str">
        <x:v>G11</x:v>
      </x:c>
      <x:c r="M213" s="133" t="str">
        <x:v>PASS / CLOSED — Added launch-ready Submit Quote documentation covering the canonical respondent quotation route, authentication and Company Workspace continuation, issuer/respondent separation, Open vs restricted sourcing access, required commercial inputs, submission completeness, hard deadline enforcement, required Addenda acknowledgement, one-quotation-per-company duplicate prevention, initial submission, commercial confidentiality, material-amendment review, unchanged-term reconfirmation, revised resubmission, quotation-validity options, confirmation-email behavior, troubleshooting, and business-domain boundaries.</x:v>
      </x:c>
      <x:c r="N213" s="249"/>
      <x:c r="O213" s="249" t="n">
        <x:v>46295</x:v>
      </x:c>
      <x:c r="P213" s="32" t="str">
        <x:v>Published at 9ff55a386d6681585d7b50097213b97e0e405646 as docs/launch/SUBMIT_QUOTE.md. Documentation is grounded in the active /rfq/[slug]/submit page, RfqSubmitWorkspace, /api/quotes POST/PATCH contracts, quotation-submission completeness logic, RFQ sourcing/access controls, procurement write authorization, material-Addendum acknowledgement/revalidation state, and quote workspace confidentiality messaging. Current launch terminology is explicit: the product uses the generic Quote / Quotation submission surface across RFQ scopes; there is no separate proposal-submission endpoint. The standard UI completeness rule requires amount &gt;= 1,000 plus delivery timeline and Commercial Note; access/deadline/Addendum/duplicate controls remain independently authoritative. Initial quotation validity defaults to 30 days when no supported value is supplied; governed revised resubmissions support 30/60/90/120 days. Material amendments use reconfirmation or resubmission of the existing quotation relationship rather than creating a duplicate quote. Source commit adds exactly one documentation file; no application code, auth, database, email configuration, or procurement data changed. 20-07 CLOSED / FROZEN. Next canonical task: 20-08 — Evaluate Responses.</x:v>
      </x:c>
    </x:row>
    <x:row r="214">
      <x:c r="A214" s="42" t="str">
        <x:v>✓</x:v>
      </x:c>
      <x:c r="B214" s="133" t="str">
        <x:v>20-08</x:v>
      </x:c>
      <x:c r="C214" s="133" t="str">
        <x:v>20 Launch Documentation</x:v>
      </x:c>
      <x:c r="D214" s="133" t="str">
        <x:v>Documentation</x:v>
      </x:c>
      <x:c r="E214" s="133" t="str">
        <x:v>Evaluate Responses</x:v>
      </x:c>
      <x:c r="F214" s="133" t="str">
        <x:v>Issuer evaluation visibility/rules documented.</x:v>
      </x:c>
      <x:c r="G214" s="133" t="str">
        <x:v>P0</x:v>
      </x:c>
      <x:c r="H214" s="133" t="str">
        <x:v>Completed</x:v>
      </x:c>
      <x:c r="I214" s="133" t="str">
        <x:v>Project Owner / Engineering</x:v>
      </x:c>
      <x:c r="J214" s="133"/>
      <x:c r="K214" s="133"/>
      <x:c r="L214" s="133" t="str">
        <x:v>G11</x:v>
      </x:c>
      <x:c r="M214" s="133" t="str">
        <x:v>PASS / CLOSED — Added launch-ready Evaluate Responses documentation covering the deadline-controlled commercial-opening boundary for all current sourcing methods, pre-deadline lockbox visibility, issuer comparison access, decision-ready versus Requires Review quotation states, deterministic weighted evaluation criteria, price/timeline/performance/risk-readiness/validity scoring, ranking and recommendation semantics, comparison metrics, supplier identity handling, quote-decision authorization, respondent confidentiality, troubleshooting, and the separation between evaluation and Contract Award.</x:v>
      </x:c>
      <x:c r="N214" s="249"/>
      <x:c r="O214" s="249" t="n">
        <x:v>46295</x:v>
      </x:c>
      <x:c r="P214" s="32" t="str">
        <x:v>Published at 6042bd72be30cc675de1da2d2e45350d8846b293 as docs/launch/EVALUATE_RESPONSES.md. Documentation is grounded in the active /rfq/[slug]/compare page, RfqQuoteComparison, RFQOwnerQuotes, commercial-intelligence/scoring engines, RFQ buyer-intelligence boundary, quote-decision API, award-button boundary, and commercial governance controls. Current launch rule is explicit: Open, Invited / Selective, and Sealed Bid RFQs remain commercially locked until the submission deadline has passed; pre-deadline issuer visibility is limited to safe participation count/status where supported. Decision-ready quotations exclude material-amendment revalidation cases from ranking, averages, recommendation, and award eligibility. The current deterministic evaluation weights are documented as Price 38%, Timeline 22%, Performance signals 18%, Risk readiness 14%, and Quote validity 8%; recommendation is the highest current decision-ready total score and is decision evidence, not a guaranteed award. Source commit adds exactly one documentation file; no application code, scoring rule, auth, database, or procurement data changed. 20-08 CLOSED / FROZEN. Next canonical task: 20-09 — Award.</x:v>
      </x:c>
    </x:row>
    <x:row r="215">
      <x:c r="A215" s="42" t="str">
        <x:v>✓</x:v>
      </x:c>
      <x:c r="B215" s="133" t="str">
        <x:v>20-09</x:v>
      </x:c>
      <x:c r="C215" s="133" t="str">
        <x:v>20 Launch Documentation</x:v>
      </x:c>
      <x:c r="D215" s="133" t="str">
        <x:v>Documentation</x:v>
      </x:c>
      <x:c r="E215" s="133" t="str">
        <x:v>Award</x:v>
      </x:c>
      <x:c r="F215" s="133" t="str">
        <x:v>Award outcome and next step documented.</x:v>
      </x:c>
      <x:c r="G215" s="133" t="str">
        <x:v>P0</x:v>
      </x:c>
      <x:c r="H215" s="133" t="str">
        <x:v>Completed</x:v>
      </x:c>
      <x:c r="I215" s="133" t="str">
        <x:v>Project Owner / Engineering</x:v>
      </x:c>
      <x:c r="J215" s="133"/>
      <x:c r="K215" s="133"/>
      <x:c r="L215" s="133" t="str">
        <x:v>G11</x:v>
      </x:c>
      <x:c r="M215" s="133" t="str">
        <x:v>PASS / CLOSED — Added launch-ready Award documentation covering post-deadline award availability, server-authoritative owner/admin authorization for a verified active issuing Company Workspace, selected-quotation eligibility, recommendation-versus-award separation, quote-decision separation, confirmation flow, the atomic RFQ/quotation award transaction, terminal award behavior, Addendum acknowledgement and material-revalidation guards, buyer/supplier notification outcomes, post-award commercial handoff, troubleshooting, self-award prohibition, and the boundary between recorded RFQ Award and downstream Contract / PO execution.</x:v>
      </x:c>
      <x:c r="N215" s="249"/>
      <x:c r="O215" s="249" t="n">
        <x:v>46295</x:v>
      </x:c>
      <x:c r="P215" s="32" t="str">
        <x:v>Published at ef25da44e8cdae23cc5317911a81aa48b43f5a0f as docs/launch/AWARD.md. Documentation is grounded in the active /api/award-contract route, AwardContractButton confirmation flow, post-opening comparison workspace, current award_rfq_quote database function and award-integrity triggers, material-amendment quotation-revalidation guard, and RFQ post-award commercial-handoff copy. Current server rule is explicit: award requires an authenticated active workspace owner/admin of the verified, active issuing company; the RFQ must still be open before the transaction, the valid submission deadline must have passed, the selected quotation must not be self-issued or rejected, every required Addendum must be acknowledged, and material revalidation must be current. The transaction atomically records the selected quotation as awarded, rejects the remaining quotations, and marks the RFQ awarded; duplicate/replacement award attempts are guarded. Recommendation is not a prerequisite for award and does not automatically select the winner. Buyer/supplier email notification occurs after award persistence and does not roll back a successful award. Contract execution, signatures, purchase-order status, and external commercial administration remain outside the current RFQ workspace. Source commit adds exactly one documentation file; no application code, database function, auth, email configuration, or procurement data changed. 20-09 CLOSED / FROZEN. Next canonical task: 20-10 — Roles &amp; Permissions.</x:v>
      </x:c>
    </x:row>
    <x:row r="216">
      <x:c r="A216" s="42" t="str">
        <x:v>✓</x:v>
      </x:c>
      <x:c r="B216" s="133" t="str">
        <x:v>20-10</x:v>
      </x:c>
      <x:c r="C216" s="133" t="str">
        <x:v>20 Launch Documentation</x:v>
      </x:c>
      <x:c r="D216" s="133" t="str">
        <x:v>Documentation</x:v>
      </x:c>
      <x:c r="E216" s="133" t="str">
        <x:v>Roles &amp; Permissions</x:v>
      </x:c>
      <x:c r="F216" s="133" t="str">
        <x:v>Company membership and RFQ relationship model explained.</x:v>
      </x:c>
      <x:c r="G216" s="133" t="str">
        <x:v>P0</x:v>
      </x:c>
      <x:c r="H216" s="133" t="str">
        <x:v>Completed</x:v>
      </x:c>
      <x:c r="I216" s="133" t="str">
        <x:v>Project Owner / Engineering</x:v>
      </x:c>
      <x:c r="J216" s="133"/>
      <x:c r="K216" s="133"/>
      <x:c r="L216" s="133" t="str">
        <x:v>G11</x:v>
      </x:c>
      <x:c r="M216" s="133" t="str">
        <x:v>PASS / CLOSED — Added launch-ready Workspace Access Model documentation for Roles &amp; Permissions. The guide separates authoritative Company Workspace membership from RFQ participation, defines Workspace Role / Procurement Function / Membership Type / Membership Status, documents Owner/Admin/Standard/Read Only behavior, protects ownership transfer, explains current workspace-invitation enrollment, records issuer and respondent procurement authorization, preserves pre-deadline commercial confidentiality, and provides a current access matrix.</x:v>
      </x:c>
      <x:c r="N216" s="249"/>
      <x:c r="O216" s="249" t="n">
        <x:v>46295</x:v>
      </x:c>
      <x:c r="P216" s="32" t="str">
        <x:v>Published at 6683d7235649ff9435dca060e745b7c4684db1dd as docs/launch/WORKSPACE_ACCESS_MODEL.md. Documentation is grounded in organization-membership resolution, workspace permission helpers, current Company Workspace invitation/acceptance flows, protected member-role/remove commands, ownership-transfer workflows, procurement write authorization, RFQ access contract, commercial quote RLS, quote-decision authorization, and current Contract Award authorization. The guide explicitly preserves the permanent domain boundary: Company Workspace Membership / Invitation is not RFQ Invitation or RFQ participation. Workspace Role, Procurement Function, and RFQ participant role are documented as separate dimensions. Current launch-facing workspace invite levels are Read Only, Standard, and Administrator; historical buyer/vendor invitation values are identified only as backend migration compatibility. The access matrix records that Standard members require separate Buyer Procurement Function for issuer RFQ creation/invitation, while active non-viewer respondent participation still requires the applicable RFQ relationship. Source commit adds exactly one documentation file; no application code, authorization rule, database policy/function, auth data, or procurement data changed. 20-10 CLOSED / FROZEN. Next canonical task: 20-11 — FAQ &amp; Support.</x:v>
      </x:c>
    </x:row>
    <x:row r="217">
      <x:c r="A217" s="42" t="str">
        <x:v>✓</x:v>
      </x:c>
      <x:c r="B217" s="133" t="str">
        <x:v>20-11</x:v>
      </x:c>
      <x:c r="C217" s="133" t="str">
        <x:v>20 Launch Documentation</x:v>
      </x:c>
      <x:c r="D217" s="133" t="str">
        <x:v>Documentation</x:v>
      </x:c>
      <x:c r="E217" s="133" t="str">
        <x:v>FAQ &amp; Support</x:v>
      </x:c>
      <x:c r="F217" s="133" t="str">
        <x:v>Common issues and support path documented.</x:v>
      </x:c>
      <x:c r="G217" s="133" t="str">
        <x:v>P0</x:v>
      </x:c>
      <x:c r="H217" s="133" t="str">
        <x:v>Completed</x:v>
      </x:c>
      <x:c r="I217" s="133" t="str">
        <x:v>Project Owner / Engineering</x:v>
      </x:c>
      <x:c r="J217" s="133"/>
      <x:c r="K217" s="133"/>
      <x:c r="L217" s="133" t="str">
        <x:v>G11</x:v>
      </x:c>
      <x:c r="M217" s="133" t="str">
        <x:v>PASS / CLOSED — Added launch-ready FAQ &amp; Support documentation consolidating common account, Company Workspace, invitation, RFQ access, creation, Private RFI, quotation, Addendum, evaluation, award, email-delivery, privacy/security, and support-routing questions. The guide documents the authenticated product Support link to /contact, Technical Support inquiry routing, the corporate contact address, required contact-form fields, safe information to include in support requests, and clear stop/escalate conditions for access or procurement-state anomalies.</x:v>
      </x:c>
      <x:c r="N217" s="249"/>
      <x:c r="O217" s="249" t="n">
        <x:v>46295</x:v>
      </x:c>
      <x:c r="P217" s="32" t="str">
        <x:v>Published at c9056df84a2af0ffbcdc3646b38fcdb025e6cc91 as docs/launch/FAQ_SUPPORT.md. Documentation is grounded in the active ApplicationFooter Support link, corporate Contact page and ContactForm, /api/contact validation/delivery behavior, published corporate contact email, current Privacy/Terms support references, and the already verified launch workflow contracts from 20-01 through 20-10. The guide distinguishes business-state persistence from notification-email delivery for RFQ Invitation, RFI response, quotation submission, and Award workflows; it directs users to treat the product workspace as authoritative when an email warning occurs. It explicitly warns against duplicate companies, duplicate RFQ Invitations, duplicate quotations, or replacement procurement records as troubleshooting workarounds. Source commit adds exactly one documentation file; no application code, auth, email configuration, database state, or procurement data changed. 20-11 CLOSED / FROZEN. Next canonical task: 20-12 — Privacy/Security Overview.</x:v>
      </x:c>
    </x:row>
    <x:row r="218">
      <x:c r="A218" s="42" t="str">
        <x:v>✓</x:v>
      </x:c>
      <x:c r="B218" s="133" t="str">
        <x:v>20-12</x:v>
      </x:c>
      <x:c r="C218" s="133" t="str">
        <x:v>20 Launch Documentation</x:v>
      </x:c>
      <x:c r="D218" s="133" t="str">
        <x:v>Documentation</x:v>
      </x:c>
      <x:c r="E218" s="133" t="str">
        <x:v>Privacy/Security Overview</x:v>
      </x:c>
      <x:c r="F218" s="133" t="str">
        <x:v>High-level confidentiality and access model documented.</x:v>
      </x:c>
      <x:c r="G218" s="133" t="str">
        <x:v>P0</x:v>
      </x:c>
      <x:c r="H218" s="133" t="str">
        <x:v>Completed</x:v>
      </x:c>
      <x:c r="I218" s="133" t="str">
        <x:v>Project Owner / Engineering</x:v>
      </x:c>
      <x:c r="J218" s="133"/>
      <x:c r="K218" s="133"/>
      <x:c r="L218" s="133" t="str">
        <x:v>G11</x:v>
      </x:c>
      <x:c r="M218" s="133" t="str">
        <x:v>PASS / CLOSED — Added launch-ready Privacy &amp; Security Overview documenting the current authentication/session boundary, layered Company Workspace and RFQ authorization model, deadline-locked commercial confidentiality, respondent isolation, Addendum/revalidation protection, RLS/database command boundaries, audit evidence, private RFQ/company-document storage, public-logo boundary, invitation-token handling, privacy-minimized Sentry monitoring, Corporate-only consented GA4, browser-local working state, transactional email processing, safe public-site URL validation, contact-form processing, decision-support limitations, escalation guidance, and explicit non-certification/risk limitations.</x:v>
      </x:c>
      <x:c r="N218" s="249"/>
      <x:c r="O218" s="249" t="n">
        <x:v>46295</x:v>
      </x:c>
      <x:c r="P218" s="32" t="str">
        <x:v>Published at 91dc078e34d2fd81e5a5a3aebad096551ff3607d as docs/launch/PRIVACY_SECURITY_OVERVIEW.md. Documentation is grounded in the current Privacy/Terms pages, Supabase SSR authentication clients and middleware, authoritative organization-membership/workspace context, procurement access/write authorization, deadline-locked quote RLS, material-revalidation policies, active Storage bucket/policy contracts, invitation identity checks, Sentry privacy-preserving configuration and token-path sanitization, sanitized critical API failure reporting, CorporateAnalytics consent boundary, public-site URL validation, contact form/email delivery, and existing Phase 20 workflow documentation. The overview explicitly distinguishes private rfq-attachments/company-documents from the intentionally public Company-logos branding bucket, and states that product/security controls reduce risk without claiming a risk-free or independently certified system. Final Phase 20 internal-consistency review covered all 12 launch guides: all retain Intelligent Procurement as a Nexus Pavilion Inc. product, contain no personal Gmail references or rejected product-name references, preserve Workspace Membership vs RFQ Invitation separation, preserve the deadline-locked commercial-opening rule, preserve recommendation vs Contract Award separation, and contain no unsupported autonomous-award claim. Source commit adds exactly one documentation file; no application code, auth configuration, database policy/function, monitoring configuration, analytics configuration, email configuration, or procurement data changed. 20-12 CLOSED / FROZEN. Phase 20 CLOSED 12/12. G11 CLOSED.</x:v>
      </x:c>
    </x:row>
    <x:row r="219">
      <x:c r="A219" s="42" t="str">
        <x:v>✓</x:v>
      </x:c>
      <x:c r="B219" s="133" t="str">
        <x:v>21-01</x:v>
      </x:c>
      <x:c r="C219" s="133" t="str">
        <x:v>21 Final Launch Gate</x:v>
      </x:c>
      <x:c r="D219" s="133" t="str">
        <x:v>Launch</x:v>
      </x:c>
      <x:c r="E219" s="133" t="str">
        <x:v>Review G0–G13</x:v>
      </x:c>
      <x:c r="F219" s="133" t="str">
        <x:v>Every gate has evidence, owner and sign-off status.</x:v>
      </x:c>
      <x:c r="G219" s="133" t="str">
        <x:v>P0</x:v>
      </x:c>
      <x:c r="H219" s="133" t="str">
        <x:v>Completed</x:v>
      </x:c>
      <x:c r="I219" s="133" t="str">
        <x:v>Project Owner / Engineering</x:v>
      </x:c>
      <x:c r="J219" s="133"/>
      <x:c r="K219" s="133"/>
      <x:c r="L219" s="133" t="str">
        <x:v>G13</x:v>
      </x:c>
      <x:c r="M219" s="133" t="str">
        <x:v>PASS / EVIDENCE-ONLY CLOSED — Reviewed the full canonical 16-gate launch set: G0, G0A, G1–G10, G10A, G11–G13. Gate records now have explicit owner/evidence/sign-off or pending-sign-off status. G4 RFI lifecycle was reconciled to Completed because its prior deferred E2E evidence was fulfilled by accepted Phase 18 UAT. G8 Email journey was reconciled to Completed from published Phase 14 email work plus Phase 18 communication/continuation evidence. G7 Intelligence permissions is In Progress because Ask Nexus 13G-02 and 13G-08 remain Not Started. G10A Enterprise UI &amp; guidance is In Progress because the 13I final UI 9.5 quality/sign-off sequence remains Not Started. G13 remains Blocked pending RC build/tests, remaining launch criteria, known-risk/deferral review, watch plan and explicit Production Go/No-Go.</x:v>
      </x:c>
      <x:c r="N219" s="249"/>
      <x:c r="O219" s="249" t="n">
        <x:v>46295</x:v>
      </x:c>
      <x:c r="P219" s="32" t="str">
        <x:v>Gate-review reconciliation only; no product code, auth, database, RLS/RPC, email, monitoring, Production or procurement data changed. Production Release Checklist entries tied to already-closed gates were reconciled to existing accepted evidence so the concise checklist no longer contradicts the canonical gate ledger. Current gate position after 21-01: 13/16 Completed; G7 and G10A In Progress; G13 Blocked. Next canonical task: 21-02 — Production UAT. Phase 18 already contains production-like UAT evidence, so 21-02 must review/reuse that accepted evidence rather than manufacture new procurement data.</x:v>
      </x:c>
    </x:row>
    <x:row r="220">
      <x:c r="A220" s="42" t="str">
        <x:v>✓</x:v>
      </x:c>
      <x:c r="B220" s="133" t="str">
        <x:v>21-02</x:v>
      </x:c>
      <x:c r="C220" s="133" t="str">
        <x:v>21 Final Launch Gate</x:v>
      </x:c>
      <x:c r="D220" s="133" t="str">
        <x:v>Launch</x:v>
      </x:c>
      <x:c r="E220" s="133" t="str">
        <x:v>Production UAT</x:v>
      </x:c>
      <x:c r="F220" s="133" t="str">
        <x:v>Critical journeys validated in production-like environment.</x:v>
      </x:c>
      <x:c r="G220" s="133" t="str">
        <x:v>P0</x:v>
      </x:c>
      <x:c r="H220" s="133" t="str">
        <x:v>Completed</x:v>
      </x:c>
      <x:c r="I220" s="133" t="str">
        <x:v>Project Owner / Engineering</x:v>
      </x:c>
      <x:c r="J220" s="133"/>
      <x:c r="K220" s="133"/>
      <x:c r="L220" s="133" t="str">
        <x:v>G13</x:v>
      </x:c>
      <x:c r="M220" s="133" t="str">
        <x:v>PASS / EVIDENCE-RECONCILED CLOSED — Reused the accepted Phase 18 production-like UAT baseline (UAT-01 through UAT-38 PASS; 18-28 closed) and performed a read-only post-UAT change-impact review. Phase 20 changes are documentation/tracker-only. The material post-Phase-18 application change requiring specific review is bc09262d358b6ff0810bf5076a36e42d5a1747a8 (Guard existing workspace onboarding access), limited to middleware.ts and src/lib/auth/login-continuation.test.ts. Its focused tests cover existing-workspace redirect, safe RFQ continuation preservation, authenticated no-company onboarding, and refreshed session-cookie/cache-header propagation; Vercel status for that commit is successful. Current branch blobs for both files are identical to the bc09262 commit, with no later modification. No evidence indicates that accepted Phase 18 RFQ/RFI/quotation/evaluation/award critical-journey evidence was invalidated.</x:v>
      </x:c>
      <x:c r="N220" s="249"/>
      <x:c r="O220" s="249" t="n">
        <x:v>46295</x:v>
      </x:c>
      <x:c r="P220" s="32" t="str">
        <x:v>21-02 CLOSED by evidence reconciliation only. No UAT matrix rerun, new RFQ, deadline manipulation, manufactured procurement evidence, product code change, database change, or Production action was performed. The user explicitly confirmed that no rerun is required after the impact review. G13 remains BLOCKED pending 21-03 Release Candidate build/tests, completion of independent G7/G10A evidence, risk/deferral review, monitoring/watch-plan readiness, and explicit 21-04 Production Go/No-Go. Next canonical task: 21-03 — Release candidate build.</x:v>
      </x:c>
    </x:row>
    <x:row r="221">
      <x:c r="A221" s="42" t="str">
        <x:v>✓</x:v>
      </x:c>
      <x:c r="B221" s="133" t="str">
        <x:v>21-03</x:v>
      </x:c>
      <x:c r="C221" s="133" t="str">
        <x:v>21 Final Launch Gate</x:v>
      </x:c>
      <x:c r="D221" s="133" t="str">
        <x:v>Launch</x:v>
      </x:c>
      <x:c r="E221" s="133" t="str">
        <x:v>Release candidate build</x:v>
      </x:c>
      <x:c r="F221" s="133" t="str">
        <x:v>Tagged/reviewable release candidate passes build/tests.</x:v>
      </x:c>
      <x:c r="G221" s="133" t="str">
        <x:v>P0</x:v>
      </x:c>
      <x:c r="H221" s="133" t="str">
        <x:v>Completed</x:v>
      </x:c>
      <x:c r="I221" s="133" t="str">
        <x:v>Project Owner / Engineering</x:v>
      </x:c>
      <x:c r="J221" s="133"/>
      <x:c r="K221" s="133"/>
      <x:c r="L221" s="133" t="str">
        <x:v>G13</x:v>
      </x:c>
      <x:c r="M221" s="133" t="str">
        <x:v>PASS / RC VALIDATION CLOSED — Reviewable RC identity established as RC-2026-09-30-c924305 plus a controlled 26-file candidate patch over base c92430562fbdea9c418f1783e66c77ece381d25a. Final isolated validation passed: launch regression 93/93 files and 943/943 tests; full npm test 155/155 files and 1746/1746 tests; lint PASS; production build PASS with TypeScript PASS and 70/70 pages generated; git diff --check PASS. The candidate excluded unrelated dirty work and introduced no new product behavior during test-contract remediation.</x:v>
      </x:c>
      <x:c r="N221" s="249"/>
      <x:c r="O221" s="249" t="n">
        <x:v>46295</x:v>
      </x:c>
      <x:c r="P221" s="32" t="str">
        <x:v>21-03 CLOSED on validated reviewable candidate evidence. The 26-file candidate patch remains UNPUBLISHED/UNCOMMITTED relative to remote base c92430562fbdea9c418f1783e66c77ece381d25a; no tag, commit, push or Production action was authorized by this task. This closeout certifies the RC validation result, not source publication or Production approval. G13 remains BLOCKED pending independent G7/G10A completion, known-risk/deferral reconciliation, monitoring/watch-plan readiness and explicit 21-04 Go/No-Go. Next canonical task: 21-04 — Go/No-Go review.</x:v>
      </x:c>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v>✓</x:v>
      </x:c>
      <x:c r="B225" s="133" t="str">
        <x:v>13A-01</x:v>
      </x:c>
      <x:c r="C225" s="133" t="str">
        <x:v>13A Enterprise Experience Audit</x:v>
      </x:c>
      <x:c r="D225" s="133" t="str">
        <x:v>Audit</x:v>
      </x:c>
      <x:c r="E225" s="133" t="str">
        <x:v>Run Cursor UI Task 01 — Enterprise Dark UI Audit</x:v>
      </x:c>
      <x:c r="F225" s="133" t="str">
        <x:v>No-code audit maps shell, theme, logo use, hard-coded styling, components, motion, accessibility and page scores.</x:v>
      </x:c>
      <x:c r="G225" s="133" t="str">
        <x:v>P0</x:v>
      </x:c>
      <x:c r="H225" s="133" t="str">
        <x:v>Completed</x:v>
      </x:c>
      <x:c r="I225" s="133" t="str">
        <x:v>Project Owner / Product / Engineering</x:v>
      </x:c>
      <x:c r="J225" s="133" t="str">
        <x:v>Cursor UI 01</x:v>
      </x:c>
      <x:c r="K225" s="133" t="str">
        <x:v>G1</x:v>
      </x:c>
      <x:c r="L225" s="133"/>
      <x:c r="M225" s="133" t="str">
        <x:v>PASS / AUDIT CLOSED — Current local worktree audit confirmed a credible enterprise-dark foundation. REUSE: AppShell public/application/chromeless separation, live Sidebar/AppTopbar/page context, public/application footers, canonical logo component, global dark semantic tokens, np-type typography utilities, executive component family, focus/keyboard/live-region/reduced-motion foundations. STANDARDIZE/CONSOLIDATE gaps are primarily adoption and duplication: legacy light controls, status-badge variants, hard-coded visual literals, repeated empty/loading/error/help states, direct logo asset usage, fragmented motion patterns and lack of one shared enterprise field contract. No new duplicate files/components are justified at this audit stage.</x:v>
      </x:c>
      <x:c r="N225" s="249"/>
      <x:c r="O225" s="249" t="n">
        <x:v>46295</x:v>
      </x:c>
      <x:c r="P225" s="135" t="str">
        <x:v>Read-only audit against current dirty local worktree at published HEAD 1f4d1842f8697496d1bebc4f0cba925b52f3b1fd. No files, Git state, database or Production changed. 13A-01 closes audit discovery only; 13A wave remains open. Next canonical task: 13A-02 — Confirm canonical NexusPavilion logo asset.</x:v>
      </x:c>
    </x:row>
    <x:row r="226">
      <x:c r="A226" s="133" t="str">
        <x:v>✓</x:v>
      </x:c>
      <x:c r="B226" s="133" t="str">
        <x:v>13A-02</x:v>
      </x:c>
      <x:c r="C226" s="133" t="str">
        <x:v>13A Enterprise Experience Audit</x:v>
      </x:c>
      <x:c r="D226" s="133" t="str">
        <x:v>Brand</x:v>
      </x:c>
      <x:c r="E226" s="133" t="str">
        <x:v>Confirm canonical NexusPavilion logo asset</x:v>
      </x:c>
      <x:c r="F226" s="133" t="str">
        <x:v>Existing production logo/brand asset is identified and reused; no new logo is created.</x:v>
      </x:c>
      <x:c r="G226" s="133" t="str">
        <x:v>P0</x:v>
      </x:c>
      <x:c r="H226" s="133" t="str">
        <x:v>Completed</x:v>
      </x:c>
      <x:c r="I226" s="133" t="str">
        <x:v>Project Owner / Product / Engineering</x:v>
      </x:c>
      <x:c r="J226" s="133"/>
      <x:c r="K226" s="133" t="str">
        <x:v>Cursor UI 01</x:v>
      </x:c>
      <x:c r="L226" s="133"/>
      <x:c r="M226" s="133" t="str">
        <x:v>PASS / BRAND SOURCE FROZEN — Canonical application logo implementation is src/components/branding/nexus-pavilion-logo.tsx (NexusPavilionLogo; NexusPavilionMonogram alias), using official mapped assets public/branding/logo-horizontal-1024.png, logo-icon-512.png and logo-stacked-1024.png with horizontal/full/footer/icon/mark/stacked variants. Correct reuse is established across corporate header/home, About/Privacy/Terms, live application sidebar/topbar, corporate footer and workspace/sign-out menus. Direct bypasses remain on auth/onboarding/error/not-found and React report surfaces; email branding remains text-only. public/branding/nexus-pavilion-footer.png is a conflicting legacy NP/gold asset with no active source usage found.</x:v>
      </x:c>
      <x:c r="N226" s="249"/>
      <x:c r="O226" s="249" t="n">
        <x:v>46295</x:v>
      </x:c>
      <x:c r="P226" s="135" t="str">
        <x:v>Read-only audit only. Official supplied Nexus Pavilion logo remains immutable: no recreation, approximation, recoloring or redesign authorized. Future standardization should route UI/report surfaces through the canonical component, preserve text-only email branding unless separately approved, and archive/retire conflicting unused legacy aliases/assets only under a later scoped implementation task. Next canonical task: 13A-03 — Inventory global shell/layout components.</x:v>
      </x:c>
    </x:row>
    <x:row r="227">
      <x:c r="A227" s="133" t="str">
        <x:v>✓</x:v>
      </x:c>
      <x:c r="B227" s="133" t="str">
        <x:v>13A-03</x:v>
      </x:c>
      <x:c r="C227" s="133" t="str">
        <x:v>13A Enterprise Experience Audit</x:v>
      </x:c>
      <x:c r="D227" s="133" t="str">
        <x:v>Inventory</x:v>
      </x:c>
      <x:c r="E227" s="133" t="str">
        <x:v>Inventory global shell/layout components</x:v>
      </x:c>
      <x:c r="F227" s="133" t="str">
        <x:v>Authenticated shell, public shell, sidebar, top bar, breadcrumbs, footer and content containers are mapped.</x:v>
      </x:c>
      <x:c r="G227" s="133" t="str">
        <x:v>P0</x:v>
      </x:c>
      <x:c r="H227" s="133" t="str">
        <x:v>Completed</x:v>
      </x:c>
      <x:c r="I227" s="133" t="str">
        <x:v>Project Owner / Product / Engineering</x:v>
      </x:c>
      <x:c r="J227" s="133"/>
      <x:c r="K227" s="133" t="str">
        <x:v>Cursor UI 01</x:v>
      </x:c>
      <x:c r="L227" s="133"/>
      <x:c r="M227" s="133" t="str">
        <x:v>PASS / SHELL INVENTORY CLOSED — Canonical shell architecture is one AppShell with route-aware public/application/chromeless branches via getAppShellKind(). Authenticated shell reuses live Sidebar, AppTopbar, AppPageContext and ApplicationFooter; public branch reuses Footer and consent-gated CorporateAnalytics; chromeless branch remains the no-chrome boundary for auth/onboarding/dev/RFQ-invite flows. EXECUTIVE_PAGE_CLASS is the preferred 1680px application page-width primitive. No new shell component is required.</x:v>
      </x:c>
      <x:c r="N227" s="249"/>
      <x:c r="O227" s="249" t="n">
        <x:v>46295</x:v>
      </x:c>
      <x:c r="P227" s="135" t="str">
        <x:v>Read-only inventory against current local worktree at HEAD 0281633c2eb9f095ecd0c78294bd97afd6d36f87. Observed inconsistencies to address later in scoped 13D work: unused AppSidebar, separate mobile header vs desktop AppTopbar, incomplete EXECUTIVE_PAGE_CLASS adoption, nested loading &lt;main&gt;, duplicated full-screen error/not-found frames, and /register chromeless mapping without a matching nested layout. No code/Git/DB/Production change. Next canonical task: 13A-04 — Inventory theme/design tokens and hard-coded colors.</x:v>
      </x:c>
    </x:row>
    <x:row r="228">
      <x:c r="A228" s="133" t="str">
        <x:v>✓</x:v>
      </x:c>
      <x:c r="B228" s="133" t="str">
        <x:v>13A-04</x:v>
      </x:c>
      <x:c r="C228" s="133" t="str">
        <x:v>13A Enterprise Experience Audit</x:v>
      </x:c>
      <x:c r="D228" s="133" t="str">
        <x:v>Tokens</x:v>
      </x:c>
      <x:c r="E228" s="133" t="str">
        <x:v>Inventory theme/design tokens and hard-coded colors</x:v>
      </x:c>
      <x:c r="F228" s="133" t="str">
        <x:v>Current color, typography, spacing, radius, border, shadow and status styles are classified for reuse/consolidation.</x:v>
      </x:c>
      <x:c r="G228" s="133" t="str">
        <x:v>P0</x:v>
      </x:c>
      <x:c r="H228" s="133" t="str">
        <x:v>Completed</x:v>
      </x:c>
      <x:c r="I228" s="133" t="str">
        <x:v>Project Owner / Product / Engineering</x:v>
      </x:c>
      <x:c r="J228" s="133"/>
      <x:c r="K228" s="133" t="str">
        <x:v>Cursor UI 01</x:v>
      </x:c>
      <x:c r="L228" s="133"/>
      <x:c r="M228" s="133" t="str">
        <x:v>PASS / TOKEN INVENTORY CLOSED — Canonical application token sources are src/app/globals.css and src/lib/design-system/executive-contract.ts, with badge tone mapping in ExecutiveBadge. Existing dark semantic colors, typography utilities, page/layout spacing, executive radii/shadows and focus utilities are reusable. Primary gaps are inconsistent adoption and duplication: hard-coded navy/gold/cyan values, raw radii/shadows, page/sidebar dimensions, focus/CTA class strings, badge status colors and fragmented motion behavior.</x:v>
      </x:c>
      <x:c r="N228" s="249"/>
      <x:c r="O228" s="249" t="n">
        <x:v>46295</x:v>
      </x:c>
      <x:c r="P228" s="135" t="str">
        <x:v>Read-only audit at HEAD b73f83f954bc490eabc7f51560b2343dcc5a2616. 13B should reuse :root/@theme as the single application token source, align executive-contract.ts to those tokens, consolidate page/sidebar/focus/CTA values, wire badge tones to semantic status tokens, and add missing duration/easing/disabled/selected/hover/collapsed-sidebar/topbar tokens. Corporate CSS modules remain a separate public-surface palette and are deferred. No second token file is justified. No code/Git/DB/Production change. Next: 13A-05 — Inventory shared UI primitives.</x:v>
      </x:c>
    </x:row>
    <x:row r="229">
      <x:c r="A229" s="133" t="str">
        <x:v>✓</x:v>
      </x:c>
      <x:c r="B229" s="133" t="str">
        <x:v>13A-05</x:v>
      </x:c>
      <x:c r="C229" s="133" t="str">
        <x:v>13A Enterprise Experience Audit</x:v>
      </x:c>
      <x:c r="D229" s="133" t="str">
        <x:v>Components</x:v>
      </x:c>
      <x:c r="E229" s="133" t="str">
        <x:v>Inventory shared UI primitives</x:v>
      </x:c>
      <x:c r="F229" s="133" t="str">
        <x:v>Buttons, inputs, selects, date pickers, cards, tables, dialogs, drawers, tooltips, badges and feedback states are mapped.</x:v>
      </x:c>
      <x:c r="G229" s="133" t="str">
        <x:v>P0</x:v>
      </x:c>
      <x:c r="H229" s="133" t="str">
        <x:v>Completed</x:v>
      </x:c>
      <x:c r="I229" s="133" t="str">
        <x:v>Project Owner / Product / Engineering</x:v>
      </x:c>
      <x:c r="J229" s="133"/>
      <x:c r="K229" s="133" t="str">
        <x:v>Cursor UI 01</x:v>
      </x:c>
      <x:c r="L229" s="133"/>
      <x:c r="M229" s="133" t="str">
        <x:v>PASS / COMPONENT INVENTORY CLOSED — Reusable executive primitives exist for panels, badges, metrics, progress, confirmation dialogs, actions, insights/risks, deadline fields and route loading panels. Primary consolidation gaps are legacy/light ui/Button/FormInput/StatusBadge usage, duplicate executive status badge, window.confirm/custom confirmation paths, repeated raw form controls, duplicated empty states, tables and route skeletons. Missing shared primitives include enterprise text/textarea, checkbox/radio, data table, empty state, toast, tooltip/popover, drawer, workflow stepper and shared skeleton; none require immediate creation before 13C because existing primitives should be extended first.</x:v>
      </x:c>
      <x:c r="N229" s="249"/>
      <x:c r="O229" s="249" t="n">
        <x:v>46295</x:v>
      </x:c>
      <x:c r="P229" s="135" t="str">
        <x:v>Read-only audit at HEAD 3ae6d98eca87564a3cb34a1de429dedc7c1e806e. 13C should REUSE ExecutivePanel, ExecutiveBadge, ExecutiveMetricCard, ExecutiveProgress, ExecutiveConfirmDialog, DeadlineField and existing CTA contracts; CONSOLIDATE duplicate badges and confirmation paths; avoid creating a second components/ui kit. Public corporate/report surfaces remain deferred. No source/Git/DB/Production change. Next: 13A-06 — Inventory existing animations and success choreography.</x:v>
      </x:c>
    </x:row>
    <x:row r="230">
      <x:c r="A230" s="133" t="str">
        <x:v>✓</x:v>
      </x:c>
      <x:c r="B230" s="133" t="str">
        <x:v>13A-06</x:v>
      </x:c>
      <x:c r="C230" s="133" t="str">
        <x:v>13A Enterprise Experience Audit</x:v>
      </x:c>
      <x:c r="D230" s="133" t="str">
        <x:v>Motion</x:v>
      </x:c>
      <x:c r="E230" s="133" t="str">
        <x:v>Inventory existing animations and FAQ-style success choreography</x:v>
      </x:c>
      <x:c r="F230" s="133" t="str">
        <x:v>Existing reusable motion patterns are identified before creating new motion components.</x:v>
      </x:c>
      <x:c r="G230" s="133" t="str">
        <x:v>P0</x:v>
      </x:c>
      <x:c r="H230" s="133" t="str">
        <x:v>Completed</x:v>
      </x:c>
      <x:c r="I230" s="133" t="str">
        <x:v>Project Owner / Product / Engineering</x:v>
      </x:c>
      <x:c r="J230" s="133"/>
      <x:c r="K230" s="133" t="str">
        <x:v>Cursor UI 01</x:v>
      </x:c>
      <x:c r="L230" s="133"/>
      <x:c r="M230" s="133" t="str">
        <x:v>PASS / MOTION INVENTORY CLOSED — Application motion is currently lightweight and reusable in parts: global prefers-reduced-motion handling, duration-200/300 hover transitions, ExecutiveProgress width transition, route loading pulse/static panels, and existing spinner/pulse indicators. Business-event feedback is inconsistent: RFQ publish uses a full-screen staged overlay/countdown while Quote, RFI, Addendum, Award and company actions mostly use inline status. Corporate reveal/aurora/scan/orbit/pulse keyframes are a separate marketing-motion system.</x:v>
      </x:c>
      <x:c r="N230" s="249"/>
      <x:c r="O230" s="249" t="n">
        <x:v>46295</x:v>
      </x:c>
      <x:c r="P230" s="135" t="str">
        <x:v>Read-only audit at HEAD d962c2ec18cf70125dc3703e1e0e13795439d91f. 13E should reuse global reduced-motion handling and ExecutiveProgress; standardize inline success/loading treatment; consolidate spinner/pulse/hover timing; avoid promoting the RFQ publish fake staged percentage/countdown; remove artificial waits only under later scoped work; and keep corporate cinematic motion separate. No motion library or new motion file is justified at this stage. No source/Git/DB/Production change. Next: 13A-07 — Inventory help/tutorial/onboarding patterns.</x:v>
      </x:c>
    </x:row>
    <x:row r="231">
      <x:c r="A231" s="133" t="str">
        <x:v>✓</x:v>
      </x:c>
      <x:c r="B231" s="133" t="str">
        <x:v>13A-07</x:v>
      </x:c>
      <x:c r="C231" s="133" t="str">
        <x:v>13A Enterprise Experience Audit</x:v>
      </x:c>
      <x:c r="D231" s="133" t="str">
        <x:v>Guidance</x:v>
      </x:c>
      <x:c r="E231" s="133" t="str">
        <x:v>Inventory help/tutorial/onboarding patterns</x:v>
      </x:c>
      <x:c r="F231" s="133" t="str">
        <x:v>Existing hints, walkthroughs, tooltips, onboarding and contextual help are mapped to avoid duplicate systems.</x:v>
      </x:c>
      <x:c r="G231" s="133" t="str">
        <x:v>P0</x:v>
      </x:c>
      <x:c r="H231" s="133" t="str">
        <x:v>Completed</x:v>
      </x:c>
      <x:c r="I231" s="133" t="str">
        <x:v>Project Owner / Product / Engineering</x:v>
      </x:c>
      <x:c r="J231" s="133"/>
      <x:c r="K231" s="133" t="str">
        <x:v>Cursor UI 01</x:v>
      </x:c>
      <x:c r="L231" s="133"/>
      <x:c r="M231" s="133" t="str">
        <x:v>PASS / GUIDANCE INVENTORY CLOSED — Existing reusable guidance includes inline explanatory copy, aria-described form help, status/alert recovery sentences, local empty states, onboarding/setup states, RFQ executive guidance/next-best-action logic, confirmation consequence copy, evidence-limitation cards and application Support links. No tooltip/popover, walkthrough/coachmark, Ask Nexus/Guide shell, or guidance seen/dismissed/snoozed persistence currently exists.</x:v>
      </x:c>
      <x:c r="N231" s="249"/>
      <x:c r="O231" s="249" t="n">
        <x:v>46295</x:v>
      </x:c>
      <x:c r="P231" s="135" t="str">
        <x:v>Read-only audit at HEAD 9d17809be0ec1d65c08ad12ea2b369549de840f4. 13F should reuse RFQ executive guidance as the next-step source, ExecutiveEnrollmentState/ExecutiveAccessState for access guidance, and existing inline status/alert patterns; standardize empty states; consolidate duplicated company SystemState blocks and the three RFQ guidance voices (command center, Smart Recommendations, AI advisor) before adding new guidance. Do not create a duplicate guidance kit. No source/Git/DB/Production change. Next: 13A-08 — Audit reduced-motion, focus, contrast and keyboard behavior.</x:v>
      </x:c>
    </x:row>
    <x:row r="232">
      <x:c r="A232" s="133" t="str">
        <x:v>✓</x:v>
      </x:c>
      <x:c r="B232" s="133" t="str">
        <x:v>13A-08</x:v>
      </x:c>
      <x:c r="C232" s="133" t="str">
        <x:v>13A Enterprise Experience Audit</x:v>
      </x:c>
      <x:c r="D232" s="133" t="str">
        <x:v>Accessibility</x:v>
      </x:c>
      <x:c r="E232" s="133" t="str">
        <x:v>Audit reduced-motion, focus, contrast and keyboard behavior</x:v>
      </x:c>
      <x:c r="F232" s="133" t="str">
        <x:v>Launch-critical design-system gaps are documented before motion work begins.</x:v>
      </x:c>
      <x:c r="G232" s="133" t="str">
        <x:v>P0</x:v>
      </x:c>
      <x:c r="H232" s="133" t="str">
        <x:v>Completed</x:v>
      </x:c>
      <x:c r="I232" s="133" t="str">
        <x:v>Project Owner / Product / Engineering</x:v>
      </x:c>
      <x:c r="J232" s="133"/>
      <x:c r="K232" s="133" t="str">
        <x:v>Cursor UI 01</x:v>
      </x:c>
      <x:c r="L232" s="133"/>
      <x:c r="M232" s="133" t="str">
        <x:v>PASS / ACCESSIBILITY AUDIT CLOSED — Existing foundations are credible: global reduced-motion handling, executive focus rings, keyboard-complete ExecutiveConfirmDialog, mobile menu Escape/focus return, labeled/aria-describedby form patterns, status/alert regions, semantic application/public landmarks and accessible loading states. Key gaps were mapped without implementation: DeleteCompanyButton dialog incompleteness, remaining window.confirm usage, RFQ publish announcement gap, consent-dialog focus semantics, nested main landmarks, weaker cyan focus/low-contrast helper text, color-heavy compact selection, non-keyboard-scrollable wide tables and inconsistent field-error linkage.</x:v>
      </x:c>
      <x:c r="N232" s="249"/>
      <x:c r="O232" s="249" t="n">
        <x:v>46295</x:v>
      </x:c>
      <x:c r="P232" s="135" t="str">
        <x:v>Read-only audit at HEAD e121b46114bc23fbe167e0d038117d6f146f68cc. Remediation ownership is explicit: 13B for focus/contrast/disabled/selected tokens; 13C for dialog/confirm/field/table accessibility; 13D for single-main shell, mobile focus order, 44px targets and logo-alt consistency; 13E for reduced-motion/status announcement behavior. No source/Git/DB/Production change. Next: 13A-09 — Baseline UI score every core page.</x:v>
      </x:c>
    </x:row>
    <x:row r="233">
      <x:c r="A233" s="133" t="str">
        <x:v>✓</x:v>
      </x:c>
      <x:c r="B233" s="133" t="str">
        <x:v>13A-09</x:v>
      </x:c>
      <x:c r="C233" s="133" t="str">
        <x:v>13A Enterprise Experience Audit</x:v>
      </x:c>
      <x:c r="D233" s="133" t="str">
        <x:v>Scoring</x:v>
      </x:c>
      <x:c r="E233" s="133" t="str">
        <x:v>Baseline UI score every core page</x:v>
      </x:c>
      <x:c r="F233" s="133" t="str">
        <x:v>Every core page has baseline scores using the 10-dimension 9.5/10 scorecard.</x:v>
      </x:c>
      <x:c r="G233" s="133" t="str">
        <x:v>P0</x:v>
      </x:c>
      <x:c r="H233" s="133" t="str">
        <x:v>Completed</x:v>
      </x:c>
      <x:c r="I233" s="133" t="str">
        <x:v>Project Owner / Product / Engineering</x:v>
      </x:c>
      <x:c r="J233" s="133"/>
      <x:c r="K233" s="133" t="str">
        <x:v>Cursor UI 01</x:v>
      </x:c>
      <x:c r="L233" s="133"/>
      <x:c r="M233" s="133" t="str">
        <x:v>PASS / BASELINE COVERAGE CLOSED — Canonical 14 UI Scorecard now records all 23 core-page entries. 11 pages have verified weighted baseline scores from localhost visual review and 12 are explicitly UNVERIFIED with access/empty-document reasons rather than fabricated scores. Verified-page average is 6.51/10; 0 pages meet the 9.5 target; 9 verified launch-critical pages are below 9.0. Lowest verified baselines include Project Portfolio 5.6, Activity Center 6.1, Strategic Insights 6.1, Response Evaluation &amp; Award 6.3, and Intelligent Procurement Product Landing 6.3.</x:v>
      </x:c>
      <x:c r="N233" s="249"/>
      <x:c r="O233" s="249" t="n">
        <x:v>46295</x:v>
      </x:c>
      <x:c r="P233" s="135" t="str">
        <x:v>Closure means baseline audit coverage is complete, not that every surface is visually launch-ready. No score was invented for inaccessible/respondent/empty-document surfaces. Detailed per-dimension numeric values were not retained by the audit output; only weighted scores and evidence/gaps were preserved. Those UNVERIFIED surfaces and full per-dimension rescoring must be verified during later page-upgrade/final 13I quality-gate work with appropriate legitimate sessions. The three earlier public/project scores were not re-audited. No code, auth, DB, procurement data or Production change. Next: 13A-10 — Approve shared-first UI implementation sequence.</x:v>
      </x:c>
    </x:row>
    <x:row r="234">
      <x:c r="A234" s="133" t="str">
        <x:v>✓</x:v>
      </x:c>
      <x:c r="B234" s="133" t="str">
        <x:v>13A-10</x:v>
      </x:c>
      <x:c r="C234" s="133" t="str">
        <x:v>13A Enterprise Experience Audit</x:v>
      </x:c>
      <x:c r="D234" s="133" t="str">
        <x:v>Plan</x:v>
      </x:c>
      <x:c r="E234" s="133" t="str">
        <x:v>Approve shared-first UI implementation sequence</x:v>
      </x:c>
      <x:c r="F234" s="133" t="str">
        <x:v>Foundation → shared components → shell → motion → guidance → page upgrades is approved before implementation.</x:v>
      </x:c>
      <x:c r="G234" s="133" t="str">
        <x:v>P0</x:v>
      </x:c>
      <x:c r="H234" s="133" t="str">
        <x:v>Completed</x:v>
      </x:c>
      <x:c r="I234" s="133" t="str">
        <x:v>Project Owner / Product / Engineering</x:v>
      </x:c>
      <x:c r="J234" s="133"/>
      <x:c r="K234" s="133" t="str">
        <x:v>Cursor UI 01</x:v>
      </x:c>
      <x:c r="L234" s="133"/>
      <x:c r="M234" s="133" t="str">
        <x:v>PASS / 13A CLOSED — Shared-first implementation sequence approved from the completed 13A evidence set. Execution order is fixed as: 13B Dark Design System Foundation → 13C Shared Enterprise Components → 13D Workspace Shell &amp; Navigation → 13E Motion &amp; Completion System → 13F Contextual Guidance Framework → 13G Ask Nexus Interactive Help → 13H Page-by-Page UI Upgrade → 13I UI 9.5 Quality Gate. This sequence preserves the existing shell, official logo, token foundation, executive primitives, procurement business logic and authorization boundaries while preventing page-by-page reinvention.</x:v>
      </x:c>
      <x:c r="N234" s="249"/>
      <x:c r="O234" s="249" t="n">
        <x:v>46295</x:v>
      </x:c>
      <x:c r="P234" s="135" t="str">
        <x:v>Approval is based on 13A-01..13A-09 audits and the canonical UI Program dependency chain. Key constraints carried forward: SEARCH → REUSE → MODIFY → CREATE; no second token/UI/guidance/motion system; no corporate-motion contamination of application UI; no page-level redesign before shared foundations are stable; no Ask Nexus permission elevation; no reopening PASS/CLOSED procurement logic absent a verified defect. 13A/U0 is complete. Next canonical task: 13B-01 — Define dark-first semantic color tokens.</x:v>
      </x:c>
    </x:row>
    <x:row r="235">
      <x:c r="A235" s="133" t="str">
        <x:v>✓</x:v>
      </x:c>
      <x:c r="B235" s="133" t="str">
        <x:v>13B-01</x:v>
      </x:c>
      <x:c r="C235" s="133" t="str">
        <x:v>13B Dark Design System Foundation</x:v>
      </x:c>
      <x:c r="D235" s="133" t="str">
        <x:v>Theme</x:v>
      </x:c>
      <x:c r="E235" s="133" t="str">
        <x:v>Define dark-first semantic color tokens</x:v>
      </x:c>
      <x:c r="F235" s="133" t="str">
        <x:v>Background, surfaces, text emphasis, borders, overlays, status and intelligence tokens are centralized and reusable.</x:v>
      </x:c>
      <x:c r="G235" s="133" t="str">
        <x:v>P0</x:v>
      </x:c>
      <x:c r="H235" s="133" t="str">
        <x:v>Completed</x:v>
      </x:c>
      <x:c r="I235" s="133" t="str">
        <x:v>Project Owner / Product / Engineering</x:v>
      </x:c>
      <x:c r="J235" s="133" t="str">
        <x:v>Cursor UI 02</x:v>
      </x:c>
      <x:c r="K235" s="133" t="str">
        <x:v>13A-10</x:v>
      </x:c>
      <x:c r="L235" s="133"/>
      <x:c r="M235" s="133" t="str">
        <x:v>PASS / TOKEN SOURCE CENTRALIZED — Published commit 1d0276e483d06d5afffe2e1924e62945c48d1987 updates only globals.css, executive-contract.ts and its focused test. Existing approved navy/gold/cyan semantic colors remain visually unchanged while rendered focus, CTA, gradient and shadow styles now reference semantic nexus-* theme tokens/CSS variables instead of duplicated inline hex/rgba values. No page-specific styling or product behavior changed.</x:v>
      </x:c>
      <x:c r="N235" s="249"/>
      <x:c r="O235" s="249" t="n">
        <x:v>46295</x:v>
      </x:c>
      <x:c r="P235" s="135" t="str">
        <x:v>Validation before publication: focused design-system tests PASS (33), lint PASS, build PASS, git diff --check PASS. Pre-commit boundary review confirmed all three files CLEAN-SCOPE with no unrelated local edits. Frozen EXECUTIVE_* hex mirrors remain intentionally for compatibility with existing contract/launch checks; rendered styles use semantic tokens. No DB/Auth/RLS/Production change. Next: 13B-02 — Define light-mode compatibility strategy.</x:v>
      </x:c>
    </x:row>
    <x:row r="236">
      <x:c r="A236" s="133" t="str">
        <x:v>✓</x:v>
      </x:c>
      <x:c r="B236" s="133" t="str">
        <x:v>13B-02</x:v>
      </x:c>
      <x:c r="C236" s="133" t="str">
        <x:v>13B Dark Design System Foundation</x:v>
      </x:c>
      <x:c r="D236" s="133" t="str">
        <x:v>Theme</x:v>
      </x:c>
      <x:c r="E236" s="133" t="str">
        <x:v>Define light-mode compatibility strategy</x:v>
      </x:c>
      <x:c r="F236" s="133" t="str">
        <x:v>Dark-first implementation does not hard-code assumptions that block future light/system appearance.</x:v>
      </x:c>
      <x:c r="G236" s="133" t="str">
        <x:v>P1</x:v>
      </x:c>
      <x:c r="H236" s="133" t="str">
        <x:v>Completed</x:v>
      </x:c>
      <x:c r="I236" s="133" t="str">
        <x:v>Project Owner / Product / Engineering</x:v>
      </x:c>
      <x:c r="J236" s="133"/>
      <x:c r="K236" s="133" t="str">
        <x:v>13B-01</x:v>
      </x:c>
      <x:c r="L236" s="133"/>
      <x:c r="M236" s="133" t="str">
        <x:v>PASS / STRATEGY DEFINED — Intelligent Procurement remains dark-first for launch. Future light/system appearance must reuse the same semantic token names and component contracts, with theme-specific values overridden only at the root/theme token layer. No component fork, second design-system stylesheet, page-specific light classes or duplicated UI kit is allowed. Application code should consume semantic nexus-* colors/surfaces/status/focus tokens rather than depend on dark hex values or literal visual assumptions.</x:v>
      </x:c>
      <x:c r="N236" s="249"/>
      <x:c r="O236" s="249" t="n">
        <x:v>46295</x:v>
      </x:c>
      <x:c r="P236" s="135" t="str">
        <x:v>Evidence-only strategy based on 13A-04 token inventory and published 13B-01 semantic-token centralization. No light mode is implemented or promised for launch. Corporate editorial styling remains a separate public-surface concern. Future light/system work, if approved, should add scoped token overrides and then run contrast/accessibility regression against the same shared components. No source/Git/DB/Production change. Next: 13B-03 — Standardize typography scale.</x:v>
      </x:c>
    </x:row>
    <x:row r="237">
      <x:c r="A237" s="133" t="str">
        <x:v>✓</x:v>
      </x:c>
      <x:c r="B237" s="133" t="str">
        <x:v>13B-03</x:v>
      </x:c>
      <x:c r="C237" s="133" t="str">
        <x:v>13B Dark Design System Foundation</x:v>
      </x:c>
      <x:c r="D237" s="133" t="str">
        <x:v>Typography</x:v>
      </x:c>
      <x:c r="E237" s="133" t="str">
        <x:v>Standardize typography scale</x:v>
      </x:c>
      <x:c r="F237" s="133" t="str">
        <x:v>Page titles, section titles, body, labels, tables, metadata and numeric emphasis use one hierarchy.</x:v>
      </x:c>
      <x:c r="G237" s="133" t="str">
        <x:v>P0</x:v>
      </x:c>
      <x:c r="H237" s="133" t="str">
        <x:v>Completed</x:v>
      </x:c>
      <x:c r="I237" s="133" t="str">
        <x:v>Project Owner / Product / Engineering</x:v>
      </x:c>
      <x:c r="J237" s="133"/>
      <x:c r="K237" s="133" t="str">
        <x:v>13A-04</x:v>
      </x:c>
      <x:c r="L237" s="133"/>
      <x:c r="M237" s="133" t="str">
        <x:v>PASS / TYPOGRAPHY SCALE CENTRALIZED — Published commit 2ca09d789eb57b6fec51c4fc5ca9f48d79d98323 updates only globals.css, executive-contract.ts and its focused test. Existing Inter-based np-type roles (eyebrow, h1, h2, h3, body, meta, kpi) now consume one shared responsive token set rather than repeating sizes/weights/leading across class and breakpoint definitions. Current visual scale and responsive intent are preserved.</x:v>
      </x:c>
      <x:c r="N237" s="249"/>
      <x:c r="O237" s="249" t="n">
        <x:v>46295</x:v>
      </x:c>
      <x:c r="P237" s="135" t="str">
        <x:v>Validation before publication: focused design-system tests PASS (34), lint PASS, build PASS, git diff --check PASS. Pre-commit boundary review confirmed all three files CLEAN-SCOPE with no unrelated edits. Page-local text-* classes remain outside this task and are intentionally deferred to later adoption/page-upgrade work. No colors/spacing/motion/business logic changed. Next: 13B-04 — Standardize spacing/grid tokens.</x:v>
      </x:c>
    </x:row>
    <x:row r="238">
      <x:c r="A238" s="133" t="str">
        <x:v>✓</x:v>
      </x:c>
      <x:c r="B238" s="133" t="str">
        <x:v>13B-04</x:v>
      </x:c>
      <x:c r="C238" s="133" t="str">
        <x:v>13B Dark Design System Foundation</x:v>
      </x:c>
      <x:c r="D238" s="133" t="str">
        <x:v>Spacing</x:v>
      </x:c>
      <x:c r="E238" s="133" t="str">
        <x:v>Standardize spacing/grid tokens</x:v>
      </x:c>
      <x:c r="F238" s="133" t="str">
        <x:v>Consistent page/container/card/control spacing replaces page-specific magic values.</x:v>
      </x:c>
      <x:c r="G238" s="133" t="str">
        <x:v>P0</x:v>
      </x:c>
      <x:c r="H238" s="133" t="str">
        <x:v>Completed</x:v>
      </x:c>
      <x:c r="I238" s="133" t="str">
        <x:v>Project Owner / Product / Engineering</x:v>
      </x:c>
      <x:c r="J238" s="133"/>
      <x:c r="K238" s="133" t="str">
        <x:v>13A-04</x:v>
      </x:c>
      <x:c r="L238" s="133"/>
      <x:c r="M238" s="133" t="str">
        <x:v>PASS / SPACING-GRID TOKENS CENTRALIZED — Published commit b401de987f20bf696be6f244c4d5bab075d72a76 updates only globals.css, executive-contract.ts and its focused test. Existing 1680px content width, 330px sidebar width, region spacing, and responsive page padding are now represented through shared layout variables/roles. EXECUTIVE_PAGE_CLASS now resolves to the canonical np-page contract instead of duplicating max-width and padding utilities. Current rendered layout is intentionally unchanged.</x:v>
      </x:c>
      <x:c r="N238" s="249"/>
      <x:c r="O238" s="249" t="n">
        <x:v>46295</x:v>
      </x:c>
      <x:c r="P238" s="135" t="str">
        <x:v>Validation before publication: focused design-system tests PASS (35), lint PASS, build PASS, git diff --check PASS. Pre-commit boundary review confirmed all three files CLEAN-SCOPE with no unrelated edits. Page/shell hard-coded 1680px and 330px values outside the design-system contract remain intentionally deferred to later adoption/shell work. No typography/colors/radii/motion/business logic changed. Next: 13B-05 — Standardize surface, border, radius and elevation tokens.</x:v>
      </x:c>
    </x:row>
    <x:row r="239">
      <x:c r="A239" s="133" t="str">
        <x:v>✓</x:v>
      </x:c>
      <x:c r="B239" s="133" t="str">
        <x:v>13B-05</x:v>
      </x:c>
      <x:c r="C239" s="133" t="str">
        <x:v>13B Dark Design System Foundation</x:v>
      </x:c>
      <x:c r="D239" s="133" t="str">
        <x:v>Surfaces</x:v>
      </x:c>
      <x:c r="E239" s="133" t="str">
        <x:v>Standardize surface, border, radius and elevation tokens</x:v>
      </x:c>
      <x:c r="F239" s="133" t="str">
        <x:v>Panels/cards/modals use restrained enterprise depth rather than inconsistent shadows/glass effects.</x:v>
      </x:c>
      <x:c r="G239" s="133" t="str">
        <x:v>P0</x:v>
      </x:c>
      <x:c r="H239" s="133" t="str">
        <x:v>Completed</x:v>
      </x:c>
      <x:c r="I239" s="133" t="str">
        <x:v>Project Owner / Product / Engineering</x:v>
      </x:c>
      <x:c r="J239" s="133"/>
      <x:c r="K239" s="133" t="str">
        <x:v>13B-01</x:v>
      </x:c>
      <x:c r="L239" s="133"/>
      <x:c r="M239" s="133" t="str">
        <x:v>PASS / SURFACE-DEPTH TOKENS CENTRALIZED — Published commit bf86fd292020483fef557037a28f1d9009410e6e updates only globals.css, executive-contract.ts and its focused test. Existing surface roles (base/elevated/muted), border roles (subtle/strong), and depth roles (tile/panel/modal) are now explicit. Radius naming is normalized so tile=24px, panel=32px, modal=panel; legacy rounded-executive remains an alias to the tile radius. Elevation aliases now distinguish tile/panel/modal while preserving the current rendered depth.</x:v>
      </x:c>
      <x:c r="N239" s="249"/>
      <x:c r="O239" s="249" t="n">
        <x:v>46295</x:v>
      </x:c>
      <x:c r="P239" s="135" t="str">
        <x:v>Validation before publication: focused design-system tests PASS (36), lint PASS, build PASS, git diff --check PASS. Pre-commit boundary review confirmed all three files CLEAN-SCOPE with no unrelated edits. Page/component-local rounded-* and shadow values remain intentionally deferred to later component/page adoption work. No intentional visual redesign, business logic, DB/Auth/RLS or Production change. Next: 13B-06 — Standardize semantic status palette.</x:v>
      </x:c>
    </x:row>
    <x:row r="240">
      <x:c r="A240" s="133" t="str">
        <x:v>✓</x:v>
      </x:c>
      <x:c r="B240" s="133" t="str">
        <x:v>13B-06</x:v>
      </x:c>
      <x:c r="C240" s="133" t="str">
        <x:v>13B Dark Design System Foundation</x:v>
      </x:c>
      <x:c r="D240" s="133" t="str">
        <x:v>Status</x:v>
      </x:c>
      <x:c r="E240" s="133" t="str">
        <x:v>Standardize semantic status palette</x:v>
      </x:c>
      <x:c r="F240" s="133" t="str">
        <x:v>Success, warning, risk, info and neutral states are visually consistent and accessible.</x:v>
      </x:c>
      <x:c r="G240" s="133" t="str">
        <x:v>P0</x:v>
      </x:c>
      <x:c r="H240" s="133" t="str">
        <x:v>Completed</x:v>
      </x:c>
      <x:c r="I240" s="133" t="str">
        <x:v>Project Owner / Product / Engineering</x:v>
      </x:c>
      <x:c r="J240" s="133"/>
      <x:c r="K240" s="133" t="str">
        <x:v>13B-01</x:v>
      </x:c>
      <x:c r="L240" s="133"/>
      <x:c r="M240" s="133" t="str">
        <x:v>PASS / SEMANTIC STATUS PALETTE CENTRALIZED — Published commit 5d791e658841761b7b29902f65a0f4e3162573d2 updates globals.css, executive-contract.ts, executive-contract.test.ts, and ExecutiveBadge only. Shared semantic roles success/warning/risk/info/neutral now map to existing Nexus status colors, and ExecutiveBadge consumes those status tokens instead of local emerald/orange/red utility palettes. Awarded/recommended/locked aliases and business meanings remain unchanged.</x:v>
      </x:c>
      <x:c r="N240" s="249"/>
      <x:c r="O240" s="249" t="n">
        <x:v>46295</x:v>
      </x:c>
      <x:c r="P240" s="135" t="str">
        <x:v>Validation before publication: focused design-system tests PASS (36), lint PASS, build PASS, git diff --check PASS. Pre-commit scope/semantic review confirmed all four files CLEAN-SCOPE, no unrelated edits, no RFQ/Award/business logic or status-label changes. Intentional visual change is limited to semantic palette normalization. Other local status chips remain deferred to later shared-component/page adoption work. Next: 13B-07 — Define Nexus Intelligence visual language.</x:v>
      </x:c>
    </x:row>
    <x:row r="241">
      <x:c r="A241" s="133" t="str">
        <x:v>✓</x:v>
      </x:c>
      <x:c r="B241" s="133" t="str">
        <x:v>13B-07</x:v>
      </x:c>
      <x:c r="C241" s="133" t="str">
        <x:v>13B Dark Design System Foundation</x:v>
      </x:c>
      <x:c r="D241" s="133" t="str">
        <x:v>Intelligence</x:v>
      </x:c>
      <x:c r="E241" s="133" t="str">
        <x:v>Define Nexus Intelligence visual language</x:v>
      </x:c>
      <x:c r="F241" s="133" t="str">
        <x:v>One restrained visual treatment/icon/accent identifies intelligence without emoji/neon/AI-badge clutter.</x:v>
      </x:c>
      <x:c r="G241" s="133" t="str">
        <x:v>P1</x:v>
      </x:c>
      <x:c r="H241" s="133" t="str">
        <x:v>Completed</x:v>
      </x:c>
      <x:c r="I241" s="133" t="str">
        <x:v>Project Owner / Product / Engineering</x:v>
      </x:c>
      <x:c r="J241" s="133"/>
      <x:c r="K241" s="133" t="str">
        <x:v>13B-01</x:v>
      </x:c>
      <x:c r="L241" s="133"/>
      <x:c r="M241" s="133" t="str">
        <x:v>PASS / NEXUS INTELLIGENCE VISUAL CONTRACT DEFINED — Published commit 3ea9ce7eee2ceb85e19423d508e83def57831986 updates only globals.css, executive-contract.ts and its focused test. The shared intelligence language reuses the existing cyan accent, quiet elevated surface, subtle cyan border, and circular mark convention. No new component was created, and no page/component migration or redesign was included.</x:v>
      </x:c>
      <x:c r="N241" s="249"/>
      <x:c r="O241" s="249" t="n">
        <x:v>46295</x:v>
      </x:c>
      <x:c r="P241" s="135" t="str">
        <x:v>Validation before publication: focused design-system tests PASS (37), lint PASS, build PASS, git diff --check PASS. Pre-commit boundary review confirmed all three files CLEAN-SCOPE with no unrelated edits. Intentional visual change: NO. Existing intelligence surfaces that still use local cyan hex/orange treatments are intentionally deferred to later controlled adoption. Next: 13B-08 — Standardize focus/hover/selected/disabled states.</x:v>
      </x:c>
    </x:row>
    <x:row r="242">
      <x:c r="A242" s="133" t="str">
        <x:v>✓</x:v>
      </x:c>
      <x:c r="B242" s="133" t="str">
        <x:v>13B-08</x:v>
      </x:c>
      <x:c r="C242" s="133" t="str">
        <x:v>13B Dark Design System Foundation</x:v>
      </x:c>
      <x:c r="D242" s="133" t="str">
        <x:v>Focus</x:v>
      </x:c>
      <x:c r="E242" s="133" t="str">
        <x:v>Standardize focus/hover/selected/disabled states</x:v>
      </x:c>
      <x:c r="F242" s="133" t="str">
        <x:v>Keyboard and pointer states are predictable across all shared controls.</x:v>
      </x:c>
      <x:c r="G242" s="133" t="str">
        <x:v>P0</x:v>
      </x:c>
      <x:c r="H242" s="133" t="str">
        <x:v>Completed</x:v>
      </x:c>
      <x:c r="I242" s="133" t="str">
        <x:v>Project Owner / Product / Engineering</x:v>
      </x:c>
      <x:c r="J242" s="133"/>
      <x:c r="K242" s="133" t="str">
        <x:v>13B-01</x:v>
      </x:c>
      <x:c r="L242" s="133"/>
      <x:c r="M242" s="133" t="str">
        <x:v>PASS / SHARED INTERACTION-STATE CONTRACT STANDARDIZED — Published commit e71ad1c4cd6a22f6a118f417b3dd50c2fb8f2663 updates only globals.css, executive-contract.ts and its focused test. Existing focus-visible, hover, selected/active and disabled patterns are now represented by one shared np-control contract using semantic Nexus tokens. Selected state remains distinct from hover, disabled remains clearly non-interactive, and keyboard focus uses focus-visible.</x:v>
      </x:c>
      <x:c r="N242" s="249"/>
      <x:c r="O242" s="249" t="n">
        <x:v>46295</x:v>
      </x:c>
      <x:c r="P242" s="135" t="str">
        <x:v>Validation before publication: focused design-system tests PASS (38), lint PASS, build PASS, git diff --check PASS. Pre-commit boundary review confirmed all three files CLEAN-SCOPE with no unrelated edits, no page/control migration, and no handler/behavior changes. Existing controls that still use local interaction classes are intentionally deferred to later controlled adoption. Next: 13B-09 — Define motion tokens.</x:v>
      </x:c>
    </x:row>
    <x:row r="243">
      <x:c r="A243" s="133" t="str">
        <x:v>✓</x:v>
      </x:c>
      <x:c r="B243" s="133" t="str">
        <x:v>13B-09</x:v>
      </x:c>
      <x:c r="C243" s="133" t="str">
        <x:v>13B Dark Design System Foundation</x:v>
      </x:c>
      <x:c r="D243" s="133" t="str">
        <x:v>Motion</x:v>
      </x:c>
      <x:c r="E243" s="133" t="str">
        <x:v>Define motion tokens</x:v>
      </x:c>
      <x:c r="F243" s="133" t="str">
        <x:v>Fast 140ms, standard 220ms, context 300ms and milestone ~650ms tokens are centrally defined.</x:v>
      </x:c>
      <x:c r="G243" s="133" t="str">
        <x:v>P0</x:v>
      </x:c>
      <x:c r="H243" s="133" t="str">
        <x:v>Completed</x:v>
      </x:c>
      <x:c r="I243" s="133" t="str">
        <x:v>Project Owner / Product / Engineering</x:v>
      </x:c>
      <x:c r="J243" s="133"/>
      <x:c r="K243" s="133" t="str">
        <x:v>13A-06</x:v>
      </x:c>
      <x:c r="L243" s="133"/>
      <x:c r="M243" s="133" t="str">
        <x:v>PASS / MOTION-DURATION TOKENS DEFINED — Published commit 08c7afbad2dabfe76a1ea9a16d593dddabc64b35 updates only globals.css, executive-contract.ts and its focused test. Canonical motion duration roles are now fast=140ms, standard=220ms, context=300ms, and milestone=650ms. Existing rendered behavior is unchanged; no easing, reduced-motion, component, or page migration was included.</x:v>
      </x:c>
      <x:c r="N243" s="249"/>
      <x:c r="O243" s="249" t="n">
        <x:v>46295</x:v>
      </x:c>
      <x:c r="P243" s="135" t="str">
        <x:v>Validation before publication: focused design-system tests PASS (39), lint PASS, build PASS, git diff --check PASS. Pre-commit boundary review confirmed all three files CLEAN-SCOPE with no unrelated edits, no easing changes, no reduced-motion changes, and no page/component migration. Existing duration-200/duration-300 utilities remain intentionally deferred to later controlled adoption. Next: 13B-10 — Define easing and reduced-motion behavior.</x:v>
      </x:c>
    </x:row>
    <x:row r="244">
      <x:c r="A244" s="133" t="str">
        <x:v>✓</x:v>
      </x:c>
      <x:c r="B244" s="133" t="str">
        <x:v>13B-10</x:v>
      </x:c>
      <x:c r="C244" s="133" t="str">
        <x:v>13B Dark Design System Foundation</x:v>
      </x:c>
      <x:c r="D244" s="133" t="str">
        <x:v>Motion</x:v>
      </x:c>
      <x:c r="E244" s="133" t="str">
        <x:v>Define easing and reduced-motion behavior</x:v>
      </x:c>
      <x:c r="F244" s="133" t="str">
        <x:v>Motion uses restrained easing; prefers-reduced-motion disables unnecessary translation/pulse effects.</x:v>
      </x:c>
      <x:c r="G244" s="133" t="str">
        <x:v>P0</x:v>
      </x:c>
      <x:c r="H244" s="133" t="str">
        <x:v>Completed</x:v>
      </x:c>
      <x:c r="I244" s="133" t="str">
        <x:v>Project Owner / Product / Engineering</x:v>
      </x:c>
      <x:c r="J244" s="133"/>
      <x:c r="K244" s="133" t="str">
        <x:v>13B-09</x:v>
      </x:c>
      <x:c r="L244" s="133"/>
      <x:c r="M244" s="133" t="str">
        <x:v>PASS / EASING + REDUCED-MOTION CONTRACT DEFINED — Published commit 90953c61e71a4c9a159cab3e32be02c24e5c5080 updates only globals.css, executive-contract.ts and its focused test. A restrained standard easing token cubic-bezier(0.2, 0, 0, 1) is now canonical. The existing prefers-reduced-motion rule is formalized to suppress animation names and transition properties while retaining the instant 0.01ms fallback. Normal-motion behavior and 13B-09 duration values remain unchanged.</x:v>
      </x:c>
      <x:c r="N244" s="249"/>
      <x:c r="O244" s="249" t="n">
        <x:v>46295</x:v>
      </x:c>
      <x:c r="P244" s="135" t="str">
        <x:v>Validation before publication: focused design-system tests PASS (40), lint PASS, build PASS, git diff --check PASS. Pre-commit boundary review confirmed all three files CLEAN-SCOPE with no unrelated edits, no page/component migration, no new animations, no normal-motion behavior change, and no motion-duration changes. Existing transitions that still use browser/default easing remain intentionally deferred to Phase 13E controlled adoption. Next: 13B-11 — Standardize logo treatment on dark surfaces.</x:v>
      </x:c>
    </x:row>
    <x:row r="245">
      <x:c r="A245" s="133" t="str">
        <x:v>✓</x:v>
      </x:c>
      <x:c r="B245" s="133" t="str">
        <x:v>13B-11</x:v>
      </x:c>
      <x:c r="C245" s="133" t="str">
        <x:v>13B Dark Design System Foundation</x:v>
      </x:c>
      <x:c r="D245" s="133" t="str">
        <x:v>Brand</x:v>
      </x:c>
      <x:c r="E245" s="133" t="str">
        <x:v>Standardize logo treatment on dark surfaces</x:v>
      </x:c>
      <x:c r="F245" s="133" t="str">
        <x:v>Canonical logo placement, padding, minimum size and dark-background treatment are documented and reused.</x:v>
      </x:c>
      <x:c r="G245" s="133" t="str">
        <x:v>P0</x:v>
      </x:c>
      <x:c r="H245" s="133" t="str">
        <x:v>Completed</x:v>
      </x:c>
      <x:c r="I245" s="133" t="str">
        <x:v>Project Owner / Product / Engineering</x:v>
      </x:c>
      <x:c r="J245" s="133"/>
      <x:c r="K245" s="133" t="str">
        <x:v>13A-02</x:v>
      </x:c>
      <x:c r="L245" s="133"/>
      <x:c r="M245" s="133" t="str">
        <x:v>PASS / DARK-SURFACE LOGO CONTRACT STANDARDIZED — Published commit 76d82183ad5bb30a00f68c9305579d4b6d9b4a41 updates globals.css, executive-contract.ts, its focused test, and only the scoped dark-surface hunks in nexus-pavilion-logo.tsx. The canonical component now supports surface="dark" through np-logo-dark, with 32px minimum size, 12px clear space, transparent background and intrinsic aspect preservation. Official logo assets, geometry, colors, proportions and variant semantics were not modified.</x:v>
      </x:c>
      <x:c r="N245" s="249"/>
      <x:c r="O245" s="249" t="n">
        <x:v>46295</x:v>
      </x:c>
      <x:c r="P245" s="135" t="str">
        <x:v>Validation before publication: focused tests PASS (72), lint PASS, build PASS, git diff --check PASS. The logo component contained pre-existing unrelated loading/fetchPriority work; selective staging excluded those hunks and preserved them in the working tree. Independent remote verification confirms the commit contains exactly the three clean design-system files plus only the surface="dark" / np-logo-dark wiring in the logo component. No page/shell migration or asset edits were included. Next: 13B-12 — Design-system foundation review.</x:v>
      </x:c>
    </x:row>
    <x:row r="246">
      <x:c r="A246" s="133" t="str">
        <x:v>✓</x:v>
      </x:c>
      <x:c r="B246" s="133" t="str">
        <x:v>13B-12</x:v>
      </x:c>
      <x:c r="C246" s="133" t="str">
        <x:v>13B Dark Design System Foundation</x:v>
      </x:c>
      <x:c r="D246" s="133" t="str">
        <x:v>Review</x:v>
      </x:c>
      <x:c r="E246" s="133" t="str">
        <x:v>Design-system foundation review</x:v>
      </x:c>
      <x:c r="F246" s="133" t="str">
        <x:v>No core page styling work starts until shared tokens are accepted and visual regressions are understood.</x:v>
      </x:c>
      <x:c r="G246" s="133" t="str">
        <x:v>P0</x:v>
      </x:c>
      <x:c r="H246" s="133" t="str">
        <x:v>Completed</x:v>
      </x:c>
      <x:c r="I246" s="133" t="str">
        <x:v>Project Owner / Product / Engineering</x:v>
      </x:c>
      <x:c r="J246" s="133"/>
      <x:c r="K246" s="133" t="str">
        <x:v>13B-01</x:v>
      </x:c>
      <x:c r="L246" s="133"/>
      <x:c r="M246" s="133" t="str">
        <x:v>PASS / DESIGN-SYSTEM FOUNDATION GATE — Read-only review at HEAD 378ac6461ec77a49e25559469ce58f27dfbedbc8 confirmed the completed 13B foundation is coherent and ready for Phase 13C. Semantic colors, typography, spacing/grid, surfaces/depth, status palette, Nexus Intelligence language, interaction states, motion durations, easing/reduced motion, dark-surface logo treatment, light-mode compatibility, and accessibility contracts all PASS. No blocking design-system defect was found.</x:v>
      </x:c>
      <x:c r="N246" s="249"/>
      <x:c r="O246" s="249" t="n">
        <x:v>46295</x:v>
      </x:c>
      <x:c r="P246" s="135" t="str">
        <x:v>Validation: focused design-system tests PASS (41), lint PASS, build PASS, git diff --check PASS. No files were modified during the review. Deferred adoption gaps remain, including existing page/component-local styling and motion classes, but these are non-blocking and intentionally proceed through later controlled 13C/13D/13E/13H adoption work. Gate recommendation: PASS — proceed to 13C. Next: 13C-01 — Standardize button system.</x:v>
      </x:c>
    </x:row>
    <x:row r="247">
      <x:c r="A247" s="133" t="str">
        <x:v>✓</x:v>
      </x:c>
      <x:c r="B247" s="133" t="str">
        <x:v>13C-01</x:v>
      </x:c>
      <x:c r="C247" s="133" t="str">
        <x:v>13C Shared Enterprise Components</x:v>
      </x:c>
      <x:c r="D247" s="133" t="str">
        <x:v>Components</x:v>
      </x:c>
      <x:c r="E247" s="133" t="str">
        <x:v>Standardize button system</x:v>
      </x:c>
      <x:c r="F247" s="133" t="str">
        <x:v>Primary/secondary/tertiary/destructive/icon/loading/disabled buttons share one behavior.</x:v>
      </x:c>
      <x:c r="G247" s="133" t="str">
        <x:v>P0</x:v>
      </x:c>
      <x:c r="H247" s="133" t="str">
        <x:v>Completed</x:v>
      </x:c>
      <x:c r="I247" s="133" t="str">
        <x:v>Project Owner / Product / Engineering</x:v>
      </x:c>
      <x:c r="J247" s="133" t="str">
        <x:v>Cursor UI 03</x:v>
      </x:c>
      <x:c r="K247" s="133" t="str">
        <x:v>13B-12</x:v>
      </x:c>
      <x:c r="L247" s="133"/>
      <x:c r="M247" s="133" t="str">
        <x:v>PASS / EXECUTIVE BUTTON CONTRACT STANDARDIZED — Published commit 0c507085e76a69e315f2887803cfb53f1f00556a updates only executive-contract.ts and its focused test. The existing executive CTA contract is extended into one shared button system covering primary, secondary, tertiary, destructive and icon roles, with shared loading and disabled-state behavior. Existing click/form/navigation behavior is preserved and no new component was created.</x:v>
      </x:c>
      <x:c r="N247" s="249"/>
      <x:c r="O247" s="249" t="n">
        <x:v>46295</x:v>
      </x:c>
      <x:c r="P247" s="135" t="str">
        <x:v>Validation before publication: focused button/design-system tests PASS (71), lint PASS, build PASS, git diff --check PASS. Pre-commit boundary review confirmed both files CLEAN-SCOPE with no page/component migration, no RegisterForm change, no click/submit/navigation/business-logic change and no unrelated edits. Pages and RegisterForm still using local/light-theme button classes are deferred to controlled adoption. Next: 13C-02 — Standardize form controls.</x:v>
      </x:c>
    </x:row>
    <x:row r="248">
      <x:c r="A248" s="133" t="str">
        <x:v>✓</x:v>
      </x:c>
      <x:c r="B248" s="133" t="str">
        <x:v>13C-02</x:v>
      </x:c>
      <x:c r="C248" s="133" t="str">
        <x:v>13C Shared Enterprise Components</x:v>
      </x:c>
      <x:c r="D248" s="133" t="str">
        <x:v>Components</x:v>
      </x:c>
      <x:c r="E248" s="133" t="str">
        <x:v>Standardize form controls</x:v>
      </x:c>
      <x:c r="F248" s="133" t="str">
        <x:v>Inputs, textareas, selects, checkboxes, radio and validation states share one dark-first system.</x:v>
      </x:c>
      <x:c r="G248" s="133" t="str">
        <x:v>P0</x:v>
      </x:c>
      <x:c r="H248" s="133" t="str">
        <x:v>Completed</x:v>
      </x:c>
      <x:c r="I248" s="133" t="str">
        <x:v>Project Owner / Product / Engineering</x:v>
      </x:c>
      <x:c r="J248" s="133"/>
      <x:c r="K248" s="133" t="str">
        <x:v>13B-12</x:v>
      </x:c>
      <x:c r="L248" s="133"/>
      <x:c r="M248" s="133" t="str">
        <x:v>PASS / EXECUTIVE FORM-CONTROL CONTRACT STANDARDIZED — Published commit 2dd0043c360a0c003d57ff7a0cad7a4a28e39d32 updates only executive-contract.ts and its focused test. The shared dark-first form contract now covers input, textarea, select, checkbox and radio controls together with label, helper, error, disabled and read-only states. Existing semantic focus/status tokens and native accessible control behavior are preserved; no new form component was created.</x:v>
      </x:c>
      <x:c r="N248" s="249"/>
      <x:c r="O248" s="249" t="n">
        <x:v>46295</x:v>
      </x:c>
      <x:c r="P248" s="135" t="str">
        <x:v>Validation before publication: focused form/design-system tests PASS (43), lint PASS, build PASS, git diff --check PASS. Pre-commit boundary review confirmed both files CLEAN-SCOPE with no page/form migration, no RegisterForm change, no date/deadline work, no validation/schema/submit/business-logic change and no unrelated edits. Existing local field classes and the light-theme RegisterForm input remain deferred to controlled adoption. Next: 13C-03 — Standardize date/deadline controls.</x:v>
      </x:c>
    </x:row>
    <x:row r="249">
      <x:c r="A249" s="133" t="str">
        <x:v>✓</x:v>
      </x:c>
      <x:c r="B249" s="133" t="str">
        <x:v>13C-03</x:v>
      </x:c>
      <x:c r="C249" s="133" t="str">
        <x:v>13C Shared Enterprise Components</x:v>
      </x:c>
      <x:c r="D249" s="133" t="str">
        <x:v>Components</x:v>
      </x:c>
      <x:c r="E249" s="133" t="str">
        <x:v>Standardize date/deadline controls</x:v>
      </x:c>
      <x:c r="F249" s="133" t="str">
        <x:v>RFQ/RFI/submission dates use consistent control, timezone display and validation treatment.</x:v>
      </x:c>
      <x:c r="G249" s="133" t="str">
        <x:v>P0</x:v>
      </x:c>
      <x:c r="H249" s="133" t="str">
        <x:v>Completed</x:v>
      </x:c>
      <x:c r="I249" s="133" t="str">
        <x:v>Project Owner / Product / Engineering</x:v>
      </x:c>
      <x:c r="J249" s="133"/>
      <x:c r="K249" s="133" t="str">
        <x:v>13B-12</x:v>
      </x:c>
      <x:c r="L249" s="133"/>
      <x:c r="M249" s="133" t="str">
        <x:v>PASS / DATE-DEADLINE CONTROL CONTRACT STANDARDIZED — Published commit d111e3d4b95c7221bca3fb3aeca3a221219974a2 updates DeadlineField, executive-contract.ts and its focused test. The existing DeadlineField now consumes the shared dark-first form contract for datetime and timezone controls, with standardized timezone badge, label/helper treatment and semantic validation styling. Deadline parsing, timezone conversion, min/max validation, RFQ/RFI/procurement opening logic and existing event handlers remain unchanged.</x:v>
      </x:c>
      <x:c r="N249" s="249"/>
      <x:c r="O249" s="249" t="n">
        <x:v>46295</x:v>
      </x:c>
      <x:c r="P249" s="135" t="str">
        <x:v>Validation before publication: focused date/deadline + design-system tests PASS (82), lint PASS, build PASS, git diff --check PASS. Pre-commit scope/behavior review confirmed all three files CLEAN-SCOPE, with no parsing, timezone-conversion, min/max validation or procurement/deadline business-logic changes. Intentional visual change is limited to the shared dark-first date/deadline treatment. Standalone date inputs outside DeadlineField remain deferred to controlled adoption. Next: 13C-04 — Standardize badges/status chips.</x:v>
      </x:c>
    </x:row>
    <x:row r="250">
      <x:c r="A250" s="133" t="str">
        <x:v>✓</x:v>
      </x:c>
      <x:c r="B250" s="133" t="str">
        <x:v>13C-04</x:v>
      </x:c>
      <x:c r="C250" s="133" t="str">
        <x:v>13C Shared Enterprise Components</x:v>
      </x:c>
      <x:c r="D250" s="133" t="str">
        <x:v>Components</x:v>
      </x:c>
      <x:c r="E250" s="133" t="str">
        <x:v>Standardize badges/status chips</x:v>
      </x:c>
      <x:c r="F250" s="133" t="str">
        <x:v>RFQ, RFI, quote, award, risk and workflow statuses use one semantic badge system.</x:v>
      </x:c>
      <x:c r="G250" s="133" t="str">
        <x:v>P0</x:v>
      </x:c>
      <x:c r="H250" s="133" t="str">
        <x:v>Completed</x:v>
      </x:c>
      <x:c r="I250" s="133" t="str">
        <x:v>Project Owner / Product / Engineering</x:v>
      </x:c>
      <x:c r="J250" s="133"/>
      <x:c r="K250" s="133" t="str">
        <x:v>13B-12</x:v>
      </x:c>
      <x:c r="L250" s="133"/>
      <x:c r="M250" s="133" t="str">
        <x:v>PASS / SEMANTIC BADGE SYSTEM STANDARDIZED — Published commit 4af570c530859b8572a0a4d48cc2ad2547b5fdc1 updates ExecutiveBadge, the existing RFQ workspace ExecutiveStatusBadge helper, executive-contract.ts and its focused test. Canonical semantic badge roles/classes now live in the shared contract, and both shared badge implementations consume the same success/warning/risk/info/neutral/gold/board treatment. Awarded, recommended and locked alias semantics remain unchanged; no new badge component was created.</x:v>
      </x:c>
      <x:c r="N250" s="249"/>
      <x:c r="O250" s="249" t="n">
        <x:v>46295</x:v>
      </x:c>
      <x:c r="P250" s="135" t="str">
        <x:v>Validation before publication: focused badge/design-system tests PASS (73), lint PASS, build PASS, git diff --check PASS. Pre-commit semantic review confirmed all four files CLEAN-SCOPE, with no status-name/meaning changes, no RFQ/RFI/quote/award workflow or procurement-logic change, and no unrelated edits. Intentional visual change is limited to shared semantic badge normalization. Page-local status chips remain deferred to controlled adoption. Next: 13C-05 — Standardize card roles.</x:v>
      </x:c>
    </x:row>
    <x:row r="251">
      <x:c r="A251" s="133" t="str">
        <x:v>✓</x:v>
      </x:c>
      <x:c r="B251" s="133" t="str">
        <x:v>13C-05</x:v>
      </x:c>
      <x:c r="C251" s="133" t="str">
        <x:v>13C Shared Enterprise Components</x:v>
      </x:c>
      <x:c r="D251" s="133" t="str">
        <x:v>Components</x:v>
      </x:c>
      <x:c r="E251" s="133" t="str">
        <x:v>Standardize card roles</x:v>
      </x:c>
      <x:c r="F251" s="133" t="str">
        <x:v>Only Status/Metric/Action/Intelligence/Summary cards remain; redundant card variants are consolidated.</x:v>
      </x:c>
      <x:c r="G251" s="133" t="str">
        <x:v>P0</x:v>
      </x:c>
      <x:c r="H251" s="133" t="str">
        <x:v>Completed</x:v>
      </x:c>
      <x:c r="I251" s="133" t="str">
        <x:v>Project Owner / Product / Engineering</x:v>
      </x:c>
      <x:c r="J251" s="133"/>
      <x:c r="K251" s="133" t="str">
        <x:v>13B-12</x:v>
      </x:c>
      <x:c r="L251" s="133"/>
      <x:c r="M251" s="133" t="str">
        <x:v>PASS / CANONICAL CARD ROLES STANDARDIZED — Published commit a3af9776410417736ff4b02b1375b31a1a5dbd8b updates only executive-contract.ts and its focused test. The shared card contract now defines exactly five roles: Status, Metric, Action, Intelligence and Summary. Each role reuses the existing tile/panel depth, surface, radius and elevation contracts; the Intelligence role explicitly reuses the existing Nexus Intelligence surface contract. No new card component was created and no existing component was deleted or replaced.</x:v>
      </x:c>
      <x:c r="N251" s="249"/>
      <x:c r="O251" s="249" t="n">
        <x:v>46295</x:v>
      </x:c>
      <x:c r="P251" s="135" t="str">
        <x:v>Validation before publication: focused card/design-system tests PASS (74), lint PASS, build PASS, git diff --check PASS. Pre-commit boundary review confirmed both files CLEAN-SCOPE with no component deletion/replacement, no page/card migration, no business/data behavior change and no unrelated edits. Existing metric/action/insight/risk cards that still use local panel treatments remain deferred to controlled adoption. Next: 13C-06 — Standardize enterprise tables.</x:v>
      </x:c>
    </x:row>
    <x:row r="252">
      <x:c r="A252" s="133" t="str">
        <x:v>✓</x:v>
      </x:c>
      <x:c r="B252" s="133" t="str">
        <x:v>13C-06</x:v>
      </x:c>
      <x:c r="C252" s="133" t="str">
        <x:v>13C Shared Enterprise Components</x:v>
      </x:c>
      <x:c r="D252" s="133" t="str">
        <x:v>Components</x:v>
      </x:c>
      <x:c r="E252" s="133" t="str">
        <x:v>Standardize enterprise tables</x:v>
      </x:c>
      <x:c r="F252" s="133" t="str">
        <x:v>Sticky headers, alignment, density, overflow, sorting/filter visual states and responsive behavior are consistent.</x:v>
      </x:c>
      <x:c r="G252" s="133" t="str">
        <x:v>P0</x:v>
      </x:c>
      <x:c r="H252" s="133" t="str">
        <x:v>Completed</x:v>
      </x:c>
      <x:c r="I252" s="133" t="str">
        <x:v>Project Owner / Product / Engineering</x:v>
      </x:c>
      <x:c r="J252" s="133"/>
      <x:c r="K252" s="133" t="str">
        <x:v>13B-12</x:v>
      </x:c>
      <x:c r="L252" s="133"/>
      <x:c r="M252" s="133" t="str">
        <x:v>PASS / ENTERPRISE TABLE CONTRACT STANDARDIZED — Published commit 8a4f5b621f3d6bf78f7c95b383ca464610041a87 updates only executive-contract.ts and its focused test. No shared table component existed, so 13C-06 intentionally defined the shared presentation contract only: responsive horizontal overflow, sticky headers, consistent header/cell density, numeric right alignment with tabular figures, screen-reader caption treatment, and shared active sort/filter visual states. No new table component was created.</x:v>
      </x:c>
      <x:c r="N252" s="249"/>
      <x:c r="O252" s="249" t="n">
        <x:v>46295</x:v>
      </x:c>
      <x:c r="P252" s="135" t="str">
        <x:v>Validation before publication: focused table/design-system tests PASS (46), lint PASS, build PASS, git diff --check PASS. Pre-commit consistency review confirmed both files CLEAN-SCOPE, no shared table primitive was reused, no page/table migration occurred, and no sorting/filtering/query/data/pagination behavior changed. Existing page-local tables remain deferred to controlled adoption. Next: 13C-07 — Standardize dialogs and confirmation modals.</x:v>
      </x:c>
    </x:row>
    <x:row r="253">
      <x:c r="A253" s="133" t="str">
        <x:v>✓</x:v>
      </x:c>
      <x:c r="B253" s="133" t="str">
        <x:v>13C-07</x:v>
      </x:c>
      <x:c r="C253" s="133" t="str">
        <x:v>13C Shared Enterprise Components</x:v>
      </x:c>
      <x:c r="D253" s="133" t="str">
        <x:v>Components</x:v>
      </x:c>
      <x:c r="E253" s="133" t="str">
        <x:v>Standardize dialogs and confirmation modals</x:v>
      </x:c>
      <x:c r="F253" s="133" t="str">
        <x:v>Consequential actions use consistent confirmation hierarchy and keyboard behavior.</x:v>
      </x:c>
      <x:c r="G253" s="133" t="str">
        <x:v>P0</x:v>
      </x:c>
      <x:c r="H253" s="133" t="str">
        <x:v>Completed</x:v>
      </x:c>
      <x:c r="I253" s="133" t="str">
        <x:v>Project Owner / Product / Engineering</x:v>
      </x:c>
      <x:c r="J253" s="133"/>
      <x:c r="K253" s="133" t="str">
        <x:v>13B-12</x:v>
      </x:c>
      <x:c r="L253" s="133"/>
      <x:c r="M253" s="133" t="str">
        <x:v>PASS / CONFIRMATION DIALOG CONTRACT STANDARDIZED — Published commit df6627fa7de5d7ddc2c9f706c406422dd240c965 updates ExecutiveConfirmDialog, executive-contract.ts and its focused test. The existing shared dialog now consumes one canonical overlay/surface/title/body/actions hierarchy and the shared primary, secondary and destructive button contracts. Confirm/cancel handlers, Escape behavior, focus trapping, accessible labeling and destructive action meaning are preserved; no new dialog component was created.</x:v>
      </x:c>
      <x:c r="N253" s="249"/>
      <x:c r="O253" s="249" t="n">
        <x:v>46295</x:v>
      </x:c>
      <x:c r="P253" s="135" t="str">
        <x:v>Validation before publication: focused dialog/design-system tests PASS (58), lint PASS, build PASS, git diff --check PASS. Pre-commit scope/behavior review confirmed all three files CLEAN-SCOPE with no handler changes, no keyboard/focus regression, no adverse accessibility change, no authorization/business-logic change, no page-level window.confirm migration and no company-delete dialog migration. Intentional visual change is limited to the shared dialog treatment. Remaining page-level confirmations are deferred to controlled adoption. Next: 13C-08 — Standardize drawers/side panels.</x:v>
      </x:c>
    </x:row>
    <x:row r="254">
      <x:c r="A254" s="133" t="str">
        <x:f>IF(H254="Completed","✓",IF(H254="Blocked","!",""))</x:f>
      </x:c>
      <x:c r="B254" s="133" t="inlineStr">
        <x:is>
          <x:t xml:space="preserve">13C-08</x:t>
        </x:is>
      </x:c>
      <x:c r="C254" s="133" t="inlineStr">
        <x:is>
          <x:t xml:space="preserve">13C Shared Enterprise Components</x:t>
        </x:is>
      </x:c>
      <x:c r="D254" s="133" t="inlineStr">
        <x:is>
          <x:t xml:space="preserve">Components</x:t>
        </x:is>
      </x:c>
      <x:c r="E254" s="133" t="inlineStr">
        <x:is>
          <x:t xml:space="preserve">Standardize drawers/side panels</x:t>
        </x:is>
      </x:c>
      <x:c r="F254" s="133" t="inlineStr">
        <x:is>
          <x:t xml:space="preserve">Contextual help, filters, details and intelligence use reusable drawer primitives.</x:t>
        </x:is>
      </x:c>
      <x:c r="G254" s="133" t="inlineStr">
        <x:is>
          <x:t xml:space="preserve">P0</x:t>
        </x:is>
      </x:c>
      <x:c r="H254" s="133" t="inlineStr">
        <x:is>
          <x:t xml:space="preserve">Not Started</x:t>
        </x:is>
      </x:c>
      <x:c r="I254" s="133" t="str"/>
      <x:c r="J254" s="133" t="str"/>
      <x:c r="K254" s="133" t="inlineStr">
        <x:is>
          <x:t xml:space="preserve">13B-12</x:t>
        </x:is>
      </x:c>
      <x:c r="L254" s="133" t="str"/>
      <x:c r="M254" s="133" t="str"/>
      <x:c r="N254" s="249" t="n"/>
      <x:c r="O254" s="249" t="n"/>
      <x:c r="P254" s="135" t="str"/>
    </x:row>
    <x:row r="255">
      <x:c r="A255" s="133" t="str">
        <x:f>IF(H255="Completed","✓",IF(H255="Blocked","!",""))</x:f>
      </x:c>
      <x:c r="B255" s="133" t="inlineStr">
        <x:is>
          <x:t xml:space="preserve">13C-09</x:t>
        </x:is>
      </x:c>
      <x:c r="C255" s="133" t="inlineStr">
        <x:is>
          <x:t xml:space="preserve">13C Shared Enterprise Components</x:t>
        </x:is>
      </x:c>
      <x:c r="D255" s="133" t="inlineStr">
        <x:is>
          <x:t xml:space="preserve">Components</x:t>
        </x:is>
      </x:c>
      <x:c r="E255" s="133" t="inlineStr">
        <x:is>
          <x:t xml:space="preserve">Standardize tooltips/popovers</x:t>
        </x:is>
      </x:c>
      <x:c r="F255" s="133" t="inlineStr">
        <x:is>
          <x:t xml:space="preserve">Short contextual explanations share timing, placement and accessibility behavior.</x:t>
        </x:is>
      </x:c>
      <x:c r="G255" s="133" t="inlineStr">
        <x:is>
          <x:t xml:space="preserve">P1</x:t>
        </x:is>
      </x:c>
      <x:c r="H255" s="133" t="inlineStr">
        <x:is>
          <x:t xml:space="preserve">Not Started</x:t>
        </x:is>
      </x:c>
      <x:c r="I255" s="133" t="str"/>
      <x:c r="J255" s="133" t="str"/>
      <x:c r="K255" s="133" t="inlineStr">
        <x:is>
          <x:t xml:space="preserve">13B-12</x:t>
        </x:is>
      </x:c>
      <x:c r="L255" s="133" t="str"/>
      <x:c r="M255" s="133" t="str"/>
      <x:c r="N255" s="249" t="n"/>
      <x:c r="O255" s="249" t="n"/>
      <x:c r="P255" s="135" t="str"/>
    </x:row>
    <x:row r="256">
      <x:c r="A256" s="133" t="str">
        <x:f>IF(H256="Completed","✓",IF(H256="Blocked","!",""))</x:f>
      </x:c>
      <x:c r="B256" s="133" t="inlineStr">
        <x:is>
          <x:t xml:space="preserve">13C-10</x:t>
        </x:is>
      </x:c>
      <x:c r="C256" s="133" t="inlineStr">
        <x:is>
          <x:t xml:space="preserve">13C Shared Enterprise Components</x:t>
        </x:is>
      </x:c>
      <x:c r="D256" s="133" t="inlineStr">
        <x:is>
          <x:t xml:space="preserve">Components</x:t>
        </x:is>
      </x:c>
      <x:c r="E256" s="133" t="inlineStr">
        <x:is>
          <x:t xml:space="preserve">Standardize toast/inline feedback</x:t>
        </x:is>
      </x:c>
      <x:c r="F256" s="133" t="inlineStr">
        <x:is>
          <x:t xml:space="preserve">Success, error, warning and informational feedback share one non-intrusive system.</x:t>
        </x:is>
      </x:c>
      <x:c r="G256" s="133" t="inlineStr">
        <x:is>
          <x:t xml:space="preserve">P0</x:t>
        </x:is>
      </x:c>
      <x:c r="H256" s="133" t="inlineStr">
        <x:is>
          <x:t xml:space="preserve">Not Started</x:t>
        </x:is>
      </x:c>
      <x:c r="I256" s="133" t="str"/>
      <x:c r="J256" s="133" t="str"/>
      <x:c r="K256" s="133" t="inlineStr">
        <x:is>
          <x:t xml:space="preserve">13B-12</x:t>
        </x:is>
      </x:c>
      <x:c r="L256" s="133" t="str"/>
      <x:c r="M256" s="133" t="str"/>
      <x:c r="N256" s="249" t="n"/>
      <x:c r="O256" s="249" t="n"/>
      <x:c r="P256" s="135" t="str"/>
    </x:row>
    <x:row r="257">
      <x:c r="A257" s="133" t="str">
        <x:f>IF(H257="Completed","✓",IF(H257="Blocked","!",""))</x:f>
      </x:c>
      <x:c r="B257" s="133" t="inlineStr">
        <x:is>
          <x:t xml:space="preserve">13C-11</x:t>
        </x:is>
      </x:c>
      <x:c r="C257" s="133" t="inlineStr">
        <x:is>
          <x:t xml:space="preserve">13C Shared Enterprise Components</x:t>
        </x:is>
      </x:c>
      <x:c r="D257" s="133" t="inlineStr">
        <x:is>
          <x:t xml:space="preserve">Components</x:t>
        </x:is>
      </x:c>
      <x:c r="E257" s="133" t="inlineStr">
        <x:is>
          <x:t xml:space="preserve">Standardize loading/skeleton states</x:t>
        </x:is>
      </x:c>
      <x:c r="F257" s="133" t="inlineStr">
        <x:is>
          <x:t xml:space="preserve">Core async surfaces use reusable skeleton/progress patterns without artificial delays.</x:t>
        </x:is>
      </x:c>
      <x:c r="G257" s="133" t="inlineStr">
        <x:is>
          <x:t xml:space="preserve">P0</x:t>
        </x:is>
      </x:c>
      <x:c r="H257" s="133" t="inlineStr">
        <x:is>
          <x:t xml:space="preserve">Not Started</x:t>
        </x:is>
      </x:c>
      <x:c r="I257" s="133" t="str"/>
      <x:c r="J257" s="133" t="str"/>
      <x:c r="K257" s="133" t="inlineStr">
        <x:is>
          <x:t xml:space="preserve">13B-12</x:t>
        </x:is>
      </x:c>
      <x:c r="L257" s="133" t="str"/>
      <x:c r="M257" s="133" t="str"/>
      <x:c r="N257" s="249" t="n"/>
      <x:c r="O257" s="249" t="n"/>
      <x:c r="P257" s="135" t="str"/>
    </x:row>
    <x:row r="258">
      <x:c r="A258" s="133" t="str">
        <x:f>IF(H258="Completed","✓",IF(H258="Blocked","!",""))</x:f>
      </x:c>
      <x:c r="B258" s="133" t="inlineStr">
        <x:is>
          <x:t xml:space="preserve">13C-12</x:t>
        </x:is>
      </x:c>
      <x:c r="C258" s="133" t="inlineStr">
        <x:is>
          <x:t xml:space="preserve">13C Shared Enterprise Components</x:t>
        </x:is>
      </x:c>
      <x:c r="D258" s="133" t="inlineStr">
        <x:is>
          <x:t xml:space="preserve">Components</x:t>
        </x:is>
      </x:c>
      <x:c r="E258" s="133" t="inlineStr">
        <x:is>
          <x:t xml:space="preserve">Standardize empty states</x:t>
        </x:is>
      </x:c>
      <x:c r="F258" s="133" t="inlineStr">
        <x:is>
          <x:t xml:space="preserve">Empty states explain context and next action using reusable layout/content rules.</x:t>
        </x:is>
      </x:c>
      <x:c r="G258" s="133" t="inlineStr">
        <x:is>
          <x:t xml:space="preserve">P0</x:t>
        </x:is>
      </x:c>
      <x:c r="H258" s="133" t="inlineStr">
        <x:is>
          <x:t xml:space="preserve">Not Started</x:t>
        </x:is>
      </x:c>
      <x:c r="I258" s="133" t="str"/>
      <x:c r="J258" s="133" t="str"/>
      <x:c r="K258" s="133" t="inlineStr">
        <x:is>
          <x:t xml:space="preserve">13B-12</x:t>
        </x:is>
      </x:c>
      <x:c r="L258" s="133" t="str"/>
      <x:c r="M258" s="133" t="str"/>
      <x:c r="N258" s="249" t="n"/>
      <x:c r="O258" s="249" t="n"/>
      <x:c r="P258" s="135" t="str"/>
    </x:row>
    <x:row r="259">
      <x:c r="A259" s="133" t="str">
        <x:f>IF(H259="Completed","✓",IF(H259="Blocked","!",""))</x:f>
      </x:c>
      <x:c r="B259" s="133" t="inlineStr">
        <x:is>
          <x:t xml:space="preserve">13C-13</x:t>
        </x:is>
      </x:c>
      <x:c r="C259" s="133" t="inlineStr">
        <x:is>
          <x:t xml:space="preserve">13C Shared Enterprise Components</x:t>
        </x:is>
      </x:c>
      <x:c r="D259" s="133" t="inlineStr">
        <x:is>
          <x:t xml:space="preserve">Components</x:t>
        </x:is>
      </x:c>
      <x:c r="E259" s="133" t="inlineStr">
        <x:is>
          <x:t xml:space="preserve">Standardize error states</x:t>
        </x:is>
      </x:c>
      <x:c r="F259" s="133" t="inlineStr">
        <x:is>
          <x:t xml:space="preserve">Errors identify problem, impact and recovery action consistently.</x:t>
        </x:is>
      </x:c>
      <x:c r="G259" s="133" t="inlineStr">
        <x:is>
          <x:t xml:space="preserve">P0</x:t>
        </x:is>
      </x:c>
      <x:c r="H259" s="133" t="inlineStr">
        <x:is>
          <x:t xml:space="preserve">Not Started</x:t>
        </x:is>
      </x:c>
      <x:c r="I259" s="133" t="str"/>
      <x:c r="J259" s="133" t="str"/>
      <x:c r="K259" s="133" t="inlineStr">
        <x:is>
          <x:t xml:space="preserve">13B-12</x:t>
        </x:is>
      </x:c>
      <x:c r="L259" s="133" t="str"/>
      <x:c r="M259" s="133" t="str"/>
      <x:c r="N259" s="249" t="n"/>
      <x:c r="O259" s="249" t="n"/>
      <x:c r="P259" s="135" t="str"/>
    </x:row>
    <x:row r="260">
      <x:c r="A260" s="133" t="str">
        <x:f>IF(H260="Completed","✓",IF(H260="Blocked","!",""))</x:f>
      </x:c>
      <x:c r="B260" s="133" t="inlineStr">
        <x:is>
          <x:t xml:space="preserve">13C-14</x:t>
        </x:is>
      </x:c>
      <x:c r="C260" s="133" t="inlineStr">
        <x:is>
          <x:t xml:space="preserve">13C Shared Enterprise Components</x:t>
        </x:is>
      </x:c>
      <x:c r="D260" s="133" t="inlineStr">
        <x:is>
          <x:t xml:space="preserve">Components</x:t>
        </x:is>
      </x:c>
      <x:c r="E260" s="133" t="inlineStr">
        <x:is>
          <x:t xml:space="preserve">Create workflow stepper component</x:t>
        </x:is>
      </x:c>
      <x:c r="F260" s="133" t="inlineStr">
        <x:is>
          <x:t xml:space="preserve">Issuer/respondent lifecycle stages use one reusable accessible progress/navigation component.</x:t>
        </x:is>
      </x:c>
      <x:c r="G260" s="133" t="inlineStr">
        <x:is>
          <x:t xml:space="preserve">P0</x:t>
        </x:is>
      </x:c>
      <x:c r="H260" s="133" t="inlineStr">
        <x:is>
          <x:t xml:space="preserve">Not Started</x:t>
        </x:is>
      </x:c>
      <x:c r="I260" s="133" t="str"/>
      <x:c r="J260" s="133" t="str"/>
      <x:c r="K260" s="133" t="inlineStr">
        <x:is>
          <x:t xml:space="preserve">13B-12</x:t>
        </x:is>
      </x:c>
      <x:c r="L260" s="133" t="str"/>
      <x:c r="M260" s="133" t="str"/>
      <x:c r="N260" s="249" t="n"/>
      <x:c r="O260" s="249" t="n"/>
      <x:c r="P260" s="135" t="str"/>
    </x:row>
    <x:row r="261">
      <x:c r="A261" s="133" t="str">
        <x:f>IF(H261="Completed","✓",IF(H261="Blocked","!",""))</x:f>
      </x:c>
      <x:c r="B261" s="133" t="inlineStr">
        <x:is>
          <x:t xml:space="preserve">13C-15</x:t>
        </x:is>
      </x:c>
      <x:c r="C261" s="133" t="inlineStr">
        <x:is>
          <x:t xml:space="preserve">13C Shared Enterprise Components</x:t>
        </x:is>
      </x:c>
      <x:c r="D261" s="133" t="inlineStr">
        <x:is>
          <x:t xml:space="preserve">Components</x:t>
        </x:is>
      </x:c>
      <x:c r="E261" s="133" t="inlineStr">
        <x:is>
          <x:t xml:space="preserve">Create intelligence card component</x:t>
        </x:is>
      </x:c>
      <x:c r="F261" s="133" t="inlineStr">
        <x:is>
          <x:t xml:space="preserve">Signal → evidence → impact → recommendation → action can be rendered consistently.</x:t>
        </x:is>
      </x:c>
      <x:c r="G261" s="133" t="inlineStr">
        <x:is>
          <x:t xml:space="preserve">P1</x:t>
        </x:is>
      </x:c>
      <x:c r="H261" s="133" t="inlineStr">
        <x:is>
          <x:t xml:space="preserve">Not Started</x:t>
        </x:is>
      </x:c>
      <x:c r="I261" s="133" t="str"/>
      <x:c r="J261" s="133" t="str"/>
      <x:c r="K261" s="133" t="inlineStr">
        <x:is>
          <x:t xml:space="preserve">13B-12</x:t>
        </x:is>
      </x:c>
      <x:c r="L261" s="133" t="str"/>
      <x:c r="M261" s="133" t="str"/>
      <x:c r="N261" s="249" t="n"/>
      <x:c r="O261" s="249" t="n"/>
      <x:c r="P261" s="135" t="str"/>
    </x:row>
    <x:row r="262">
      <x:c r="A262" s="133" t="str">
        <x:f>IF(H262="Completed","✓",IF(H262="Blocked","!",""))</x:f>
      </x:c>
      <x:c r="B262" s="133" t="inlineStr">
        <x:is>
          <x:t xml:space="preserve">13C-16</x:t>
        </x:is>
      </x:c>
      <x:c r="C262" s="133" t="inlineStr">
        <x:is>
          <x:t xml:space="preserve">13C Shared Enterprise Components</x:t>
        </x:is>
      </x:c>
      <x:c r="D262" s="133" t="inlineStr">
        <x:is>
          <x:t xml:space="preserve">Components</x:t>
        </x:is>
      </x:c>
      <x:c r="E262" s="133" t="inlineStr">
        <x:is>
          <x:t xml:space="preserve">Create page/context header component</x:t>
        </x:is>
      </x:c>
      <x:c r="F262" s="133" t="inlineStr">
        <x:is>
          <x:t xml:space="preserve">Company/project/RFQ title, status, deadlines and contextual actions use one shared header.</x:t>
        </x:is>
      </x:c>
      <x:c r="G262" s="133" t="inlineStr">
        <x:is>
          <x:t xml:space="preserve">P0</x:t>
        </x:is>
      </x:c>
      <x:c r="H262" s="133" t="inlineStr">
        <x:is>
          <x:t xml:space="preserve">Not Started</x:t>
        </x:is>
      </x:c>
      <x:c r="I262" s="133" t="str"/>
      <x:c r="J262" s="133" t="str"/>
      <x:c r="K262" s="133" t="inlineStr">
        <x:is>
          <x:t xml:space="preserve">13B-12</x:t>
        </x:is>
      </x:c>
      <x:c r="L262" s="133" t="str"/>
      <x:c r="M262" s="133" t="str"/>
      <x:c r="N262" s="249" t="n"/>
      <x:c r="O262" s="249" t="n"/>
      <x:c r="P262" s="135" t="str"/>
    </x:row>
    <x:row r="263">
      <x:c r="A263" s="133" t="str">
        <x:f>IF(H263="Completed","✓",IF(H263="Blocked","!",""))</x:f>
      </x:c>
      <x:c r="B263" s="133" t="inlineStr">
        <x:is>
          <x:t xml:space="preserve">13C-17</x:t>
        </x:is>
      </x:c>
      <x:c r="C263" s="133" t="inlineStr">
        <x:is>
          <x:t xml:space="preserve">13C Shared Enterprise Components</x:t>
        </x:is>
      </x:c>
      <x:c r="D263" s="133" t="inlineStr">
        <x:is>
          <x:t xml:space="preserve">Components</x:t>
        </x:is>
      </x:c>
      <x:c r="E263" s="133" t="inlineStr">
        <x:is>
          <x:t xml:space="preserve">Component regression review</x:t>
        </x:is>
      </x:c>
      <x:c r="F263" s="133" t="inlineStr">
        <x:is>
          <x:t xml:space="preserve">Shared component changes are verified before page-level adoption begins.</x:t>
        </x:is>
      </x:c>
      <x:c r="G263" s="133" t="inlineStr">
        <x:is>
          <x:t xml:space="preserve">P0</x:t>
        </x:is>
      </x:c>
      <x:c r="H263" s="133" t="inlineStr">
        <x:is>
          <x:t xml:space="preserve">Not Started</x:t>
        </x:is>
      </x:c>
      <x:c r="I263" s="133" t="str"/>
      <x:c r="J263" s="133" t="str"/>
      <x:c r="K263" s="133" t="inlineStr">
        <x:is>
          <x:t xml:space="preserve">13B-12</x:t>
        </x:is>
      </x:c>
      <x:c r="L263" s="133" t="str"/>
      <x:c r="M263" s="133" t="str"/>
      <x:c r="N263" s="249" t="n"/>
      <x:c r="O263" s="249" t="n"/>
      <x:c r="P263" s="135" t="str"/>
    </x:row>
    <x:row r="264">
      <x:c r="A264" s="133" t="str">
        <x:f>IF(H264="Completed","✓",IF(H264="Blocked","!",""))</x:f>
      </x:c>
      <x:c r="B264" s="133" t="inlineStr">
        <x:is>
          <x:t xml:space="preserve">13D-01</x:t>
        </x:is>
      </x:c>
      <x:c r="C264" s="133" t="inlineStr">
        <x:is>
          <x:t xml:space="preserve">13D Workspace Shell &amp; Navigation</x:t>
        </x:is>
      </x:c>
      <x:c r="D264" s="133" t="inlineStr">
        <x:is>
          <x:t xml:space="preserve">Shell</x:t>
        </x:is>
      </x:c>
      <x:c r="E264" s="133" t="inlineStr">
        <x:is>
          <x:t xml:space="preserve">Implement dark-first authenticated Workspace Shell</x:t>
        </x:is>
      </x:c>
      <x:c r="F264" s="133" t="inlineStr">
        <x:is>
          <x:t xml:space="preserve">All authenticated pages inherit common background, max-width, content spacing and responsive structure.</x:t>
        </x:is>
      </x:c>
      <x:c r="G264" s="133" t="inlineStr">
        <x:is>
          <x:t xml:space="preserve">P0</x:t>
        </x:is>
      </x:c>
      <x:c r="H264" s="133" t="inlineStr">
        <x:is>
          <x:t xml:space="preserve">Not Started</x:t>
        </x:is>
      </x:c>
      <x:c r="I264" s="133" t="str"/>
      <x:c r="J264" s="133" t="inlineStr">
        <x:is>
          <x:t xml:space="preserve">Cursor UI 04</x:t>
        </x:is>
      </x:c>
      <x:c r="K264" s="133" t="inlineStr">
        <x:is>
          <x:t xml:space="preserve">13C-17</x:t>
        </x:is>
      </x:c>
      <x:c r="L264" s="133" t="str"/>
      <x:c r="M264" s="133" t="str"/>
      <x:c r="N264" s="249" t="n"/>
      <x:c r="O264" s="249" t="n"/>
      <x:c r="P264" s="135" t="str"/>
    </x:row>
    <x:row r="265">
      <x:c r="A265" s="133" t="str">
        <x:f>IF(H265="Completed","✓",IF(H265="Blocked","!",""))</x:f>
      </x:c>
      <x:c r="B265" s="133" t="inlineStr">
        <x:is>
          <x:t xml:space="preserve">13D-02</x:t>
        </x:is>
      </x:c>
      <x:c r="C265" s="133" t="inlineStr">
        <x:is>
          <x:t xml:space="preserve">13D Workspace Shell &amp; Navigation</x:t>
        </x:is>
      </x:c>
      <x:c r="D265" s="133" t="inlineStr">
        <x:is>
          <x:t xml:space="preserve">Sidebar</x:t>
        </x:is>
      </x:c>
      <x:c r="E265" s="133" t="inlineStr">
        <x:is>
          <x:t xml:space="preserve">Implement enterprise sidebar treatment</x:t>
        </x:is>
      </x:c>
      <x:c r="F265" s="133" t="inlineStr">
        <x:is>
          <x:t xml:space="preserve">Company Workspace sections, active state, hover, collapse, icons and tooltips are consistent and calm.</x:t>
        </x:is>
      </x:c>
      <x:c r="G265" s="133" t="inlineStr">
        <x:is>
          <x:t xml:space="preserve">P0</x:t>
        </x:is>
      </x:c>
      <x:c r="H265" s="133" t="inlineStr">
        <x:is>
          <x:t xml:space="preserve">Not Started</x:t>
        </x:is>
      </x:c>
      <x:c r="I265" s="133" t="str"/>
      <x:c r="J265" s="133" t="str"/>
      <x:c r="K265" s="133" t="inlineStr">
        <x:is>
          <x:t xml:space="preserve">13D-01</x:t>
        </x:is>
      </x:c>
      <x:c r="L265" s="133" t="str"/>
      <x:c r="M265" s="133" t="inlineStr">
        <x:is>
          <x:t xml:space="preserve">7-04D observation logged for existing shell scope: one intermittent React hydration mismatch surfaced in src/components/sidebar.tsx where server/client sidebar sublabel text differed (Procurement command center vs Company operating view). It was unrelated to Qualifications and did not recur across measured qualification flows.</x:t>
        </x:is>
      </x:c>
      <x:c r="N265" s="249" t="n"/>
      <x:c r="O265" s="249" t="n"/>
      <x:c r="P265" s="133" t="inlineStr">
        <x:is>
          <x:t xml:space="preserve">During 13D-02/13D-09, reproduce and eliminate server/client sidebar label divergence so shell hydration is deterministic; verify no route/auth changes. Do not reopen 7-04 unless the sidebar defect directly regresses Qualifications.</x:t>
        </x:is>
      </x:c>
    </x:row>
    <x:row r="266">
      <x:c r="A266" s="133" t="str">
        <x:f>IF(H266="Completed","✓",IF(H266="Blocked","!",""))</x:f>
      </x:c>
      <x:c r="B266" s="133" t="inlineStr">
        <x:is>
          <x:t xml:space="preserve">13D-03</x:t>
        </x:is>
      </x:c>
      <x:c r="C266" s="133" t="inlineStr">
        <x:is>
          <x:t xml:space="preserve">13D Workspace Shell &amp; Navigation</x:t>
        </x:is>
      </x:c>
      <x:c r="D266" s="133" t="inlineStr">
        <x:is>
          <x:t xml:space="preserve">Header</x:t>
        </x:is>
      </x:c>
      <x:c r="E266" s="133" t="inlineStr">
        <x:is>
          <x:t xml:space="preserve">Implement global top/context header</x:t>
        </x:is>
      </x:c>
      <x:c r="F266" s="133" t="inlineStr">
        <x:is>
          <x:t xml:space="preserve">Current company/context, breadcrumb, key actions and status/deadlines follow one layout.</x:t>
        </x:is>
      </x:c>
      <x:c r="G266" s="133" t="inlineStr">
        <x:is>
          <x:t xml:space="preserve">P0</x:t>
        </x:is>
      </x:c>
      <x:c r="H266" s="133" t="inlineStr">
        <x:is>
          <x:t xml:space="preserve">Not Started</x:t>
        </x:is>
      </x:c>
      <x:c r="I266" s="133" t="str"/>
      <x:c r="J266" s="133" t="str"/>
      <x:c r="K266" s="133" t="inlineStr">
        <x:is>
          <x:t xml:space="preserve">13D-01</x:t>
        </x:is>
      </x:c>
      <x:c r="L266" s="133" t="str"/>
      <x:c r="M266" s="133" t="str"/>
      <x:c r="N266" s="249" t="n"/>
      <x:c r="O266" s="249" t="n"/>
      <x:c r="P266" s="135" t="str"/>
    </x:row>
    <x:row r="267">
      <x:c r="A267" s="133" t="str">
        <x:f>IF(H267="Completed","✓",IF(H267="Blocked","!",""))</x:f>
      </x:c>
      <x:c r="B267" s="133" t="inlineStr">
        <x:is>
          <x:t xml:space="preserve">13D-04</x:t>
        </x:is>
      </x:c>
      <x:c r="C267" s="133" t="inlineStr">
        <x:is>
          <x:t xml:space="preserve">13D Workspace Shell &amp; Navigation</x:t>
        </x:is>
      </x:c>
      <x:c r="D267" s="133" t="inlineStr">
        <x:is>
          <x:t xml:space="preserve">Search</x:t>
        </x:is>
      </x:c>
      <x:c r="E267" s="133" t="inlineStr">
        <x:is>
          <x:t xml:space="preserve">Add Search / Ask Nexus global entry point</x:t>
        </x:is>
      </x:c>
      <x:c r="F267" s="133" t="inlineStr">
        <x:is>
          <x:t xml:space="preserve">A single global entry exists without forcing a chatbot into every page.</x:t>
        </x:is>
      </x:c>
      <x:c r="G267" s="133" t="inlineStr">
        <x:is>
          <x:t xml:space="preserve">P1</x:t>
        </x:is>
      </x:c>
      <x:c r="H267" s="133" t="inlineStr">
        <x:is>
          <x:t xml:space="preserve">Not Started</x:t>
        </x:is>
      </x:c>
      <x:c r="I267" s="133" t="str"/>
      <x:c r="J267" s="133" t="str"/>
      <x:c r="K267" s="133" t="inlineStr">
        <x:is>
          <x:t xml:space="preserve">13D-03</x:t>
        </x:is>
      </x:c>
      <x:c r="L267" s="133" t="str"/>
      <x:c r="M267" s="133" t="str"/>
      <x:c r="N267" s="249" t="n"/>
      <x:c r="O267" s="249" t="n"/>
      <x:c r="P267" s="135" t="str"/>
    </x:row>
    <x:row r="268">
      <x:c r="A268" s="133" t="str">
        <x:f>IF(H268="Completed","✓",IF(H268="Blocked","!",""))</x:f>
      </x:c>
      <x:c r="B268" s="133" t="inlineStr">
        <x:is>
          <x:t xml:space="preserve">13D-05</x:t>
        </x:is>
      </x:c>
      <x:c r="C268" s="133" t="inlineStr">
        <x:is>
          <x:t xml:space="preserve">13D Workspace Shell &amp; Navigation</x:t>
        </x:is>
      </x:c>
      <x:c r="D268" s="133" t="inlineStr">
        <x:is>
          <x:t xml:space="preserve">Context</x:t>
        </x:is>
      </x:c>
      <x:c r="E268" s="133" t="inlineStr">
        <x:is>
          <x:t xml:space="preserve">Connect workflow stepper to issuer/respondent context</x:t>
        </x:is>
      </x:c>
      <x:c r="F268" s="133" t="inlineStr">
        <x:is>
          <x:t xml:space="preserve">Current stage is visible without introducing permanent buyer/supplier mode.</x:t>
        </x:is>
      </x:c>
      <x:c r="G268" s="133" t="inlineStr">
        <x:is>
          <x:t xml:space="preserve">P0</x:t>
        </x:is>
      </x:c>
      <x:c r="H268" s="133" t="inlineStr">
        <x:is>
          <x:t xml:space="preserve">Not Started</x:t>
        </x:is>
      </x:c>
      <x:c r="I268" s="133" t="str"/>
      <x:c r="J268" s="133" t="str"/>
      <x:c r="K268" s="133" t="inlineStr">
        <x:is>
          <x:t xml:space="preserve">13C-14</x:t>
        </x:is>
      </x:c>
      <x:c r="L268" s="133" t="str"/>
      <x:c r="M268" s="133" t="str"/>
      <x:c r="N268" s="249" t="n"/>
      <x:c r="O268" s="249" t="n"/>
      <x:c r="P268" s="135" t="str"/>
    </x:row>
    <x:row r="269">
      <x:c r="A269" s="133" t="str">
        <x:f>IF(H269="Completed","✓",IF(H269="Blocked","!",""))</x:f>
      </x:c>
      <x:c r="B269" s="133" t="inlineStr">
        <x:is>
          <x:t xml:space="preserve">13D-06</x:t>
        </x:is>
      </x:c>
      <x:c r="C269" s="133" t="inlineStr">
        <x:is>
          <x:t xml:space="preserve">13D Workspace Shell &amp; Navigation</x:t>
        </x:is>
      </x:c>
      <x:c r="D269" s="133" t="inlineStr">
        <x:is>
          <x:t xml:space="preserve">Footer</x:t>
        </x:is>
      </x:c>
      <x:c r="E269" s="133" t="inlineStr">
        <x:is>
          <x:t xml:space="preserve">Implement compact authenticated enterprise footer</x:t>
        </x:is>
      </x:c>
      <x:c r="F269" s="133" t="inlineStr">
        <x:is>
          <x:t xml:space="preserve">Privacy, Security, Help, System Status and version/environment area are available without marketing clutter.</x:t>
        </x:is>
      </x:c>
      <x:c r="G269" s="133" t="inlineStr">
        <x:is>
          <x:t xml:space="preserve">P1</x:t>
        </x:is>
      </x:c>
      <x:c r="H269" s="133" t="inlineStr">
        <x:is>
          <x:t xml:space="preserve">Not Started</x:t>
        </x:is>
      </x:c>
      <x:c r="I269" s="133" t="str"/>
      <x:c r="J269" s="133" t="inlineStr">
        <x:is>
          <x:t xml:space="preserve">Cursor UI 05</x:t>
        </x:is>
      </x:c>
      <x:c r="K269" s="133" t="inlineStr">
        <x:is>
          <x:t xml:space="preserve">13D-01</x:t>
        </x:is>
      </x:c>
      <x:c r="L269" s="133" t="str"/>
      <x:c r="M269" s="133" t="str"/>
      <x:c r="N269" s="249" t="n"/>
      <x:c r="O269" s="249" t="n"/>
      <x:c r="P269" s="135" t="str"/>
    </x:row>
    <x:row r="270">
      <x:c r="A270" s="133" t="str">
        <x:f>IF(H270="Completed","✓",IF(H270="Blocked","!",""))</x:f>
      </x:c>
      <x:c r="B270" s="133" t="inlineStr">
        <x:is>
          <x:t xml:space="preserve">13D-07</x:t>
        </x:is>
      </x:c>
      <x:c r="C270" s="133" t="inlineStr">
        <x:is>
          <x:t xml:space="preserve">13D Workspace Shell &amp; Navigation</x:t>
        </x:is>
      </x:c>
      <x:c r="D270" s="133" t="inlineStr">
        <x:is>
          <x:t xml:space="preserve">Responsive</x:t>
        </x:is>
      </x:c>
      <x:c r="E270" s="133" t="inlineStr">
        <x:is>
          <x:t xml:space="preserve">Implement sidebar/header responsive behavior</x:t>
        </x:is>
      </x:c>
      <x:c r="F270" s="133" t="inlineStr">
        <x:is>
          <x:t xml:space="preserve">Desktop/tablet/mobile shell remains usable and content-first.</x:t>
        </x:is>
      </x:c>
      <x:c r="G270" s="133" t="inlineStr">
        <x:is>
          <x:t xml:space="preserve">P0</x:t>
        </x:is>
      </x:c>
      <x:c r="H270" s="133" t="inlineStr">
        <x:is>
          <x:t xml:space="preserve">Not Started</x:t>
        </x:is>
      </x:c>
      <x:c r="I270" s="133" t="str"/>
      <x:c r="J270" s="133" t="str"/>
      <x:c r="K270" s="133" t="inlineStr">
        <x:is>
          <x:t xml:space="preserve">13D-02</x:t>
        </x:is>
      </x:c>
      <x:c r="L270" s="133" t="str"/>
      <x:c r="M270" s="133" t="str"/>
      <x:c r="N270" s="249" t="n"/>
      <x:c r="O270" s="249" t="n"/>
      <x:c r="P270" s="135" t="str"/>
    </x:row>
    <x:row r="271">
      <x:c r="A271" s="133" t="str">
        <x:f>IF(H271="Completed","✓",IF(H271="Blocked","!",""))</x:f>
      </x:c>
      <x:c r="B271" s="133" t="inlineStr">
        <x:is>
          <x:t xml:space="preserve">13D-08</x:t>
        </x:is>
      </x:c>
      <x:c r="C271" s="133" t="inlineStr">
        <x:is>
          <x:t xml:space="preserve">13D Workspace Shell &amp; Navigation</x:t>
        </x:is>
      </x:c>
      <x:c r="D271" s="133" t="inlineStr">
        <x:is>
          <x:t xml:space="preserve">Accessibility</x:t>
        </x:is>
      </x:c>
      <x:c r="E271" s="133" t="inlineStr">
        <x:is>
          <x:t xml:space="preserve">Verify shell keyboard/focus/reduced-motion behavior</x:t>
        </x:is>
      </x:c>
      <x:c r="F271" s="133" t="inlineStr">
        <x:is>
          <x:t xml:space="preserve">Core navigation is accessible before page upgrades.</x:t>
        </x:is>
      </x:c>
      <x:c r="G271" s="133" t="inlineStr">
        <x:is>
          <x:t xml:space="preserve">P0</x:t>
        </x:is>
      </x:c>
      <x:c r="H271" s="133" t="inlineStr">
        <x:is>
          <x:t xml:space="preserve">Not Started</x:t>
        </x:is>
      </x:c>
      <x:c r="I271" s="133" t="str"/>
      <x:c r="J271" s="133" t="str"/>
      <x:c r="K271" s="133" t="inlineStr">
        <x:is>
          <x:t xml:space="preserve">13D-07</x:t>
        </x:is>
      </x:c>
      <x:c r="L271" s="133" t="str"/>
      <x:c r="M271" s="133" t="str"/>
      <x:c r="N271" s="249" t="n"/>
      <x:c r="O271" s="249" t="n"/>
      <x:c r="P271" s="135" t="str"/>
    </x:row>
    <x:row r="272">
      <x:c r="A272" s="133" t="str">
        <x:f>IF(H272="Completed","✓",IF(H272="Blocked","!",""))</x:f>
      </x:c>
      <x:c r="B272" s="133" t="inlineStr">
        <x:is>
          <x:t xml:space="preserve">13D-09</x:t>
        </x:is>
      </x:c>
      <x:c r="C272" s="133" t="inlineStr">
        <x:is>
          <x:t xml:space="preserve">13D Workspace Shell &amp; Navigation</x:t>
        </x:is>
      </x:c>
      <x:c r="D272" s="133" t="inlineStr">
        <x:is>
          <x:t xml:space="preserve">Regression</x:t>
        </x:is>
      </x:c>
      <x:c r="E272" s="133" t="inlineStr">
        <x:is>
          <x:t xml:space="preserve">Run route/navigation regression after shell adoption</x:t>
        </x:is>
      </x:c>
      <x:c r="F272" s="133" t="inlineStr">
        <x:is>
          <x:t xml:space="preserve">Invitation/auth next paths and existing route behavior remain intact.</x:t>
        </x:is>
      </x:c>
      <x:c r="G272" s="133" t="inlineStr">
        <x:is>
          <x:t xml:space="preserve">P0</x:t>
        </x:is>
      </x:c>
      <x:c r="H272" s="133" t="inlineStr">
        <x:is>
          <x:t xml:space="preserve">Not Started</x:t>
        </x:is>
      </x:c>
      <x:c r="I272" s="133" t="str"/>
      <x:c r="J272" s="133" t="str"/>
      <x:c r="K272" s="133" t="inlineStr">
        <x:is>
          <x:t xml:space="preserve">13D-01</x:t>
        </x:is>
      </x:c>
      <x:c r="L272" s="133" t="inlineStr">
        <x:is>
          <x:t xml:space="preserve">G2</x:t>
        </x:is>
      </x:c>
      <x:c r="M272" s="133" t="str"/>
      <x:c r="N272" s="249" t="n"/>
      <x:c r="O272" s="249" t="n"/>
      <x:c r="P272" s="135" t="str"/>
    </x:row>
    <x:row r="273">
      <x:c r="A273" s="133" t="str">
        <x:f>IF(H273="Completed","✓",IF(H273="Blocked","!",""))</x:f>
      </x:c>
      <x:c r="B273" s="133" t="inlineStr">
        <x:is>
          <x:t xml:space="preserve">13D-10</x:t>
        </x:is>
      </x:c>
      <x:c r="C273" s="133" t="inlineStr">
        <x:is>
          <x:t xml:space="preserve">13D Workspace Shell &amp; Navigation</x:t>
        </x:is>
      </x:c>
      <x:c r="D273" s="133" t="inlineStr">
        <x:is>
          <x:t xml:space="preserve">Review</x:t>
        </x:is>
      </x:c>
      <x:c r="E273" s="133" t="inlineStr">
        <x:is>
          <x:t xml:space="preserve">Workspace Shell sign-off</x:t>
        </x:is>
      </x:c>
      <x:c r="F273" s="133" t="inlineStr">
        <x:is>
          <x:t xml:space="preserve">Shared shell is approved before broad page-by-page visual migration.</x:t>
        </x:is>
      </x:c>
      <x:c r="G273" s="133" t="inlineStr">
        <x:is>
          <x:t xml:space="preserve">P0</x:t>
        </x:is>
      </x:c>
      <x:c r="H273" s="133" t="inlineStr">
        <x:is>
          <x:t xml:space="preserve">Not Started</x:t>
        </x:is>
      </x:c>
      <x:c r="I273" s="133" t="str"/>
      <x:c r="J273" s="133" t="str"/>
      <x:c r="K273" s="133" t="inlineStr">
        <x:is>
          <x:t xml:space="preserve">13D-09</x:t>
        </x:is>
      </x:c>
      <x:c r="L273" s="133" t="str"/>
      <x:c r="M273" s="133" t="str"/>
      <x:c r="N273" s="249" t="n"/>
      <x:c r="O273" s="249" t="n"/>
      <x:c r="P273" s="135" t="str"/>
    </x:row>
    <x:row r="274">
      <x:c r="A274" s="133" t="str">
        <x:f>IF(H274="Completed","✓",IF(H274="Blocked","!",""))</x:f>
      </x:c>
      <x:c r="B274" s="133" t="inlineStr">
        <x:is>
          <x:t xml:space="preserve">13E-01</x:t>
        </x:is>
      </x:c>
      <x:c r="C274" s="133" t="inlineStr">
        <x:is>
          <x:t xml:space="preserve">13E Motion &amp; Completion System</x:t>
        </x:is>
      </x:c>
      <x:c r="D274" s="133" t="inlineStr">
        <x:is>
          <x:t xml:space="preserve">Motion</x:t>
        </x:is>
      </x:c>
      <x:c r="E274" s="133" t="inlineStr">
        <x:is>
          <x:t xml:space="preserve">Create reusable Nexus Completion Moment</x:t>
        </x:is>
      </x:c>
      <x:c r="F274" s="133" t="inlineStr">
        <x:is>
          <x:t xml:space="preserve">Action → processing → confirmation → state change → next-best-action is a reusable enterprise pattern.</x:t>
        </x:is>
      </x:c>
      <x:c r="G274" s="133" t="inlineStr">
        <x:is>
          <x:t xml:space="preserve">P0</x:t>
        </x:is>
      </x:c>
      <x:c r="H274" s="133" t="inlineStr">
        <x:is>
          <x:t xml:space="preserve">Not Started</x:t>
        </x:is>
      </x:c>
      <x:c r="I274" s="133" t="str"/>
      <x:c r="J274" s="133" t="inlineStr">
        <x:is>
          <x:t xml:space="preserve">Cursor UI 06</x:t>
        </x:is>
      </x:c>
      <x:c r="K274" s="133" t="inlineStr">
        <x:is>
          <x:t xml:space="preserve">13B-10</x:t>
        </x:is>
      </x:c>
      <x:c r="L274" s="133" t="str"/>
      <x:c r="M274" s="133" t="str"/>
      <x:c r="N274" s="249" t="n"/>
      <x:c r="O274" s="249" t="n"/>
      <x:c r="P274" s="135" t="str"/>
    </x:row>
    <x:row r="275">
      <x:c r="A275" s="133" t="str">
        <x:f>IF(H275="Completed","✓",IF(H275="Blocked","!",""))</x:f>
      </x:c>
      <x:c r="B275" s="133" t="inlineStr">
        <x:is>
          <x:t xml:space="preserve">13E-02</x:t>
        </x:is>
      </x:c>
      <x:c r="C275" s="133" t="inlineStr">
        <x:is>
          <x:t xml:space="preserve">13E Motion &amp; Completion System</x:t>
        </x:is>
      </x:c>
      <x:c r="D275" s="133" t="inlineStr">
        <x:is>
          <x:t xml:space="preserve">Motion</x:t>
        </x:is>
      </x:c>
      <x:c r="E275" s="133" t="inlineStr">
        <x:is>
          <x:t xml:space="preserve">Implement RFQ created completion moment</x:t>
        </x:is>
      </x:c>
      <x:c r="F275" s="133" t="inlineStr">
        <x:is>
          <x:t xml:space="preserve">RFQ creation confirms success and guides next configuration step without confetti.</x:t>
        </x:is>
      </x:c>
      <x:c r="G275" s="133" t="inlineStr">
        <x:is>
          <x:t xml:space="preserve">P1</x:t>
        </x:is>
      </x:c>
      <x:c r="H275" s="133" t="inlineStr">
        <x:is>
          <x:t xml:space="preserve">Not Started</x:t>
        </x:is>
      </x:c>
      <x:c r="I275" s="133" t="str"/>
      <x:c r="J275" s="133" t="str"/>
      <x:c r="K275" s="133" t="inlineStr">
        <x:is>
          <x:t xml:space="preserve">13E-01</x:t>
        </x:is>
      </x:c>
      <x:c r="L275" s="133" t="str"/>
      <x:c r="M275" s="133" t="str"/>
      <x:c r="N275" s="249" t="n"/>
      <x:c r="O275" s="249" t="n"/>
      <x:c r="P275" s="135" t="str"/>
    </x:row>
    <x:row r="276">
      <x:c r="A276" s="133" t="str">
        <x:f>IF(H276="Completed","✓",IF(H276="Blocked","!",""))</x:f>
      </x:c>
      <x:c r="B276" s="133" t="inlineStr">
        <x:is>
          <x:t xml:space="preserve">13E-03</x:t>
        </x:is>
      </x:c>
      <x:c r="C276" s="133" t="inlineStr">
        <x:is>
          <x:t xml:space="preserve">13E Motion &amp; Completion System</x:t>
        </x:is>
      </x:c>
      <x:c r="D276" s="133" t="inlineStr">
        <x:is>
          <x:t xml:space="preserve">Motion</x:t>
        </x:is>
      </x:c>
      <x:c r="E276" s="133" t="inlineStr">
        <x:is>
          <x:t xml:space="preserve">Implement RFQ published completion moment</x:t>
        </x:is>
      </x:c>
      <x:c r="F276" s="133" t="inlineStr">
        <x:is>
          <x:t xml:space="preserve">Publish state shows invited count/deadlines and next engagement action.</x:t>
        </x:is>
      </x:c>
      <x:c r="G276" s="133" t="inlineStr">
        <x:is>
          <x:t xml:space="preserve">P1</x:t>
        </x:is>
      </x:c>
      <x:c r="H276" s="133" t="inlineStr">
        <x:is>
          <x:t xml:space="preserve">Not Started</x:t>
        </x:is>
      </x:c>
      <x:c r="I276" s="133" t="str"/>
      <x:c r="J276" s="133" t="str"/>
      <x:c r="K276" s="133" t="inlineStr">
        <x:is>
          <x:t xml:space="preserve">13E-01</x:t>
        </x:is>
      </x:c>
      <x:c r="L276" s="133" t="str"/>
      <x:c r="M276" s="133" t="str"/>
      <x:c r="N276" s="249" t="n"/>
      <x:c r="O276" s="249" t="n"/>
      <x:c r="P276" s="135" t="str"/>
    </x:row>
    <x:row r="277">
      <x:c r="A277" s="133" t="str">
        <x:f>IF(H277="Completed","✓",IF(H277="Blocked","!",""))</x:f>
      </x:c>
      <x:c r="B277" s="133" t="inlineStr">
        <x:is>
          <x:t xml:space="preserve">13E-04</x:t>
        </x:is>
      </x:c>
      <x:c r="C277" s="133" t="inlineStr">
        <x:is>
          <x:t xml:space="preserve">13E Motion &amp; Completion System</x:t>
        </x:is>
      </x:c>
      <x:c r="D277" s="133" t="inlineStr">
        <x:is>
          <x:t xml:space="preserve">Motion</x:t>
        </x:is>
      </x:c>
      <x:c r="E277" s="133" t="inlineStr">
        <x:is>
          <x:t xml:space="preserve">Implement invitation sent feedback</x:t>
        </x:is>
      </x:c>
      <x:c r="F277" s="133" t="inlineStr">
        <x:is>
          <x:t xml:space="preserve">Delivery/retry state is animated subtly and truthfully reflects sent/skipped/failed.</x:t>
        </x:is>
      </x:c>
      <x:c r="G277" s="133" t="inlineStr">
        <x:is>
          <x:t xml:space="preserve">P1</x:t>
        </x:is>
      </x:c>
      <x:c r="H277" s="133" t="inlineStr">
        <x:is>
          <x:t xml:space="preserve">Not Started</x:t>
        </x:is>
      </x:c>
      <x:c r="I277" s="133" t="str"/>
      <x:c r="J277" s="133" t="str"/>
      <x:c r="K277" s="133" t="inlineStr">
        <x:is>
          <x:t xml:space="preserve">13E-01</x:t>
        </x:is>
      </x:c>
      <x:c r="L277" s="133" t="str"/>
      <x:c r="M277" s="133" t="str"/>
      <x:c r="N277" s="249" t="n"/>
      <x:c r="O277" s="249" t="n"/>
      <x:c r="P277" s="135" t="str"/>
    </x:row>
    <x:row r="278">
      <x:c r="A278" s="133" t="str">
        <x:f>IF(H278="Completed","✓",IF(H278="Blocked","!",""))</x:f>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inlineStr">
        <x:is>
          <x:t xml:space="preserve">Not Started</x:t>
        </x:is>
      </x:c>
      <x:c r="I278" s="133" t="str"/>
      <x:c r="J278" s="133" t="str"/>
      <x:c r="K278" s="133" t="inlineStr">
        <x:is>
          <x:t xml:space="preserve">13E-01</x:t>
        </x:is>
      </x:c>
      <x:c r="L278" s="133" t="str"/>
      <x:c r="M278" s="133" t="str"/>
      <x:c r="N278" s="249" t="n"/>
      <x:c r="O278" s="249" t="n"/>
      <x:c r="P278" s="135" t="str"/>
    </x:row>
    <x:row r="279">
      <x:c r="A279" s="133" t="str">
        <x:f>IF(H279="Completed","✓",IF(H279="Blocked","!",""))</x:f>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inlineStr">
        <x:is>
          <x:t xml:space="preserve">Not Started</x:t>
        </x:is>
      </x:c>
      <x:c r="I279" s="133" t="str"/>
      <x:c r="J279" s="133" t="str"/>
      <x:c r="K279" s="133" t="inlineStr">
        <x:is>
          <x:t xml:space="preserve">13E-01</x:t>
        </x:is>
      </x:c>
      <x:c r="L279" s="133" t="str"/>
      <x:c r="M279" s="133" t="str"/>
      <x:c r="N279" s="249" t="n"/>
      <x:c r="O279" s="249" t="n"/>
      <x:c r="P279" s="135" t="str"/>
    </x:row>
    <x:row r="280">
      <x:c r="A280" s="133" t="str">
        <x:f>IF(H280="Completed","✓",IF(H280="Blocked","!",""))</x:f>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inlineStr">
        <x:is>
          <x:t xml:space="preserve">Not Started</x:t>
        </x:is>
      </x:c>
      <x:c r="I280" s="133" t="str"/>
      <x:c r="J280" s="133" t="str"/>
      <x:c r="K280" s="133" t="inlineStr">
        <x:is>
          <x:t xml:space="preserve">13E-01</x:t>
        </x:is>
      </x:c>
      <x:c r="L280" s="133" t="str"/>
      <x:c r="M280" s="133" t="str"/>
      <x:c r="N280" s="249" t="n"/>
      <x:c r="O280" s="249" t="n"/>
      <x:c r="P280" s="135" t="str"/>
    </x:row>
    <x:row r="281">
      <x:c r="A281" s="133" t="str">
        <x:f>IF(H281="Completed","✓",IF(H281="Blocked","!",""))</x:f>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inlineStr">
        <x:is>
          <x:t xml:space="preserve">Not Started</x:t>
        </x:is>
      </x:c>
      <x:c r="I281" s="133" t="str"/>
      <x:c r="J281" s="133" t="str"/>
      <x:c r="K281" s="133" t="inlineStr">
        <x:is>
          <x:t xml:space="preserve">13E-01</x:t>
        </x:is>
      </x:c>
      <x:c r="L281" s="133" t="str"/>
      <x:c r="M281" s="133" t="str"/>
      <x:c r="N281" s="249" t="n"/>
      <x:c r="O281" s="249" t="n"/>
      <x:c r="P281" s="135" t="str"/>
    </x:row>
    <x:row r="282">
      <x:c r="A282" s="133" t="str">
        <x:f>IF(H282="Completed","✓",IF(H282="Blocked","!",""))</x:f>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inlineStr">
        <x:is>
          <x:t xml:space="preserve">Not Started</x:t>
        </x:is>
      </x:c>
      <x:c r="I282" s="133" t="str"/>
      <x:c r="J282" s="133" t="str"/>
      <x:c r="K282" s="133" t="inlineStr">
        <x:is>
          <x:t xml:space="preserve">13E-01</x:t>
        </x:is>
      </x:c>
      <x:c r="L282" s="133" t="str"/>
      <x:c r="M282" s="133" t="str"/>
      <x:c r="N282" s="249" t="n"/>
      <x:c r="O282" s="249" t="n"/>
      <x:c r="P282" s="135" t="str"/>
    </x:row>
    <x:row r="283">
      <x:c r="A283" s="133" t="str">
        <x:f>IF(H283="Completed","✓",IF(H283="Blocked","!",""))</x:f>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inlineStr">
        <x:is>
          <x:t xml:space="preserve">Not Started</x:t>
        </x:is>
      </x:c>
      <x:c r="I283" s="133" t="str"/>
      <x:c r="J283" s="133" t="str"/>
      <x:c r="K283" s="133" t="inlineStr">
        <x:is>
          <x:t xml:space="preserve">13B-10</x:t>
        </x:is>
      </x:c>
      <x:c r="L283" s="133" t="str"/>
      <x:c r="M283" s="133" t="str"/>
      <x:c r="N283" s="249" t="n"/>
      <x:c r="O283" s="249" t="n"/>
      <x:c r="P283" s="135" t="str"/>
    </x:row>
    <x:row r="284">
      <x:c r="A284" s="133" t="str">
        <x:f>IF(H284="Completed","✓",IF(H284="Blocked","!",""))</x:f>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inlineStr">
        <x:is>
          <x:t xml:space="preserve">Not Started</x:t>
        </x:is>
      </x:c>
      <x:c r="I284" s="133" t="str"/>
      <x:c r="J284" s="133" t="str"/>
      <x:c r="K284" s="133" t="inlineStr">
        <x:is>
          <x:t xml:space="preserve">13B-10</x:t>
        </x:is>
      </x:c>
      <x:c r="L284" s="133" t="str"/>
      <x:c r="M284" s="133" t="str"/>
      <x:c r="N284" s="249" t="n"/>
      <x:c r="O284" s="249" t="n"/>
      <x:c r="P284" s="135" t="str"/>
    </x:row>
    <x:row r="285">
      <x:c r="A285" s="133" t="str">
        <x:f>IF(H285="Completed","✓",IF(H285="Blocked","!",""))</x:f>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inlineStr">
        <x:is>
          <x:t xml:space="preserve">Not Started</x:t>
        </x:is>
      </x:c>
      <x:c r="I285" s="133" t="str"/>
      <x:c r="J285" s="133" t="str"/>
      <x:c r="K285" s="133" t="inlineStr">
        <x:is>
          <x:t xml:space="preserve">13E-01</x:t>
        </x:is>
      </x:c>
      <x:c r="L285" s="133" t="str"/>
      <x:c r="M285" s="133" t="str"/>
      <x:c r="N285" s="249" t="n"/>
      <x:c r="O285" s="249" t="n"/>
      <x:c r="P285" s="135" t="str"/>
    </x:row>
    <x:row r="286">
      <x:c r="A286" s="133" t="str">
        <x:f>IF(H286="Completed","✓",IF(H286="Blocked","!",""))</x:f>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inlineStr">
        <x:is>
          <x:t xml:space="preserve">Not Started</x:t>
        </x:is>
      </x:c>
      <x:c r="I286" s="133" t="str"/>
      <x:c r="J286" s="133" t="str"/>
      <x:c r="K286" s="133" t="inlineStr">
        <x:is>
          <x:t xml:space="preserve">13E-12</x:t>
        </x:is>
      </x:c>
      <x:c r="L286" s="133" t="str"/>
      <x:c r="M286" s="133" t="str"/>
      <x:c r="N286" s="249" t="n"/>
      <x:c r="O286" s="249" t="n"/>
      <x:c r="P286" s="135" t="str"/>
    </x:row>
    <x:row r="287">
      <x:c r="A287" s="133" t="str">
        <x:f>IF(H287="Completed","✓",IF(H287="Blocked","!",""))</x:f>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inlineStr">
        <x:is>
          <x:t xml:space="preserve">Not Started</x:t>
        </x:is>
      </x:c>
      <x:c r="I287" s="133" t="str"/>
      <x:c r="J287" s="133" t="inlineStr">
        <x:is>
          <x:t xml:space="preserve">Cursor UI 07</x:t>
        </x:is>
      </x:c>
      <x:c r="K287" s="133" t="inlineStr">
        <x:is>
          <x:t xml:space="preserve">13D-10</x:t>
        </x:is>
      </x:c>
      <x:c r="L287" s="133" t="str"/>
      <x:c r="M287" s="133" t="str"/>
      <x:c r="N287" s="249" t="n"/>
      <x:c r="O287" s="249" t="n"/>
      <x:c r="P287" s="135" t="str"/>
    </x:row>
    <x:row r="288">
      <x:c r="A288" s="133" t="str">
        <x:f>IF(H288="Completed","✓",IF(H288="Blocked","!",""))</x:f>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inlineStr">
        <x:is>
          <x:t xml:space="preserve">Not Started</x:t>
        </x:is>
      </x:c>
      <x:c r="I288" s="133" t="str"/>
      <x:c r="J288" s="133" t="str"/>
      <x:c r="K288" s="133" t="inlineStr">
        <x:is>
          <x:t xml:space="preserve">13F-01</x:t>
        </x:is>
      </x:c>
      <x:c r="L288" s="133" t="str"/>
      <x:c r="M288" s="133" t="str"/>
      <x:c r="N288" s="249" t="n"/>
      <x:c r="O288" s="249" t="n"/>
      <x:c r="P288" s="135" t="str"/>
    </x:row>
    <x:row r="289">
      <x:c r="A289" s="133" t="str">
        <x:f>IF(H289="Completed","✓",IF(H289="Blocked","!",""))</x:f>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inlineStr">
        <x:is>
          <x:t xml:space="preserve">Not Started</x:t>
        </x:is>
      </x:c>
      <x:c r="I289" s="133" t="str"/>
      <x:c r="J289" s="133" t="str"/>
      <x:c r="K289" s="133" t="inlineStr">
        <x:is>
          <x:t xml:space="preserve">13F-02</x:t>
        </x:is>
      </x:c>
      <x:c r="L289" s="133" t="str"/>
      <x:c r="M289" s="133" t="str"/>
      <x:c r="N289" s="249" t="n"/>
      <x:c r="O289" s="249" t="n"/>
      <x:c r="P289" s="135" t="str"/>
    </x:row>
    <x:row r="290">
      <x:c r="A290" s="133" t="str">
        <x:f>IF(H290="Completed","✓",IF(H290="Blocked","!",""))</x:f>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inlineStr">
        <x:is>
          <x:t xml:space="preserve">Not Started</x:t>
        </x:is>
      </x:c>
      <x:c r="I290" s="133" t="str"/>
      <x:c r="J290" s="133" t="str"/>
      <x:c r="K290" s="133" t="inlineStr">
        <x:is>
          <x:t xml:space="preserve">13F-03</x:t>
        </x:is>
      </x:c>
      <x:c r="L290" s="133" t="str"/>
      <x:c r="M290" s="133" t="str"/>
      <x:c r="N290" s="249" t="n"/>
      <x:c r="O290" s="249" t="n"/>
      <x:c r="P290" s="135" t="str"/>
    </x:row>
    <x:row r="291">
      <x:c r="A291" s="133" t="str">
        <x:f>IF(H291="Completed","✓",IF(H291="Blocked","!",""))</x:f>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inlineStr">
        <x:is>
          <x:t xml:space="preserve">Not Started</x:t>
        </x:is>
      </x:c>
      <x:c r="I291" s="133" t="str"/>
      <x:c r="J291" s="133" t="str"/>
      <x:c r="K291" s="133" t="inlineStr">
        <x:is>
          <x:t xml:space="preserve">13C-09</x:t>
        </x:is>
      </x:c>
      <x:c r="L291" s="133" t="str"/>
      <x:c r="M291" s="133" t="str"/>
      <x:c r="N291" s="249" t="n"/>
      <x:c r="O291" s="249" t="n"/>
      <x:c r="P291" s="135" t="str"/>
    </x:row>
    <x:row r="292">
      <x:c r="A292" s="133" t="str">
        <x:f>IF(H292="Completed","✓",IF(H292="Blocked","!",""))</x:f>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inlineStr">
        <x:is>
          <x:t xml:space="preserve">Not Started</x:t>
        </x:is>
      </x:c>
      <x:c r="I292" s="133" t="str"/>
      <x:c r="J292" s="133" t="str"/>
      <x:c r="K292" s="133" t="inlineStr">
        <x:is>
          <x:t xml:space="preserve">13C-15</x:t>
        </x:is>
      </x:c>
      <x:c r="L292" s="133" t="str"/>
      <x:c r="M292" s="133" t="str"/>
      <x:c r="N292" s="249" t="n"/>
      <x:c r="O292" s="249" t="n"/>
      <x:c r="P292" s="135" t="str"/>
    </x:row>
    <x:row r="293">
      <x:c r="A293" s="133" t="str">
        <x:f>IF(H293="Completed","✓",IF(H293="Blocked","!",""))</x:f>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inlineStr">
        <x:is>
          <x:t xml:space="preserve">Not Started</x:t>
        </x:is>
      </x:c>
      <x:c r="I293" s="133" t="str"/>
      <x:c r="J293" s="133" t="str"/>
      <x:c r="K293" s="133" t="inlineStr">
        <x:is>
          <x:t xml:space="preserve">13F-04</x:t>
        </x:is>
      </x:c>
      <x:c r="L293" s="133" t="str"/>
      <x:c r="M293" s="133" t="str"/>
      <x:c r="N293" s="249" t="n"/>
      <x:c r="O293" s="249" t="n"/>
      <x:c r="P293" s="135" t="str"/>
    </x:row>
    <x:row r="294">
      <x:c r="A294" s="133" t="str">
        <x:f>IF(H294="Completed","✓",IF(H294="Blocked","!",""))</x:f>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inlineStr">
        <x:is>
          <x:t xml:space="preserve">Not Started</x:t>
        </x:is>
      </x:c>
      <x:c r="I294" s="133" t="str"/>
      <x:c r="J294" s="133" t="str"/>
      <x:c r="K294" s="133" t="inlineStr">
        <x:is>
          <x:t xml:space="preserve">13C-08</x:t>
        </x:is>
      </x:c>
      <x:c r="L294" s="133" t="str"/>
      <x:c r="M294" s="133" t="str"/>
      <x:c r="N294" s="249" t="n"/>
      <x:c r="O294" s="249" t="n"/>
      <x:c r="P294" s="135" t="str"/>
    </x:row>
    <x:row r="295">
      <x:c r="A295" s="133" t="str">
        <x:f>IF(H295="Completed","✓",IF(H295="Blocked","!",""))</x:f>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inlineStr">
        <x:is>
          <x:t xml:space="preserve">Not Started</x:t>
        </x:is>
      </x:c>
      <x:c r="I295" s="133" t="str"/>
      <x:c r="J295" s="133" t="str"/>
      <x:c r="K295" s="133" t="inlineStr">
        <x:is>
          <x:t xml:space="preserve">13F-06</x:t>
        </x:is>
      </x:c>
      <x:c r="L295" s="133" t="str"/>
      <x:c r="M295" s="133" t="str"/>
      <x:c r="N295" s="249" t="n"/>
      <x:c r="O295" s="249" t="n"/>
      <x:c r="P295" s="135" t="str"/>
    </x:row>
    <x:row r="296">
      <x:c r="A296" s="133" t="str">
        <x:f>IF(H296="Completed","✓",IF(H296="Blocked","!",""))</x:f>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inlineStr">
        <x:is>
          <x:t xml:space="preserve">Not Started</x:t>
        </x:is>
      </x:c>
      <x:c r="I296" s="133" t="str"/>
      <x:c r="J296" s="133" t="str"/>
      <x:c r="K296" s="133" t="inlineStr">
        <x:is>
          <x:t xml:space="preserve">13F-06</x:t>
        </x:is>
      </x:c>
      <x:c r="L296" s="133" t="str"/>
      <x:c r="M296" s="133" t="str"/>
      <x:c r="N296" s="249" t="n"/>
      <x:c r="O296" s="249" t="n"/>
      <x:c r="P296" s="135" t="str"/>
    </x:row>
    <x:row r="297">
      <x:c r="A297" s="133" t="str">
        <x:f>IF(H297="Completed","✓",IF(H297="Blocked","!",""))</x:f>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inlineStr">
        <x:is>
          <x:t xml:space="preserve">Not Started</x:t>
        </x:is>
      </x:c>
      <x:c r="I297" s="133" t="str"/>
      <x:c r="J297" s="133" t="str"/>
      <x:c r="K297" s="133" t="inlineStr">
        <x:is>
          <x:t xml:space="preserve">13F-06</x:t>
        </x:is>
      </x:c>
      <x:c r="L297" s="133" t="str"/>
      <x:c r="M297" s="133" t="str"/>
      <x:c r="N297" s="249" t="n"/>
      <x:c r="O297" s="249" t="n"/>
      <x:c r="P297" s="135" t="str"/>
    </x:row>
    <x:row r="298">
      <x:c r="A298" s="133" t="str">
        <x:f>IF(H298="Completed","✓",IF(H298="Blocked","!",""))</x:f>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inlineStr">
        <x:is>
          <x:t xml:space="preserve">Not Started</x:t>
        </x:is>
      </x:c>
      <x:c r="I298" s="133" t="str"/>
      <x:c r="J298" s="133" t="str"/>
      <x:c r="K298" s="133" t="inlineStr">
        <x:is>
          <x:t xml:space="preserve">13F-06</x:t>
        </x:is>
      </x:c>
      <x:c r="L298" s="133" t="str"/>
      <x:c r="M298" s="133" t="str"/>
      <x:c r="N298" s="249" t="n"/>
      <x:c r="O298" s="249" t="n"/>
      <x:c r="P298" s="135" t="str"/>
    </x:row>
    <x:row r="299">
      <x:c r="A299" s="133" t="str">
        <x:f>IF(H299="Completed","✓",IF(H299="Blocked","!",""))</x:f>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inlineStr">
        <x:is>
          <x:t xml:space="preserve">Not Started</x:t>
        </x:is>
      </x:c>
      <x:c r="I299" s="133" t="str"/>
      <x:c r="J299" s="133" t="str"/>
      <x:c r="K299" s="133" t="inlineStr">
        <x:is>
          <x:t xml:space="preserve">13F-01</x:t>
        </x:is>
      </x:c>
      <x:c r="L299" s="133" t="str"/>
      <x:c r="M299" s="133" t="str"/>
      <x:c r="N299" s="249" t="n"/>
      <x:c r="O299" s="249" t="n"/>
      <x:c r="P299" s="135" t="str"/>
    </x:row>
    <x:row r="300">
      <x:c r="A300" s="133" t="str">
        <x:f>IF(H300="Completed","✓",IF(H300="Blocked","!",""))</x:f>
      </x:c>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inlineStr">
        <x:is>
          <x:t xml:space="preserve">Not Started</x:t>
        </x:is>
      </x:c>
      <x:c r="I300" s="133" t="str"/>
      <x:c r="J300" s="133" t="str"/>
      <x:c r="K300" s="133" t="inlineStr">
        <x:is>
          <x:t xml:space="preserve">13F-12</x:t>
        </x:is>
      </x:c>
      <x:c r="L300" s="133" t="str"/>
      <x:c r="M300" s="133" t="str"/>
      <x:c r="N300" s="249" t="n"/>
      <x:c r="O300" s="249" t="n"/>
      <x:c r="P300" s="135" t="str"/>
    </x:row>
    <x:row r="301">
      <x:c r="A301" s="133" t="str">
        <x:f>IF(H301="Completed","✓",IF(H301="Blocked","!",""))</x:f>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inlineStr">
        <x:is>
          <x:t xml:space="preserve">Not Started</x:t>
        </x:is>
      </x:c>
      <x:c r="I301" s="133" t="str"/>
      <x:c r="J301" s="133" t="inlineStr">
        <x:is>
          <x:t xml:space="preserve">Cursor UI 08</x:t>
        </x:is>
      </x:c>
      <x:c r="K301" s="133" t="inlineStr">
        <x:is>
          <x:t xml:space="preserve">13F-14</x:t>
        </x:is>
      </x:c>
      <x:c r="L301" s="133" t="str"/>
      <x:c r="M301" s="133" t="str"/>
      <x:c r="N301" s="249" t="n"/>
      <x:c r="O301" s="249" t="n"/>
      <x:c r="P301" s="135" t="str"/>
    </x:row>
    <x:row r="302">
      <x:c r="A302" s="133" t="str">
        <x:f>IF(H302="Completed","✓",IF(H302="Blocked","!",""))</x:f>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inlineStr">
        <x:is>
          <x:t xml:space="preserve">Not Started</x:t>
        </x:is>
      </x:c>
      <x:c r="I302" s="133" t="str"/>
      <x:c r="J302" s="133" t="str"/>
      <x:c r="K302" s="133" t="inlineStr">
        <x:is>
          <x:t xml:space="preserve">13G-01</x:t>
        </x:is>
      </x:c>
      <x:c r="L302" s="133" t="inlineStr">
        <x:is>
          <x:t xml:space="preserve">G7</x:t>
        </x:is>
      </x:c>
      <x:c r="M302" s="133" t="str"/>
      <x:c r="N302" s="249" t="n"/>
      <x:c r="O302" s="249" t="n"/>
      <x:c r="P302" s="135" t="str"/>
    </x:row>
    <x:row r="303">
      <x:c r="A303" s="133" t="str">
        <x:f>IF(H303="Completed","✓",IF(H303="Blocked","!",""))</x:f>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inlineStr">
        <x:is>
          <x:t xml:space="preserve">Not Started</x:t>
        </x:is>
      </x:c>
      <x:c r="I303" s="133" t="str"/>
      <x:c r="J303" s="133" t="str"/>
      <x:c r="K303" s="133" t="inlineStr">
        <x:is>
          <x:t xml:space="preserve">13G-02</x:t>
        </x:is>
      </x:c>
      <x:c r="L303" s="133" t="str"/>
      <x:c r="M303" s="133" t="str"/>
      <x:c r="N303" s="249" t="n"/>
      <x:c r="O303" s="249" t="n"/>
      <x:c r="P303" s="135" t="str"/>
    </x:row>
    <x:row r="304">
      <x:c r="A304" s="133" t="str">
        <x:f>IF(H304="Completed","✓",IF(H304="Blocked","!",""))</x:f>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inlineStr">
        <x:is>
          <x:t xml:space="preserve">Not Started</x:t>
        </x:is>
      </x:c>
      <x:c r="I304" s="133" t="str"/>
      <x:c r="J304" s="133" t="str"/>
      <x:c r="K304" s="133" t="inlineStr">
        <x:is>
          <x:t xml:space="preserve">13F-07</x:t>
        </x:is>
      </x:c>
      <x:c r="L304" s="133" t="str"/>
      <x:c r="M304" s="133" t="str"/>
      <x:c r="N304" s="249" t="n"/>
      <x:c r="O304" s="249" t="n"/>
      <x:c r="P304" s="135" t="str"/>
    </x:row>
    <x:row r="305">
      <x:c r="A305" s="133" t="str">
        <x:f>IF(H305="Completed","✓",IF(H305="Blocked","!",""))</x:f>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inlineStr">
        <x:is>
          <x:t xml:space="preserve">Not Started</x:t>
        </x:is>
      </x:c>
      <x:c r="I305" s="133" t="str"/>
      <x:c r="J305" s="133" t="str"/>
      <x:c r="K305" s="133" t="inlineStr">
        <x:is>
          <x:t xml:space="preserve">13G-02</x:t>
        </x:is>
      </x:c>
      <x:c r="L305" s="133" t="str"/>
      <x:c r="M305" s="133" t="str"/>
      <x:c r="N305" s="249" t="n"/>
      <x:c r="O305" s="249" t="n"/>
      <x:c r="P305" s="135" t="str"/>
    </x:row>
    <x:row r="306">
      <x:c r="A306" s="133" t="str">
        <x:f>IF(H306="Completed","✓",IF(H306="Blocked","!",""))</x:f>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inlineStr">
        <x:is>
          <x:t xml:space="preserve">Not Started</x:t>
        </x:is>
      </x:c>
      <x:c r="I306" s="133" t="str"/>
      <x:c r="J306" s="133" t="str"/>
      <x:c r="K306" s="133" t="inlineStr">
        <x:is>
          <x:t xml:space="preserve">13G-02</x:t>
        </x:is>
      </x:c>
      <x:c r="L306" s="133" t="str"/>
      <x:c r="M306" s="133" t="str"/>
      <x:c r="N306" s="249" t="n"/>
      <x:c r="O306" s="249" t="n"/>
      <x:c r="P306" s="135" t="str"/>
    </x:row>
    <x:row r="307">
      <x:c r="A307" s="133" t="str">
        <x:f>IF(H307="Completed","✓",IF(H307="Blocked","!",""))</x:f>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inlineStr">
        <x:is>
          <x:t xml:space="preserve">Not Started</x:t>
        </x:is>
      </x:c>
      <x:c r="I307" s="133" t="str"/>
      <x:c r="J307" s="133" t="str"/>
      <x:c r="K307" s="133" t="inlineStr">
        <x:is>
          <x:t xml:space="preserve">13G-01</x:t>
        </x:is>
      </x:c>
      <x:c r="L307" s="133" t="str"/>
      <x:c r="M307" s="133" t="str"/>
      <x:c r="N307" s="249" t="n"/>
      <x:c r="O307" s="249" t="n"/>
      <x:c r="P307" s="135" t="str"/>
    </x:row>
    <x:row r="308">
      <x:c r="A308" s="133" t="str">
        <x:f>IF(H308="Completed","✓",IF(H308="Blocked","!",""))</x:f>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inlineStr">
        <x:is>
          <x:t xml:space="preserve">Not Started</x:t>
        </x:is>
      </x:c>
      <x:c r="I308" s="133" t="str"/>
      <x:c r="J308" s="133" t="str"/>
      <x:c r="K308" s="133" t="inlineStr">
        <x:is>
          <x:t xml:space="preserve">13G-02</x:t>
        </x:is>
      </x:c>
      <x:c r="L308" s="133" t="inlineStr">
        <x:is>
          <x:t xml:space="preserve">G7</x:t>
        </x:is>
      </x:c>
      <x:c r="M308" s="133" t="str"/>
      <x:c r="N308" s="249" t="n"/>
      <x:c r="O308" s="249" t="n"/>
      <x:c r="P308" s="135" t="str"/>
    </x:row>
    <x:row r="309">
      <x:c r="A309" s="133" t="str">
        <x:f>IF(H309="Completed","✓",IF(H309="Blocked","!",""))</x:f>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inlineStr">
        <x:is>
          <x:t xml:space="preserve">Not Started</x:t>
        </x:is>
      </x:c>
      <x:c r="I309" s="133" t="str"/>
      <x:c r="J309" s="133" t="str"/>
      <x:c r="K309" s="133" t="inlineStr">
        <x:is>
          <x:t xml:space="preserve">13G-06</x:t>
        </x:is>
      </x:c>
      <x:c r="L309" s="133" t="str"/>
      <x:c r="M309" s="133" t="str"/>
      <x:c r="N309" s="249" t="n"/>
      <x:c r="O309" s="249" t="n"/>
      <x:c r="P309" s="135" t="str"/>
    </x:row>
    <x:row r="310">
      <x:c r="A310" s="133" t="str">
        <x:f>IF(H310="Completed","✓",IF(H310="Blocked","!",""))</x:f>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inlineStr">
        <x:is>
          <x:t xml:space="preserve">Not Started</x:t>
        </x:is>
      </x:c>
      <x:c r="I310" s="133" t="str"/>
      <x:c r="J310" s="133" t="str"/>
      <x:c r="K310" s="133" t="inlineStr">
        <x:is>
          <x:t xml:space="preserve">13G-01</x:t>
        </x:is>
      </x:c>
      <x:c r="L310" s="133" t="str"/>
      <x:c r="M310" s="133" t="str"/>
      <x:c r="N310" s="249" t="n"/>
      <x:c r="O310" s="249" t="n"/>
      <x:c r="P310" s="135" t="str"/>
    </x:row>
    <x:row r="311">
      <x:c r="A311" s="133" t="str">
        <x:f>IF(H311="Completed","✓",IF(H311="Blocked","!",""))</x:f>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inlineStr">
        <x:is>
          <x:t xml:space="preserve">Not Started</x:t>
        </x:is>
      </x:c>
      <x:c r="I311" s="133" t="str"/>
      <x:c r="J311" s="133" t="str"/>
      <x:c r="K311" s="133" t="inlineStr">
        <x:is>
          <x:t xml:space="preserve">13G-10</x:t>
        </x:is>
      </x:c>
      <x:c r="L311" s="133" t="str"/>
      <x:c r="M311" s="133" t="str"/>
      <x:c r="N311" s="249" t="n"/>
      <x:c r="O311" s="249" t="n"/>
      <x:c r="P311" s="135" t="inlineStr">
        <x:is>
          <x:t xml:space="preserve">Do not introduce page-specific design primitives unless the shared system genuinely cannot express the need.</x:t>
        </x:is>
      </x:c>
    </x:row>
    <x:row r="312">
      <x:c r="A312" s="133" t="str">
        <x:f>IF(H312="Completed","✓",IF(H312="Blocked","!",""))</x:f>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inlineStr">
        <x:is>
          <x:t xml:space="preserve">Not Started</x:t>
        </x:is>
      </x:c>
      <x:c r="I312" s="133" t="str"/>
      <x:c r="J312" s="133" t="str"/>
      <x:c r="K312" s="133" t="inlineStr">
        <x:is>
          <x:t xml:space="preserve">13G-10</x:t>
        </x:is>
      </x:c>
      <x:c r="L312" s="133" t="str"/>
      <x:c r="M312" s="133" t="str"/>
      <x:c r="N312" s="249" t="n"/>
      <x:c r="O312" s="249" t="n"/>
      <x:c r="P312" s="135" t="inlineStr">
        <x:is>
          <x:t xml:space="preserve">Do not introduce page-specific design primitives unless the shared system genuinely cannot express the need.</x:t>
        </x:is>
      </x:c>
    </x:row>
    <x:row r="313">
      <x:c r="A313" s="133" t="str">
        <x:f>IF(H313="Completed","✓",IF(H313="Blocked","!",""))</x:f>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inlineStr">
        <x:is>
          <x:t xml:space="preserve">Not Started</x:t>
        </x:is>
      </x:c>
      <x:c r="I313" s="133" t="str"/>
      <x:c r="J313" s="133" t="str"/>
      <x:c r="K313" s="133" t="inlineStr">
        <x:is>
          <x:t xml:space="preserve">13G-10</x:t>
        </x:is>
      </x:c>
      <x:c r="L313" s="133" t="str"/>
      <x:c r="M313" s="133" t="str"/>
      <x:c r="N313" s="249" t="n"/>
      <x:c r="O313" s="249" t="n"/>
      <x:c r="P313" s="135" t="inlineStr">
        <x:is>
          <x:t xml:space="preserve">Do not introduce page-specific design primitives unless the shared system genuinely cannot express the need.</x:t>
        </x:is>
      </x:c>
    </x:row>
    <x:row r="314">
      <x:c r="A314" s="133" t="str">
        <x:f>IF(H314="Completed","✓",IF(H314="Blocked","!",""))</x:f>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inlineStr">
        <x:is>
          <x:t xml:space="preserve">Not Started</x:t>
        </x:is>
      </x:c>
      <x:c r="I314" s="133" t="str"/>
      <x:c r="J314" s="133" t="str"/>
      <x:c r="K314" s="133" t="inlineStr">
        <x:is>
          <x:t xml:space="preserve">13G-10</x:t>
        </x:is>
      </x:c>
      <x:c r="L314" s="133" t="str"/>
      <x:c r="M314" s="133" t="str"/>
      <x:c r="N314" s="249" t="n"/>
      <x:c r="O314" s="249" t="n"/>
      <x:c r="P314" s="135" t="inlineStr">
        <x:is>
          <x:t xml:space="preserve">Do not introduce page-specific design primitives unless the shared system genuinely cannot express the need.</x:t>
        </x:is>
      </x:c>
    </x:row>
    <x:row r="315">
      <x:c r="A315" s="133" t="str">
        <x:f>IF(H315="Completed","✓",IF(H315="Blocked","!",""))</x:f>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inlineStr">
        <x:is>
          <x:t xml:space="preserve">Not Started</x:t>
        </x:is>
      </x:c>
      <x:c r="I315" s="133" t="str"/>
      <x:c r="J315" s="133" t="str"/>
      <x:c r="K315" s="133" t="inlineStr">
        <x:is>
          <x:t xml:space="preserve">13G-10</x:t>
        </x:is>
      </x:c>
      <x:c r="L315" s="133" t="str"/>
      <x:c r="M315" s="133" t="str"/>
      <x:c r="N315" s="249" t="n"/>
      <x:c r="O315" s="249" t="n"/>
      <x:c r="P315" s="135" t="inlineStr">
        <x:is>
          <x:t xml:space="preserve">Do not introduce page-specific design primitives unless the shared system genuinely cannot express the need.</x:t>
        </x:is>
      </x:c>
    </x:row>
    <x:row r="316">
      <x:c r="A316" s="133" t="str">
        <x:f>IF(H316="Completed","✓",IF(H316="Blocked","!",""))</x:f>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inlineStr">
        <x:is>
          <x:t xml:space="preserve">Not Started</x:t>
        </x:is>
      </x:c>
      <x:c r="I316" s="133" t="str"/>
      <x:c r="J316" s="133" t="str"/>
      <x:c r="K316" s="133" t="inlineStr">
        <x:is>
          <x:t xml:space="preserve">13G-10</x:t>
        </x:is>
      </x:c>
      <x:c r="L316" s="133" t="str"/>
      <x:c r="M316" s="133" t="str"/>
      <x:c r="N316" s="249" t="n"/>
      <x:c r="O316" s="249" t="n"/>
      <x:c r="P316" s="135" t="inlineStr">
        <x:is>
          <x:t xml:space="preserve">Do not introduce page-specific design primitives unless the shared system genuinely cannot express the need.</x:t>
        </x:is>
      </x:c>
    </x:row>
    <x:row r="317">
      <x:c r="A317" s="133" t="str">
        <x:f>IF(H317="Completed","✓",IF(H317="Blocked","!",""))</x:f>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inlineStr">
        <x:is>
          <x:t xml:space="preserve">Not Started</x:t>
        </x:is>
      </x:c>
      <x:c r="I317" s="133" t="str"/>
      <x:c r="J317" s="133" t="str"/>
      <x:c r="K317" s="133" t="inlineStr">
        <x:is>
          <x:t xml:space="preserve">13G-10</x:t>
        </x:is>
      </x:c>
      <x:c r="L317" s="133" t="str"/>
      <x:c r="M317" s="133" t="str"/>
      <x:c r="N317" s="249" t="n"/>
      <x:c r="O317" s="249" t="n"/>
      <x:c r="P317" s="135" t="inlineStr">
        <x:is>
          <x:t xml:space="preserve">Do not introduce page-specific design primitives unless the shared system genuinely cannot express the need.</x:t>
        </x:is>
      </x:c>
    </x:row>
    <x:row r="318">
      <x:c r="A318" s="133" t="str">
        <x:f>IF(H318="Completed","✓",IF(H318="Blocked","!",""))</x:f>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inlineStr">
        <x:is>
          <x:t xml:space="preserve">Not Started</x:t>
        </x:is>
      </x:c>
      <x:c r="I318" s="133" t="str"/>
      <x:c r="J318" s="133" t="str"/>
      <x:c r="K318" s="133" t="inlineStr">
        <x:is>
          <x:t xml:space="preserve">13G-10</x:t>
        </x:is>
      </x:c>
      <x:c r="L318" s="133" t="str"/>
      <x:c r="M318" s="133" t="str"/>
      <x:c r="N318" s="249" t="n"/>
      <x:c r="O318" s="249" t="n"/>
      <x:c r="P318" s="135" t="inlineStr">
        <x:is>
          <x:t xml:space="preserve">Do not introduce page-specific design primitives unless the shared system genuinely cannot express the need.</x:t>
        </x:is>
      </x:c>
    </x:row>
    <x:row r="319">
      <x:c r="A319" s="133" t="str">
        <x:f>IF(H319="Completed","✓",IF(H319="Blocked","!",""))</x:f>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inlineStr">
        <x:is>
          <x:t xml:space="preserve">Not Started</x:t>
        </x:is>
      </x:c>
      <x:c r="I319" s="133" t="str"/>
      <x:c r="J319" s="133" t="str"/>
      <x:c r="K319" s="133" t="inlineStr">
        <x:is>
          <x:t xml:space="preserve">13G-10</x:t>
        </x:is>
      </x:c>
      <x:c r="L319" s="133" t="str"/>
      <x:c r="M319" s="133" t="str"/>
      <x:c r="N319" s="249" t="n"/>
      <x:c r="O319" s="249" t="n"/>
      <x:c r="P319" s="135" t="inlineStr">
        <x:is>
          <x:t xml:space="preserve">Do not introduce page-specific design primitives unless the shared system genuinely cannot express the need.</x:t>
        </x:is>
      </x:c>
    </x:row>
    <x:row r="320">
      <x:c r="A320" s="133" t="str">
        <x:f>IF(H320="Completed","✓",IF(H320="Blocked","!",""))</x:f>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inlineStr">
        <x:is>
          <x:t xml:space="preserve">Not Started</x:t>
        </x:is>
      </x:c>
      <x:c r="I320" s="133" t="str"/>
      <x:c r="J320" s="133" t="str"/>
      <x:c r="K320" s="133" t="inlineStr">
        <x:is>
          <x:t xml:space="preserve">13G-10</x:t>
        </x:is>
      </x:c>
      <x:c r="L320" s="133" t="str"/>
      <x:c r="M320" s="133" t="str"/>
      <x:c r="N320" s="249" t="n"/>
      <x:c r="O320" s="249" t="n"/>
      <x:c r="P320" s="135" t="inlineStr">
        <x:is>
          <x:t xml:space="preserve">Do not introduce page-specific design primitives unless the shared system genuinely cannot express the need.</x:t>
        </x:is>
      </x:c>
    </x:row>
    <x:row r="321">
      <x:c r="A321" s="133" t="str">
        <x:f>IF(H321="Completed","✓",IF(H321="Blocked","!",""))</x:f>
      </x:c>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inlineStr">
        <x:is>
          <x:t xml:space="preserve">Not Started</x:t>
        </x:is>
      </x:c>
      <x:c r="I321" s="133" t="str"/>
      <x:c r="J321" s="133" t="str"/>
      <x:c r="K321" s="133" t="inlineStr">
        <x:is>
          <x:t xml:space="preserve">13G-10</x:t>
        </x:is>
      </x:c>
      <x:c r="L321" s="133" t="str"/>
      <x:c r="M321" s="133" t="str"/>
      <x:c r="N321" s="249" t="n"/>
      <x:c r="O321" s="249" t="n"/>
      <x:c r="P321" s="135" t="inlineStr">
        <x:is>
          <x:t xml:space="preserve">Do not introduce page-specific design primitives unless the shared system genuinely cannot express the need.</x:t>
        </x:is>
      </x:c>
    </x:row>
    <x:row r="322">
      <x:c r="A322" s="133" t="str">
        <x:f>IF(H322="Completed","✓",IF(H322="Blocked","!",""))</x:f>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inlineStr">
        <x:is>
          <x:t xml:space="preserve">Not Started</x:t>
        </x:is>
      </x:c>
      <x:c r="I322" s="133" t="str"/>
      <x:c r="J322" s="133" t="str"/>
      <x:c r="K322" s="133" t="inlineStr">
        <x:is>
          <x:t xml:space="preserve">13G-10</x:t>
        </x:is>
      </x:c>
      <x:c r="L322" s="133" t="str"/>
      <x:c r="M322" s="133" t="str"/>
      <x:c r="N322" s="249" t="n"/>
      <x:c r="O322" s="249" t="n"/>
      <x:c r="P322" s="135" t="inlineStr">
        <x:is>
          <x:t xml:space="preserve">Do not introduce page-specific design primitives unless the shared system genuinely cannot express the need.</x:t>
        </x:is>
      </x:c>
    </x:row>
    <x:row r="323">
      <x:c r="A323" s="133" t="str">
        <x:f>IF(H323="Completed","✓",IF(H323="Blocked","!",""))</x:f>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inlineStr">
        <x:is>
          <x:t xml:space="preserve">Not Started</x:t>
        </x:is>
      </x:c>
      <x:c r="I323" s="133" t="str"/>
      <x:c r="J323" s="133" t="str"/>
      <x:c r="K323" s="133" t="inlineStr">
        <x:is>
          <x:t xml:space="preserve">13G-10</x:t>
        </x:is>
      </x:c>
      <x:c r="L323" s="133" t="str"/>
      <x:c r="M323" s="133" t="str"/>
      <x:c r="N323" s="249" t="n"/>
      <x:c r="O323" s="249" t="n"/>
      <x:c r="P323" s="135" t="inlineStr">
        <x:is>
          <x:t xml:space="preserve">Do not introduce page-specific design primitives unless the shared system genuinely cannot express the need.</x:t>
        </x:is>
      </x:c>
    </x:row>
    <x:row r="324">
      <x:c r="A324" s="133" t="str">
        <x:f>IF(H324="Completed","✓",IF(H324="Blocked","!",""))</x:f>
      </x:c>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inlineStr">
        <x:is>
          <x:t xml:space="preserve">Not Started</x:t>
        </x:is>
      </x:c>
      <x:c r="I324" s="133" t="str"/>
      <x:c r="J324" s="133" t="str"/>
      <x:c r="K324" s="133" t="inlineStr">
        <x:is>
          <x:t xml:space="preserve">13G-10</x:t>
        </x:is>
      </x:c>
      <x:c r="L324" s="133" t="str"/>
      <x:c r="M324" s="133" t="str"/>
      <x:c r="N324" s="249" t="n"/>
      <x:c r="O324" s="249" t="n"/>
      <x:c r="P324" s="135" t="inlineStr">
        <x:is>
          <x:t xml:space="preserve">Do not introduce page-specific design primitives unless the shared system genuinely cannot express the need.</x:t>
        </x:is>
      </x:c>
    </x:row>
    <x:row r="325">
      <x:c r="A325" s="133" t="str">
        <x:f>IF(H325="Completed","✓",IF(H325="Blocked","!",""))</x:f>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inlineStr">
        <x:is>
          <x:t xml:space="preserve">Not Started</x:t>
        </x:is>
      </x:c>
      <x:c r="I325" s="133" t="str"/>
      <x:c r="J325" s="133" t="str"/>
      <x:c r="K325" s="133" t="inlineStr">
        <x:is>
          <x:t xml:space="preserve">13G-10</x:t>
        </x:is>
      </x:c>
      <x:c r="L325" s="133" t="str"/>
      <x:c r="M325" s="133" t="str"/>
      <x:c r="N325" s="249" t="n"/>
      <x:c r="O325" s="249" t="n"/>
      <x:c r="P325" s="135" t="inlineStr">
        <x:is>
          <x:t xml:space="preserve">Do not introduce page-specific design primitives unless the shared system genuinely cannot express the need.</x:t>
        </x:is>
      </x:c>
    </x:row>
    <x:row r="326">
      <x:c r="A326" s="133" t="str">
        <x:f>IF(H326="Completed","✓",IF(H326="Blocked","!",""))</x:f>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inlineStr">
        <x:is>
          <x:t xml:space="preserve">Not Started</x:t>
        </x:is>
      </x:c>
      <x:c r="I326" s="133" t="str"/>
      <x:c r="J326" s="133" t="str"/>
      <x:c r="K326" s="133" t="inlineStr">
        <x:is>
          <x:t xml:space="preserve">13G-10</x:t>
        </x:is>
      </x:c>
      <x:c r="L326" s="133" t="str"/>
      <x:c r="M326" s="133" t="str"/>
      <x:c r="N326" s="249" t="n"/>
      <x:c r="O326" s="249" t="n"/>
      <x:c r="P326" s="135" t="inlineStr">
        <x:is>
          <x:t xml:space="preserve">Do not introduce page-specific design primitives unless the shared system genuinely cannot express the need.</x:t>
        </x:is>
      </x:c>
    </x:row>
    <x:row r="327">
      <x:c r="A327" s="133" t="str">
        <x:f>IF(H327="Completed","✓",IF(H327="Blocked","!",""))</x:f>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inlineStr">
        <x:is>
          <x:t xml:space="preserve">Not Started</x:t>
        </x:is>
      </x:c>
      <x:c r="I327" s="133" t="str"/>
      <x:c r="J327" s="133" t="str"/>
      <x:c r="K327" s="133" t="inlineStr">
        <x:is>
          <x:t xml:space="preserve">13G-10</x:t>
        </x:is>
      </x:c>
      <x:c r="L327" s="133" t="str"/>
      <x:c r="M327" s="133" t="str"/>
      <x:c r="N327" s="249" t="n"/>
      <x:c r="O327" s="249" t="n"/>
      <x:c r="P327" s="135" t="inlineStr">
        <x:is>
          <x:t xml:space="preserve">Do not introduce page-specific design primitives unless the shared system genuinely cannot express the need.</x:t>
        </x:is>
      </x:c>
    </x:row>
    <x:row r="328">
      <x:c r="A328" s="133" t="str">
        <x:f>IF(H328="Completed","✓",IF(H328="Blocked","!",""))</x:f>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inlineStr">
        <x:is>
          <x:t xml:space="preserve">Not Started</x:t>
        </x:is>
      </x:c>
      <x:c r="I328" s="133" t="str"/>
      <x:c r="J328" s="133" t="str"/>
      <x:c r="K328" s="133" t="inlineStr">
        <x:is>
          <x:t xml:space="preserve">13G-10</x:t>
        </x:is>
      </x:c>
      <x:c r="L328" s="133" t="str"/>
      <x:c r="M328" s="133" t="str"/>
      <x:c r="N328" s="249" t="n"/>
      <x:c r="O328" s="249" t="n"/>
      <x:c r="P328" s="135" t="inlineStr">
        <x:is>
          <x:t xml:space="preserve">Do not introduce page-specific design primitives unless the shared system genuinely cannot express the need.</x:t>
        </x:is>
      </x:c>
    </x:row>
    <x:row r="329">
      <x:c r="A329" s="133" t="str">
        <x:f>IF(H329="Completed","✓",IF(H329="Blocked","!",""))</x:f>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inlineStr">
        <x:is>
          <x:t xml:space="preserve">Not Started</x:t>
        </x:is>
      </x:c>
      <x:c r="I329" s="133" t="str"/>
      <x:c r="J329" s="133" t="str"/>
      <x:c r="K329" s="133" t="inlineStr">
        <x:is>
          <x:t xml:space="preserve">13G-10</x:t>
        </x:is>
      </x:c>
      <x:c r="L329" s="133" t="str"/>
      <x:c r="M329" s="133" t="str"/>
      <x:c r="N329" s="249" t="n"/>
      <x:c r="O329" s="249" t="n"/>
      <x:c r="P329" s="135" t="inlineStr">
        <x:is>
          <x:t xml:space="preserve">Do not introduce page-specific design primitives unless the shared system genuinely cannot express the need.</x:t>
        </x:is>
      </x:c>
    </x:row>
    <x:row r="330">
      <x:c r="A330" s="133" t="str">
        <x:f>IF(H330="Completed","✓",IF(H330="Blocked","!",""))</x:f>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inlineStr">
        <x:is>
          <x:t xml:space="preserve">Not Started</x:t>
        </x:is>
      </x:c>
      <x:c r="I330" s="133" t="str"/>
      <x:c r="J330" s="133" t="str"/>
      <x:c r="K330" s="133" t="inlineStr">
        <x:is>
          <x:t xml:space="preserve">13G-10</x:t>
        </x:is>
      </x:c>
      <x:c r="L330" s="133" t="str"/>
      <x:c r="M330" s="133" t="str"/>
      <x:c r="N330" s="249" t="n"/>
      <x:c r="O330" s="249" t="n"/>
      <x:c r="P330" s="135" t="inlineStr">
        <x:is>
          <x:t xml:space="preserve">Do not introduce page-specific design primitives unless the shared system genuinely cannot express the need.</x:t>
        </x:is>
      </x:c>
    </x:row>
    <x:row r="331">
      <x:c r="A331" s="133" t="str">
        <x:f>IF(H331="Completed","✓",IF(H331="Blocked","!",""))</x:f>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inlineStr">
        <x:is>
          <x:t xml:space="preserve">Not Started</x:t>
        </x:is>
      </x:c>
      <x:c r="I331" s="133" t="str"/>
      <x:c r="J331" s="133" t="str"/>
      <x:c r="K331" s="133" t="inlineStr">
        <x:is>
          <x:t xml:space="preserve">13H-20</x:t>
        </x:is>
      </x:c>
      <x:c r="L331" s="133" t="str"/>
      <x:c r="M331" s="133" t="str"/>
      <x:c r="N331" s="249" t="n"/>
      <x:c r="O331" s="249" t="n"/>
      <x:c r="P331" s="135" t="str"/>
    </x:row>
    <x:row r="332">
      <x:c r="A332" s="133" t="str">
        <x:f>IF(H332="Completed","✓",IF(H332="Blocked","!",""))</x:f>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inlineStr">
        <x:is>
          <x:t xml:space="preserve">Not Started</x:t>
        </x:is>
      </x:c>
      <x:c r="I332" s="133" t="str"/>
      <x:c r="J332" s="133" t="str"/>
      <x:c r="K332" s="133" t="inlineStr">
        <x:is>
          <x:t xml:space="preserve">13I-01</x:t>
        </x:is>
      </x:c>
      <x:c r="L332" s="133" t="str"/>
      <x:c r="M332" s="133" t="str"/>
      <x:c r="N332" s="249" t="n"/>
      <x:c r="O332" s="249" t="n"/>
      <x:c r="P332" s="135" t="str"/>
    </x:row>
    <x:row r="333">
      <x:c r="A333" s="133" t="str">
        <x:f>IF(H333="Completed","✓",IF(H333="Blocked","!",""))</x:f>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inlineStr">
        <x:is>
          <x:t xml:space="preserve">Average weighted UI score across core pages is at least 9.5/10.</x:t>
        </x:is>
      </x:c>
      <x:c r="G333" s="133" t="inlineStr">
        <x:is>
          <x:t xml:space="preserve">P0</x:t>
        </x:is>
      </x:c>
      <x:c r="H333" s="133" t="inlineStr">
        <x:is>
          <x:t xml:space="preserve">Not Started</x:t>
        </x:is>
      </x:c>
      <x:c r="I333" s="133" t="str"/>
      <x:c r="J333" s="133" t="str"/>
      <x:c r="K333" s="133" t="inlineStr">
        <x:is>
          <x:t xml:space="preserve">13I-01</x:t>
        </x:is>
      </x:c>
      <x:c r="L333" s="133" t="str"/>
      <x:c r="M333" s="133" t="str"/>
      <x:c r="N333" s="249" t="n"/>
      <x:c r="O333" s="249" t="n"/>
      <x:c r="P333" s="135" t="str"/>
    </x:row>
    <x:row r="334">
      <x:c r="A334" s="133" t="str">
        <x:f>IF(H334="Completed","✓",IF(H334="Blocked","!",""))</x:f>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inlineStr">
        <x:is>
          <x:t xml:space="preserve">Not Started</x:t>
        </x:is>
      </x:c>
      <x:c r="I334" s="133" t="str"/>
      <x:c r="J334" s="133" t="str"/>
      <x:c r="K334" s="133" t="inlineStr">
        <x:is>
          <x:t xml:space="preserve">13I-01</x:t>
        </x:is>
      </x:c>
      <x:c r="L334" s="133" t="str"/>
      <x:c r="M334" s="133" t="str"/>
      <x:c r="N334" s="249" t="n"/>
      <x:c r="O334" s="249" t="n"/>
      <x:c r="P334" s="135" t="str"/>
    </x:row>
    <x:row r="335">
      <x:c r="A335" s="133" t="str">
        <x:f>IF(H335="Completed","✓",IF(H335="Blocked","!",""))</x:f>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inlineStr">
        <x:is>
          <x:t xml:space="preserve">Not Started</x:t>
        </x:is>
      </x:c>
      <x:c r="I335" s="133" t="str"/>
      <x:c r="J335" s="133" t="str"/>
      <x:c r="K335" s="133" t="inlineStr">
        <x:is>
          <x:t xml:space="preserve">13I-01</x:t>
        </x:is>
      </x:c>
      <x:c r="L335" s="133" t="str"/>
      <x:c r="M335" s="133" t="str"/>
      <x:c r="N335" s="249" t="n"/>
      <x:c r="O335" s="249" t="n"/>
      <x:c r="P335" s="135" t="str"/>
    </x:row>
    <x:row r="336">
      <x:c r="A336" s="133" t="str">
        <x:f>IF(H336="Completed","✓",IF(H336="Blocked","!",""))</x:f>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inlineStr">
        <x:is>
          <x:t xml:space="preserve">Not Started</x:t>
        </x:is>
      </x:c>
      <x:c r="I336" s="133" t="str"/>
      <x:c r="J336" s="133" t="str"/>
      <x:c r="K336" s="133" t="inlineStr">
        <x:is>
          <x:t xml:space="preserve">13I-01</x:t>
        </x:is>
      </x:c>
      <x:c r="L336" s="133" t="inlineStr">
        <x:is>
          <x:t xml:space="preserve">G10</x:t>
        </x:is>
      </x:c>
      <x:c r="M336" s="133" t="str"/>
      <x:c r="N336" s="249" t="n"/>
      <x:c r="O336" s="249" t="n"/>
      <x:c r="P336" s="135" t="str"/>
    </x:row>
    <x:row r="337">
      <x:c r="A337" s="133" t="str">
        <x:f>IF(H337="Completed","✓",IF(H337="Blocked","!",""))</x:f>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inlineStr">
        <x:is>
          <x:t xml:space="preserve">Not Started</x:t>
        </x:is>
      </x:c>
      <x:c r="I337" s="133" t="str"/>
      <x:c r="J337" s="133" t="str"/>
      <x:c r="K337" s="133" t="inlineStr">
        <x:is>
          <x:t xml:space="preserve">13I-01</x:t>
        </x:is>
      </x:c>
      <x:c r="L337" s="133" t="inlineStr">
        <x:is>
          <x:t xml:space="preserve">G10</x:t>
        </x:is>
      </x:c>
      <x:c r="M337" s="133" t="str"/>
      <x:c r="N337" s="249" t="n"/>
      <x:c r="O337" s="249" t="n"/>
      <x:c r="P337" s="135" t="str"/>
    </x:row>
    <x:row r="338">
      <x:c r="A338" s="133" t="str">
        <x:f>IF(H338="Completed","✓",IF(H338="Blocked","!",""))</x:f>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inlineStr">
        <x:is>
          <x:t xml:space="preserve">Not Started</x:t>
        </x:is>
      </x:c>
      <x:c r="I338" s="133" t="str"/>
      <x:c r="J338" s="133" t="str"/>
      <x:c r="K338" s="133" t="inlineStr">
        <x:is>
          <x:t xml:space="preserve">13I-01</x:t>
        </x:is>
      </x:c>
      <x:c r="L338" s="133" t="str"/>
      <x:c r="M338" s="133" t="str"/>
      <x:c r="N338" s="249" t="n"/>
      <x:c r="O338" s="249" t="n"/>
      <x:c r="P338" s="135" t="str"/>
    </x:row>
    <x:row r="339">
      <x:c r="A339" s="133" t="str">
        <x:f>IF(H339="Completed","✓",IF(H339="Blocked","!",""))</x:f>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inlineStr">
        <x:is>
          <x:t xml:space="preserve">Not Started</x:t>
        </x:is>
      </x:c>
      <x:c r="I339" s="133" t="str"/>
      <x:c r="J339" s="133" t="str"/>
      <x:c r="K339" s="133" t="inlineStr">
        <x:is>
          <x:t xml:space="preserve">13I-03</x:t>
        </x:is>
      </x:c>
      <x:c r="L339" s="133" t="inlineStr">
        <x:is>
          <x:t xml:space="preserve">G12</x:t>
        </x:is>
      </x:c>
      <x:c r="M339" s="133" t="str"/>
      <x:c r="N339" s="249" t="n"/>
      <x:c r="O339" s="249" t="n"/>
      <x:c r="P339" s="135" t="str"/>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43adf4024b2f4bbc"/>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str">
        <x:v>Completed</x:v>
      </x:c>
      <x:c r="E9" s="133" t="str">
        <x:v>Project Owner / Engineering</x:v>
      </x:c>
      <x:c r="F9" s="133" t="str">
        <x:v>G4 CLOSED — Phase 5 core RFI/clarification implementation Tasks 5-01 through 5-11 are complete, including private respondent RFI create/read, issuer response, private visibility, server-side effective RFI deadline enforcement, formal Addendum escalation, acknowledgement governance, trusted Activity signaling and focused validation. The owner-approved 5-12 E2E timing deferral was subsequently fulfilled by Phase 18 production-like UAT: UAT-01/UAT-02 cover the canonical issuer/respondent RFI journey, UAT-09/UAT-10 verify before/after deadline behavior and forged late-write denial, and UAT-11/UAT-12/UAT-36 verify Addendum visibility/acknowledgement and governed amendment behavior.</x:v>
      </x:c>
      <x:c r="G9" s="249" t="n">
        <x:v>46295</x:v>
      </x:c>
      <x:c r="H9" s="32" t="str">
        <x:v>G4 CLOSED. The prior 5-12 test-timing deferral is satisfied by accepted Phase 18 UAT evidence and is no longer a gate blocker. Reopen only for a verified RFI/Addendum defect, a changed requirement, or a materially relevant implementation change.</x:v>
      </x:c>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str">
        <x:v>In Progress</x:v>
      </x:c>
      <x:c r="E12" s="133" t="str">
        <x:v>Project Owner / Engineering</x:v>
      </x:c>
      <x:c r="F12" s="133" t="str">
        <x:v>G7 REVIEWED — Existing intelligence permission/provenance foundations are strong and published: Phase 8 intelligence inventory/truthfulness/provenance/confidence/permission inheritance/security tests are complete; SEC-12 confirms intelligence cannot bypass authorization; Phase 18 Tasks 18-13 through 18-21 verify deadline-locked commercial intelligence, platform-wide redaction, authoritative quote-row isolation, communications/audit confidentiality and cross-type regression. However, launch-plan P0 Ask Nexus work remains incomplete: 13G-02 authorized page/workflow context and 13G-08 permission-inheritance testing are Not Started.</x:v>
      </x:c>
      <x:c r="G12" s="249"/>
      <x:c r="H12" s="32" t="str">
        <x:v>SIGN-OFF PENDING — G7 cannot close while the planned Ask Nexus launch surface lacks its authorized-context implementation and permission-inheritance test evidence. Do not reopen completed Phase 8/12/18 intelligence-security work unless a verified defect or relevant implementation change is found.</x:v>
      </x:c>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str">
        <x:v>Completed</x:v>
      </x:c>
      <x:c r="E13" s="133" t="str">
        <x:v>Project Owner / Engineering</x:v>
      </x:c>
      <x:c r="F13" s="133" t="str">
        <x:v>G8 CLOSED — Phase 14 Tasks 14-01 through 14-09 are published complete and cover RFQ Invitation delivery, existing-invite resend semantics, signup/login/company-onboarding continuation, Private RFI response notification, Addendum notification, quotation confirmation, Award notification, expired/closed behavior, and sent/skipped/failed delivery diagnostics. Phase 18 adds accepted runtime/governance evidence: canonical respondent invitation/auth continuation, Addendum notification/acknowledgement, communications/audit commercial-confidentiality hardening in 18-20, and material-amendment respondent communication in 18-25.</x:v>
      </x:c>
      <x:c r="G13" s="249" t="n">
        <x:v>46295</x:v>
      </x:c>
      <x:c r="H13" s="32" t="str">
        <x:v>G8 CLOSED. Email delivery remains best-effort where designed and does not redefine authoritative procurement persistence. Reopen only for a verified communication defect, configuration requirement change, or materially relevant email-flow change.</x:v>
      </x:c>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str">
        <x:v>Completed</x:v>
      </x:c>
      <x:c r="E16" s="133" t="str">
        <x:v>Project Owner / Engineering</x:v>
      </x:c>
      <x:c r="F16" s="133" t="str">
        <x:v>G11 CLOSED — Phase 20 Launch Documentation is complete 12/12. The published documentation set covers Getting Started, Company Workspace creation, RFQ creation, RFQ Invitation, respondent access, Private RFI, quotation submission/revalidation, issuer evaluation, Contract Award, Roles &amp; Permissions, FAQ &amp; Support, and Privacy/Security. A final internal-consistency review verified the company/product boundary, Workspace Membership vs RFQ Invitation distinction, deadline-locked commercial opening across all current sourcing methods, respondent confidentiality, recommendation vs Award separation, Owner/Admin award authority, corporate support channel, and absence of personal Gmail / rejected product-name references.</x:v>
      </x:c>
      <x:c r="G16" s="249" t="n">
        <x:v>46295</x:v>
      </x:c>
      <x:c r="H16" s="32" t="str">
        <x:v>G11 CLOSED. Reopen only for a verified documentation defect, implementation change that materially affects launch guidance, or changed requirement. Closure does not authorize Production cutover and does not close the remaining independent launch gates.</x:v>
      </x:c>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Completed</x:v>
      </x:c>
      <x:c r="E17" s="133" t="str">
        <x:v>Project Owner / Engineering</x:v>
      </x:c>
      <x:c r="F17" s="133" t="str">
        <x:v>G12 CLOSED — Phase 19 Tasks 19-01 through 19-04 established and verified the launch marketing boundary. Public claims map to implemented capability; Company Workspace → Procurement Center architecture is explicit; Available Now vs Planned is separated; and final launch positioning is evidence-backed, non-autonomous and consistent with current product capability. Final 19-04 read-only claim-consistency audit completed on published HEAD 3864da77397e375667007a92ddad0db4baa0df58.</x:v>
      </x:c>
      <x:c r="G17" s="249" t="n">
        <x:v>46295</x:v>
      </x:c>
      <x:c r="H17" s="32" t="str">
        <x:v>G12 certifies marketing-claim accuracy only. 19-05 screenshots, 19-06 sales workflow story and 19-07 investor platform story remain independent Phase 19 work and do not reopen G12 unless they introduce a materially new public claim.</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is complete (UAT-01 through UAT-38 PASS; 18-28 closed). 21-02 post-UAT evidence reconciliation is closed. 21-03 RC validation is also complete on RC-2026-09-30-c924305 + controlled 26-file candidate patch over base c92430562fbdea9c418f1783e66c77ece381d25a: launch regression 943/943, full suite 1746/1746, lint PASS, production build PASS with 70/70 pages, diff-check PASS. The candidate patch remains unpublished/uncommitted. G13 is still not complete because G7/G10A, known-risk/deferral review, monitoring/watch-plan readiness and explicit Production Go/No-Go remain outstanding.</x:v>
      </x:c>
      <x:c r="G18" s="294" t="n">
        <x:v>46294</x:v>
      </x:c>
      <x:c r="H18" s="34" t="str">
        <x:v>21-03 RC validation complete. Keep G13 BLOCKED. Do not infer Production approval or source publication from the validated candidate. Next: 21-04 must reconcile remaining gates, risks/deferrals, release checklist, monitoring/watch plan and explicit Go/No-Go.</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str">
        <x:v>In Progress</x:v>
      </x:c>
      <x:c r="E19" t="str">
        <x:v>Project Owner / Product / Engineering</x:v>
      </x:c>
      <x:c r="F19" t="str">
        <x:v>G10A REVIEWED — Significant enterprise-experience evidence is already published, including the shared dark-first executive design foundation, Corporate Public Gateway 13D0-01 through 13D0-11, responsive/accessibility work, restrained motion on completed surfaces, canonical brand treatment and focused visual QA. The gate is not ready for sign-off because the dedicated 13I UI 9.5 Quality Gate remains Not Started: final core-page rescoring, no-critical-page-below-9.0 check, weighted average &gt;= 9.5, dark consistency, motion consistency, motion/accessibility regression, UI performance regression, brand/footer consistency, final screenshots and Enterprise Experience sign-off remain outstanding.</x:v>
      </x:c>
      <x:c r="G19" s="252"/>
      <x:c r="H19" t="str">
        <x:v>SIGN-OFF PENDING — complete 13I-01 through 13I-10 under the existing Master Plan before G10A closure. Do not infer final enterprise UI readiness from the already-completed Corporate Public Gateway or G10 accessibility/performance gate alone.</x:v>
      </x:c>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f474f69ee2434e38"/>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276</x:v>
      </x:c>
      <x:c r="D6" s="133" t="inlineStr">
        <x:is>
          <x:t xml:space="preserve">G0A — Corporate platform architecture ready</x:t>
        </x:is>
      </x:c>
      <x:c r="E6" s="32" t="str">
        <x:f>'03 Launch Gates'!D20</x:f>
        <x:v>Completed</x:v>
      </x:c>
      <x:c r="G6" t="inlineStr">
        <x:is>
          <x:t xml:space="preserve">UI Tasks Complete</x:t>
        </x:is>
      </x:c>
      <x:c r="H6" t="n">
        <x:f>SUM(B36:B46)</x:f>
        <x:v>54</x:v>
      </x:c>
    </x:row>
    <x:row r="7">
      <x:c r="A7" s="50" t="inlineStr">
        <x:is>
          <x:t xml:space="preserve">In Progress</x:t>
        </x:is>
      </x:c>
      <x:c r="B7" s="56" t="n">
        <x:f>COUNTIF('01 Master Plan'!H5:H383,"In Progress")</x:f>
        <x:v>0</x:v>
      </x:c>
      <x:c r="D7" s="133" t="inlineStr">
        <x:is>
          <x:t xml:space="preserve">G1 — Existing capabilities inventoried</x:t>
        </x:is>
      </x:c>
      <x:c r="E7" s="32" t="str">
        <x:f>'03 Launch Gates'!D6</x:f>
        <x:v>Completed</x:v>
      </x:c>
      <x:c r="G7" t="inlineStr">
        <x:is>
          <x:t xml:space="preserve">Pages Scored</x:t>
        </x:is>
      </x:c>
      <x:c r="H7" t="n">
        <x:f>'14 UI Scorecard'!T5</x:f>
        <x:v>11</x:v>
      </x:c>
    </x:row>
    <x:row r="8">
      <x:c r="A8" s="50" t="inlineStr">
        <x:is>
          <x:t xml:space="preserve">Blocked</x:t>
        </x:is>
      </x:c>
      <x:c r="B8" s="56" t="n">
        <x:f>COUNTIF('01 Master Plan'!H5:H383,"Blocked")</x:f>
        <x:v>0</x:v>
      </x:c>
      <x:c r="D8" s="133" t="inlineStr">
        <x:is>
          <x:t xml:space="preserve">G2 — Navigation &amp; terminology aligned</x:t>
        </x:is>
      </x:c>
      <x:c r="E8" s="32" t="str">
        <x:f>'03 Launch Gates'!D7</x:f>
        <x:v>Completed</x:v>
      </x:c>
      <x:c r="G8" t="inlineStr">
        <x:is>
          <x:t xml:space="preserve">Average UI Score</x:t>
        </x:is>
      </x:c>
      <x:c r="H8" s="253" t="n">
        <x:f>'14 UI Scorecard'!T6</x:f>
        <x:v>6.509090909090909</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9</x:v>
      </x:c>
    </x:row>
    <x:row r="10">
      <x:c r="A10" s="50" t="inlineStr">
        <x:is>
          <x:t xml:space="preserve">Overall Progress</x:t>
        </x:is>
      </x:c>
      <x:c r="B10" s="254" t="n">
        <x:f>IFERROR((COUNTIF('01 Master Plan'!H5:H383,"Completed")+COUNTIF('01 Master Plan'!H5:H383,"Complete"))/(COUNTA('01 Master Plan'!B5:B383)-COUNTIF('01 Master Plan'!H5:H383,"Deferred")),0)</x:f>
        <x:v>0.7520435967302452</x:v>
      </x:c>
      <x:c r="D10" s="133" t="inlineStr">
        <x:is>
          <x:t xml:space="preserve">G4 — RFI lifecycle launch-ready</x:t>
        </x:is>
      </x:c>
      <x:c r="E10" s="32" t="str">
        <x:f>'03 Launch Gates'!D9</x:f>
        <x:v>Completed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0.7818181818181819</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0</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13</x:v>
      </x:c>
      <x:c r="D13" s="133" t="inlineStr">
        <x:is>
          <x:t xml:space="preserve">G7 — Intelligence permissions verified</x:t>
        </x:is>
      </x:c>
      <x:c r="E13" s="32" t="str">
        <x:f>'03 Launch Gates'!D12</x:f>
        <x:v>In Progress</x:v>
      </x:c>
    </x:row>
    <x:row r="14">
      <x:c r="A14" s="51" t="inlineStr">
        <x:is>
          <x:t xml:space="preserve">Launch Gates Total</x:t>
        </x:is>
      </x:c>
      <x:c r="B14" s="58" t="n">
        <x:f>COUNTA('03 Launch Gates'!A5:A20)</x:f>
        <x:v>16</x:v>
      </x:c>
      <x:c r="D14" s="133" t="inlineStr">
        <x:is>
          <x:t xml:space="preserve">G8 — Email journey pass</x:t>
        </x:is>
      </x:c>
      <x:c r="E14" s="32" t="str">
        <x:f>'03 Launch Gates'!D13</x:f>
        <x:v>Completed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In Progress</x:v>
      </x:c>
    </x:row>
    <x:row r="18" s="124" customFormat="1" ht="28" customHeight="1">
      <x:c r="A18" s="21" t="n"/>
      <x:c r="B18" s="21" t="n"/>
      <x:c r="C18" s="21" t="n"/>
      <x:c r="D18" s="122" t="inlineStr">
        <x:is>
          <x:t xml:space="preserve">G11 — Documentation ready</x:t>
        </x:is>
      </x:c>
      <x:c r="E18" s="123" t="str">
        <x:f>'03 Launch Gates'!D16</x:f>
        <x:v>Completed</x:v>
      </x:c>
      <x:c r="F18" s="21" t="n"/>
      <x:c r="G18" s="21" t="n"/>
    </x:row>
    <x:row r="19">
      <x:c r="A19" s="133" t="n"/>
      <x:c r="B19" s="133" t="n"/>
      <x:c r="C19" s="133" t="n"/>
      <x:c r="D19" s="133" t="inlineStr">
        <x:is>
          <x:t xml:space="preserve">G12 — Marketing claims verified</x:t>
        </x:is>
      </x:c>
      <x:c r="E19" s="133" t="str">
        <x:f>'03 Launch Gates'!D17</x:f>
        <x:v>Completed</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10</x:v>
      </x:c>
      <x:c r="C36" s="133" t="n">
        <x:f>COUNTIFS('01 Master Plan'!C$5:C$383,A36,'01 Master Plan'!H$5:H$383,"In Progress")</x:f>
        <x:v>0</x:v>
      </x:c>
      <x:c r="D36" s="133" t="n">
        <x:f>COUNTIFS('01 Master Plan'!C$5:C$383,A36,'01 Master Plan'!H$5:H$383,"Not Started")</x:f>
        <x:v>0</x:v>
      </x:c>
      <x:c r="E36" s="133" t="n">
        <x:f>COUNTIFS('01 Master Plan'!C$5:C$383,A36,'01 Master Plan'!H$5:H$383,"Blocked")</x:f>
        <x:v>0</x:v>
      </x:c>
      <x:c r="F36" s="133" t="n">
        <x:f>COUNTIFS('01 Master Plan'!C$5:C$383,A36,'01 Master Plan'!H$5:H$383,"Deferred")</x:f>
        <x:v>0</x:v>
      </x:c>
      <x:c r="G36" s="255" t="n">
        <x:f>IFERROR(B36/(B36+C36+D36+E36),0)</x:f>
        <x:v>1</x:v>
      </x:c>
    </x:row>
    <x:row r="37">
      <x:c r="A37" s="133" t="inlineStr">
        <x:is>
          <x:t xml:space="preserve">13B Dark Design System Foundation</x:t>
        </x:is>
      </x:c>
      <x:c r="B37" s="133" t="n">
        <x:f>COUNTIFS('01 Master Plan'!C$5:C$383,A37,'01 Master Plan'!H$5:H$383,"Completed")+COUNTIFS('01 Master Plan'!C$5:C$383,A37,'01 Master Plan'!H$5:H$383,"Complete")</x:f>
        <x:v>12</x:v>
      </x:c>
      <x:c r="C37" s="133" t="n">
        <x:f>COUNTIFS('01 Master Plan'!C$5:C$383,A37,'01 Master Plan'!H$5:H$383,"In Progress")</x:f>
        <x:v>0</x:v>
      </x:c>
      <x:c r="D37" s="133" t="n">
        <x:f>COUNTIFS('01 Master Plan'!C$5:C$383,A37,'01 Master Plan'!H$5:H$383,"Not Started")</x:f>
        <x:v>0</x:v>
      </x:c>
      <x:c r="E37" s="133" t="n">
        <x:f>COUNTIFS('01 Master Plan'!C$5:C$383,A37,'01 Master Plan'!H$5:H$383,"Blocked")</x:f>
        <x:v>0</x:v>
      </x:c>
      <x:c r="F37" s="133" t="n">
        <x:f>COUNTIFS('01 Master Plan'!C$5:C$383,A37,'01 Master Plan'!H$5:H$383,"Deferred")</x:f>
        <x:v>0</x:v>
      </x:c>
      <x:c r="G37" s="255" t="n">
        <x:f>IFERROR(B37/(B37+C37+D37+E37),0)</x:f>
        <x:v>1</x:v>
      </x:c>
    </x:row>
    <x:row r="38">
      <x:c r="A38" s="133" t="inlineStr">
        <x:is>
          <x:t xml:space="preserve">13C Shared Enterprise Components</x:t>
        </x:is>
      </x:c>
      <x:c r="B38" s="133" t="n">
        <x:f>COUNTIFS('01 Master Plan'!C$5:C$383,A38,'01 Master Plan'!H$5:H$383,"Completed")+COUNTIFS('01 Master Plan'!C$5:C$383,A38,'01 Master Plan'!H$5:H$383,"Complete")</x:f>
        <x:v>7</x:v>
      </x:c>
      <x:c r="C38" s="133" t="n">
        <x:f>COUNTIFS('01 Master Plan'!C$5:C$383,A38,'01 Master Plan'!H$5:H$383,"In Progress")</x:f>
        <x:v>0</x:v>
      </x:c>
      <x:c r="D38" s="133" t="n">
        <x:f>COUNTIFS('01 Master Plan'!C$5:C$383,A38,'01 Master Plan'!H$5:H$383,"Not Started")</x:f>
        <x:v>10</x:v>
      </x:c>
      <x:c r="E38" s="133" t="n">
        <x:f>COUNTIFS('01 Master Plan'!C$5:C$383,A38,'01 Master Plan'!H$5:H$383,"Blocked")</x:f>
        <x:v>0</x:v>
      </x:c>
      <x:c r="F38" s="133" t="n">
        <x:f>COUNTIFS('01 Master Plan'!C$5:C$383,A38,'01 Master Plan'!H$5:H$383,"Deferred")</x:f>
        <x:v>0</x:v>
      </x:c>
      <x:c r="G38" s="255" t="n">
        <x:f>IFERROR(B38/(B38+C38+D38+E38),0)</x:f>
        <x:v>0.4117647058823529</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0</x:v>
      </x:c>
      <x:c r="C40" s="162" t="n">
        <x:f>COUNTIFS('01 Master Plan'!C$5:C$383,A40,'01 Master Plan'!H$5:H$383,"In Progress")</x:f>
        <x:v>0</x:v>
      </x:c>
      <x:c r="D40" s="162" t="n">
        <x:f>COUNTIFS('01 Master Plan'!C$5:C$383,A40,'01 Master Plan'!H$5:H$383,"Not Started")</x:f>
        <x:v>10</x:v>
      </x:c>
      <x:c r="E40" s="162" t="n">
        <x:f>COUNTIFS('01 Master Plan'!C$5:C$383,A40,'01 Master Plan'!H$5:H$383,"Blocked")</x:f>
        <x:v>0</x:v>
      </x:c>
      <x:c r="F40" s="162" t="n">
        <x:f>COUNTIFS('01 Master Plan'!C$5:C$383,A40,'01 Master Plan'!H$5:H$383,"Deferred")</x:f>
        <x:v>0</x:v>
      </x:c>
      <x:c r="G40" s="257" t="n">
        <x:f>IFERROR(B40/(B40+C40+D40+E40),0)</x:f>
        <x:v>0</x:v>
      </x:c>
    </x:row>
    <x:row r="41">
      <x:c r="A41" s="133" t="inlineStr">
        <x:is>
          <x:t xml:space="preserve">13E Motion &amp; Completion System</x:t>
        </x:is>
      </x:c>
      <x:c r="B41" s="133" t="n">
        <x:f>COUNTIFS('01 Master Plan'!C$5:C$383,A41,'01 Master Plan'!H$5:H$383,"Completed")+COUNTIFS('01 Master Plan'!C$5:C$383,A41,'01 Master Plan'!H$5:H$383,"Complete")</x:f>
        <x:v>0</x:v>
      </x:c>
      <x:c r="C41" s="133" t="n">
        <x:f>COUNTIFS('01 Master Plan'!C$5:C$383,A41,'01 Master Plan'!H$5:H$383,"In Progress")</x:f>
        <x:v>0</x:v>
      </x:c>
      <x:c r="D41" s="133" t="n">
        <x:f>COUNTIFS('01 Master Plan'!C$5:C$383,A41,'01 Master Plan'!H$5:H$383,"Not Started")</x:f>
        <x:v>13</x:v>
      </x:c>
      <x:c r="E41" s="133" t="n">
        <x:f>COUNTIFS('01 Master Plan'!C$5:C$383,A41,'01 Master Plan'!H$5:H$383,"Blocked")</x:f>
        <x:v>0</x:v>
      </x:c>
      <x:c r="F41" s="133" t="n">
        <x:f>COUNTIFS('01 Master Plan'!C$5:C$383,A41,'01 Master Plan'!H$5:H$383,"Deferred")</x:f>
        <x:v>0</x:v>
      </x:c>
      <x:c r="G41" s="255" t="n">
        <x:f>IFERROR(B41/(B41+C41+D41+E41),0)</x:f>
        <x:v>0</x:v>
      </x:c>
    </x:row>
    <x:row r="42">
      <x:c r="A42" s="133" t="inlineStr">
        <x:is>
          <x:t xml:space="preserve">13F Contextual Guidance Framework</x:t>
        </x:is>
      </x:c>
      <x:c r="B42" s="133" t="n">
        <x:f>COUNTIFS('01 Master Plan'!C$5:C$383,A42,'01 Master Plan'!H$5:H$383,"Completed")+COUNTIFS('01 Master Plan'!C$5:C$383,A42,'01 Master Plan'!H$5:H$383,"Complete")</x:f>
        <x:v>0</x:v>
      </x:c>
      <x:c r="C42" s="133" t="n">
        <x:f>COUNTIFS('01 Master Plan'!C$5:C$383,A42,'01 Master Plan'!H$5:H$383,"In Progress")</x:f>
        <x:v>0</x:v>
      </x:c>
      <x:c r="D42" s="133" t="n">
        <x:f>COUNTIFS('01 Master Plan'!C$5:C$383,A42,'01 Master Plan'!H$5:H$383,"Not Started")</x:f>
        <x:v>14</x:v>
      </x:c>
      <x:c r="E42" s="133" t="n">
        <x:f>COUNTIFS('01 Master Plan'!C$5:C$383,A42,'01 Master Plan'!H$5:H$383,"Blocked")</x:f>
        <x:v>0</x:v>
      </x:c>
      <x:c r="F42" s="133" t="n">
        <x:f>COUNTIFS('01 Master Plan'!C$5:C$383,A42,'01 Master Plan'!H$5:H$383,"Deferred")</x:f>
        <x:v>0</x:v>
      </x:c>
      <x:c r="G42" s="255" t="n">
        <x:f>IFERROR(B42/(B42+C42+D42+E42),0)</x:f>
        <x:v>0</x:v>
      </x:c>
    </x:row>
    <x:row r="43">
      <x:c r="A43" s="162" t="inlineStr">
        <x:is>
          <x:t xml:space="preserve">13G Ask Nexus Interactive Help</x:t>
        </x:is>
      </x:c>
      <x:c r="B43" s="162" t="n">
        <x:f>COUNTIFS('01 Master Plan'!C$5:C$383,A43,'01 Master Plan'!H$5:H$383,"Completed")+COUNTIFS('01 Master Plan'!C$5:C$383,A43,'01 Master Plan'!H$5:H$383,"Complete")</x:f>
        <x:v>0</x:v>
      </x:c>
      <x:c r="C43" s="162" t="n">
        <x:f>COUNTIFS('01 Master Plan'!C$5:C$383,A43,'01 Master Plan'!H$5:H$383,"In Progress")</x:f>
        <x:v>0</x:v>
      </x:c>
      <x:c r="D43" s="162" t="n">
        <x:f>COUNTIFS('01 Master Plan'!C$5:C$383,A43,'01 Master Plan'!H$5:H$383,"Not Started")</x:f>
        <x:v>10</x:v>
      </x:c>
      <x:c r="E43" s="162" t="n">
        <x:f>COUNTIFS('01 Master Plan'!C$5:C$383,A43,'01 Master Plan'!H$5:H$383,"Blocked")</x:f>
        <x:v>0</x:v>
      </x:c>
      <x:c r="F43" s="162" t="n">
        <x:f>COUNTIFS('01 Master Plan'!C$5:C$383,A43,'01 Master Plan'!H$5:H$383,"Deferred")</x:f>
        <x:v>0</x:v>
      </x:c>
      <x:c r="G43" s="257" t="n">
        <x:f>IFERROR(B43/(B43+C43+D43+E43),0)</x:f>
        <x:v>0</x:v>
      </x:c>
    </x:row>
    <x:row r="44">
      <x:c r="A44" s="28" t="inlineStr">
        <x:is>
          <x:t xml:space="preserve">13H Page-by-Page UI Upgrade</x:t>
        </x:is>
      </x:c>
      <x:c r="B44" s="28" t="n">
        <x:f>COUNTIFS('01 Master Plan'!C$5:C$383,A44,'01 Master Plan'!H$5:H$383,"Completed")+COUNTIFS('01 Master Plan'!C$5:C$383,A44,'01 Master Plan'!H$5:H$383,"Complete")</x:f>
        <x:v>0</x:v>
      </x:c>
      <x:c r="C44" s="28" t="n">
        <x:f>COUNTIFS('01 Master Plan'!C$5:C$383,A44,'01 Master Plan'!H$5:H$383,"In Progress")</x:f>
        <x:v>0</x:v>
      </x:c>
      <x:c r="D44" s="28" t="n">
        <x:f>COUNTIFS('01 Master Plan'!C$5:C$383,A44,'01 Master Plan'!H$5:H$383,"Not Started")</x:f>
        <x:v>20</x:v>
      </x:c>
      <x:c r="E44" s="28" t="n">
        <x:f>COUNTIFS('01 Master Plan'!C$5:C$383,A44,'01 Master Plan'!H$5:H$383,"Blocked")</x:f>
        <x:v>0</x:v>
      </x:c>
      <x:c r="F44" s="28" t="n">
        <x:f>COUNTIFS('01 Master Plan'!C$5:C$383,A44,'01 Master Plan'!H$5:H$383,"Deferred")</x:f>
        <x:v>0</x:v>
      </x:c>
      <x:c r="G44" s="258" t="n">
        <x:f>IFERROR(B44/(B44+C44+D44+E44),0)</x:f>
        <x:v>0</x:v>
      </x:c>
    </x:row>
    <x:row r="45">
      <x:c r="A45" s="28" t="inlineStr">
        <x:is>
          <x:t xml:space="preserve">13I UI 9.5 Quality Gate</x:t>
        </x:is>
      </x:c>
      <x:c r="B45" s="28" t="n">
        <x:f>COUNTIFS('01 Master Plan'!C$5:C$383,A45,'01 Master Plan'!H$5:H$383,"Completed")+COUNTIFS('01 Master Plan'!C$5:C$383,A45,'01 Master Plan'!H$5:H$383,"Complete")</x:f>
        <x:v>0</x:v>
      </x:c>
      <x:c r="C45" s="28" t="n">
        <x:f>COUNTIFS('01 Master Plan'!C$5:C$383,A45,'01 Master Plan'!H$5:H$383,"In Progress")</x:f>
        <x:v>0</x:v>
      </x:c>
      <x:c r="D45" s="28" t="n">
        <x:f>COUNTIFS('01 Master Plan'!C$5:C$383,A45,'01 Master Plan'!H$5:H$383,"Not Started")</x:f>
        <x:v>10</x:v>
      </x:c>
      <x:c r="E45" s="28" t="n">
        <x:f>COUNTIFS('01 Master Plan'!C$5:C$383,A45,'01 Master Plan'!H$5:H$383,"Blocked")</x:f>
        <x:v>0</x:v>
      </x:c>
      <x:c r="F45" s="28" t="n">
        <x:f>COUNTIFS('01 Master Plan'!C$5:C$383,A45,'01 Master Plan'!H$5:H$383,"Deferred")</x:f>
        <x:v>0</x:v>
      </x:c>
      <x:c r="G45" s="258" t="n">
        <x:f>IFERROR(B45/(B45+C45+D45+E45),0)</x:f>
        <x:v>0</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7</x:v>
      </x:c>
      <x:c r="C52" s="28" t="n">
        <x:f>COUNTIFS('01 Master Plan'!C$5:C$383,A52,'01 Master Plan'!H$5:H$383,"In Progress")</x:f>
        <x:v>0</x:v>
      </x:c>
      <x:c r="D52" s="28" t="n">
        <x:f>COUNTIFS('01 Master Plan'!C$5:C$383,A52,'01 Master Plan'!H$5:H$383,"Not Started")</x:f>
        <x:v>0</x:v>
      </x:c>
      <x:c r="E52" s="28" t="n">
        <x:f>COUNTIFS('01 Master Plan'!C$5:C$383,A52,'01 Master Plan'!H$5:H$383,"Blocked")</x:f>
        <x:v>0</x:v>
      </x:c>
      <x:c r="F52" s="28" t="n">
        <x:f>COUNTIFS('01 Master Plan'!C$5:C$383,A52,'01 Master Plan'!H$5:H$383,"Deferred")</x:f>
        <x:v>0</x:v>
      </x:c>
      <x:c r="G52" s="258" t="n">
        <x:f>IFERROR(B52/(B52+C52+D52+E52),0)</x:f>
        <x:v>1</x:v>
      </x:c>
    </x:row>
    <x:row r="53">
      <x:c r="A53" s="28" t="inlineStr">
        <x:is>
          <x:t xml:space="preserve">20 Launch Documentation</x:t>
        </x:is>
      </x:c>
      <x:c r="B53" s="28" t="n">
        <x:f>COUNTIFS('01 Master Plan'!C$5:C$383,A53,'01 Master Plan'!H$5:H$383,"Completed")+COUNTIFS('01 Master Plan'!C$5:C$383,A53,'01 Master Plan'!H$5:H$383,"Complete")</x:f>
        <x:v>12</x:v>
      </x:c>
      <x:c r="C53" s="28" t="n">
        <x:f>COUNTIFS('01 Master Plan'!C$5:C$383,A53,'01 Master Plan'!H$5:H$383,"In Progress")</x:f>
        <x:v>0</x:v>
      </x:c>
      <x:c r="D53" s="28" t="n">
        <x:f>COUNTIFS('01 Master Plan'!C$5:C$383,A53,'01 Master Plan'!H$5:H$383,"Not Started")</x:f>
        <x:v>0</x:v>
      </x:c>
      <x:c r="E53" s="28" t="n">
        <x:f>COUNTIFS('01 Master Plan'!C$5:C$383,A53,'01 Master Plan'!H$5:H$383,"Blocked")</x:f>
        <x:v>0</x:v>
      </x:c>
      <x:c r="F53" s="28" t="n">
        <x:f>COUNTIFS('01 Master Plan'!C$5:C$383,A53,'01 Master Plan'!H$5:H$383,"Deferred")</x:f>
        <x:v>0</x:v>
      </x:c>
      <x:c r="G53" s="258" t="n">
        <x:f>IFERROR(B53/(B53+C53+D53+E53),0)</x:f>
        <x:v>1</x:v>
      </x:c>
    </x:row>
    <x:row r="54">
      <x:c r="A54" s="28" t="inlineStr">
        <x:is>
          <x:t xml:space="preserve">21 Final Launch Gate</x:t>
        </x:is>
      </x:c>
      <x:c r="B54" s="28" t="n">
        <x:f>COUNTIFS('01 Master Plan'!C$5:C$383,A54,'01 Master Plan'!H$5:H$383,"Completed")+COUNTIFS('01 Master Plan'!C$5:C$383,A54,'01 Master Plan'!H$5:H$383,"Complete")</x:f>
        <x:v>3</x:v>
      </x:c>
      <x:c r="C54" s="28" t="n">
        <x:f>COUNTIFS('01 Master Plan'!C$5:C$383,A54,'01 Master Plan'!H$5:H$383,"In Progress")</x:f>
        <x:v>0</x:v>
      </x:c>
      <x:c r="D54" s="28" t="n">
        <x:f>COUNTIFS('01 Master Plan'!C$5:C$383,A54,'01 Master Plan'!H$5:H$383,"Not Started")</x:f>
        <x:v>3</x:v>
      </x:c>
      <x:c r="E54" s="28" t="n">
        <x:f>COUNTIFS('01 Master Plan'!C$5:C$383,A54,'01 Master Plan'!H$5:H$383,"Blocked")</x:f>
        <x:v>0</x:v>
      </x:c>
      <x:c r="F54" s="28" t="n">
        <x:f>COUNTIFS('01 Master Plan'!C$5:C$383,A54,'01 Master Plan'!H$5:H$383,"Deferred")</x:f>
        <x:v>0</x:v>
      </x:c>
      <x:c r="G54" s="258" t="n">
        <x:f>IFERROR(B54/(B54+C54+D54+E54),0)</x:f>
        <x:v>0.5</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6d408c9b89854491"/>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7503aab09fb04ec3"/>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d7db7b13f9d7479a"/>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ccf47eca825346af"/>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c098e9b295424a07"/>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str">
        <x:v>Completed</x:v>
      </x:c>
      <x:c r="E5" s="133" t="str">
        <x:v>Project Owner</x:v>
      </x:c>
      <x:c r="F5" s="133" t="str">
        <x:v>G0, G1 and G2 are Completed with architecture freeze, repository/capability inventory and enterprise navigation/terminology evidence recorded in Launch Gates.</x:v>
      </x:c>
      <x:c r="G5" s="133" t="str">
        <x:v>G0/G1/G2</x:v>
      </x:c>
      <x:c r="H5" s="249" t="n">
        <x:v>46295</x:v>
      </x:c>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str">
        <x:v>Completed</x:v>
      </x:c>
      <x:c r="E8" s="133" t="str">
        <x:v>Project Owner / Engineering</x:v>
      </x:c>
      <x:c r="F8" s="133" t="str">
        <x:v>G4 CLOSED in 21-01 reconciliation: Phase 5 RFI core complete and Phase 18 UAT-01/02/09/10/11/12/36 satisfy create/respond/deadline/visibility/Addendum evidence.</x:v>
      </x:c>
      <x:c r="G8" s="133" t="str">
        <x:v>G4</x:v>
      </x:c>
      <x:c r="H8" s="249" t="n">
        <x:v>46295</x:v>
      </x:c>
      <x:c r="I8" s="32" t="str"/>
    </x:row>
    <x:row r="9">
      <x:c r="A9" s="133" t="inlineStr">
        <x:is>
          <x:t xml:space="preserve">Activity</x:t>
        </x:is>
      </x:c>
      <x:c r="B9" s="133" t="inlineStr">
        <x:is>
          <x:t xml:space="preserve">Activity Center lifecycle events pass</x:t>
        </x:is>
      </x:c>
      <x:c r="C9" s="133" t="inlineStr">
        <x:is>
          <x:t xml:space="preserve">P0</x:t>
        </x:is>
      </x:c>
      <x:c r="D9" s="133" t="str">
        <x:v>Completed</x:v>
      </x:c>
      <x:c r="E9" s="133" t="str">
        <x:v>Project Owner</x:v>
      </x:c>
      <x:c r="F9" s="133" t="str">
        <x:v>G3 is Completed; Phase 6 Activity Center evidence plus Phase 18 UAT-12 verifies Invitation/RFI/Quote/Addendum/Award lifecycle signaling.</x:v>
      </x:c>
      <x:c r="G9" s="133" t="str">
        <x:v>G3</x:v>
      </x:c>
      <x:c r="H9" s="249" t="n">
        <x:v>46295</x:v>
      </x:c>
      <x:c r="I9" s="32" t="str"/>
    </x:row>
    <x:row r="10">
      <x:c r="A10" s="133" t="inlineStr">
        <x:is>
          <x:t xml:space="preserve">Security</x:t>
        </x:is>
      </x:c>
      <x:c r="B10" s="133" t="inlineStr">
        <x:is>
          <x:t xml:space="preserve">Security regression matrix passes</x:t>
        </x:is>
      </x:c>
      <x:c r="C10" s="133" t="inlineStr">
        <x:is>
          <x:t xml:space="preserve">P0</x:t>
        </x:is>
      </x:c>
      <x:c r="D10" s="133" t="str">
        <x:v>Completed</x:v>
      </x:c>
      <x:c r="E10" s="133" t="str">
        <x:v>Project Owner</x:v>
      </x:c>
      <x:c r="F10" s="133" t="str">
        <x:v>G6 is Completed; canonical SEC-01..SEC-14 security matrix, focused security validation, launch regression, lint/build and Phase 18 enforcement evidence are recorded.</x:v>
      </x:c>
      <x:c r="G10" s="133" t="str">
        <x:v>G6</x:v>
      </x:c>
      <x:c r="H10" s="249" t="n">
        <x:v>46295</x:v>
      </x:c>
      <x:c r="I10" s="32" t="str"/>
    </x:row>
    <x:row r="11">
      <x:c r="A11" s="133" t="inlineStr">
        <x:is>
          <x:t xml:space="preserve">Intelligence</x:t>
        </x:is>
      </x:c>
      <x:c r="B11" s="133" t="inlineStr">
        <x:is>
          <x:t xml:space="preserve">Issuer/respondent intelligence isolation verified</x:t>
        </x:is>
      </x:c>
      <x:c r="C11" s="133" t="inlineStr">
        <x:is>
          <x:t xml:space="preserve">P0</x:t>
        </x:is>
      </x:c>
      <x:c r="D11" s="133" t="str">
        <x:v>In Progress</x:v>
      </x:c>
      <x:c r="E11" s="133" t="str">
        <x:v>Project Owner / Engineering</x:v>
      </x:c>
      <x:c r="F11" s="133" t="str">
        <x:v>Core intelligence isolation/provenance is verified by Phase 8, SEC-12 and Phase 18 commercial-confidentiality enforcement. G7 remains open because Ask Nexus 13G-02 and 13G-08 P0 permission-context work is Not Started.</x:v>
      </x:c>
      <x:c r="G11" s="133" t="str">
        <x:v>G7</x:v>
      </x:c>
      <x:c r="H11" s="249"/>
      <x:c r="I11" s="32" t="str"/>
    </x:row>
    <x:row r="12">
      <x:c r="A12" s="133" t="inlineStr">
        <x:is>
          <x:t xml:space="preserve">Email</x:t>
        </x:is>
      </x:c>
      <x:c r="B12" s="133" t="inlineStr">
        <x:is>
          <x:t xml:space="preserve">Invitation/resend/continuation pass</x:t>
        </x:is>
      </x:c>
      <x:c r="C12" s="133" t="inlineStr">
        <x:is>
          <x:t xml:space="preserve">P0</x:t>
        </x:is>
      </x:c>
      <x:c r="D12" s="133" t="str">
        <x:v>Completed</x:v>
      </x:c>
      <x:c r="E12" s="133" t="str">
        <x:v>Project Owner / Engineering</x:v>
      </x:c>
      <x:c r="F12" s="133" t="str">
        <x:v>G8 CLOSED: Phase 14 RFQ Invitation/resend/continuation implementation and validation are published complete, with accepted continuation/runtime evidence in Phase 18.</x:v>
      </x:c>
      <x:c r="G12" s="133" t="str">
        <x:v>G8</x:v>
      </x:c>
      <x:c r="H12" s="249" t="n">
        <x:v>46295</x:v>
      </x:c>
      <x:c r="I12" s="32" t="str"/>
    </x:row>
    <x:row r="13">
      <x:c r="A13" s="133" t="inlineStr">
        <x:is>
          <x:t xml:space="preserve">Email</x:t>
        </x:is>
      </x:c>
      <x:c r="B13" s="133" t="inlineStr">
        <x:is>
          <x:t xml:space="preserve">RFI/addendum/award communications verified</x:t>
        </x:is>
      </x:c>
      <x:c r="C13" s="133" t="inlineStr">
        <x:is>
          <x:t xml:space="preserve">P0</x:t>
        </x:is>
      </x:c>
      <x:c r="D13" s="133" t="str">
        <x:v>Completed</x:v>
      </x:c>
      <x:c r="E13" s="133" t="str">
        <x:v>Project Owner / Engineering</x:v>
      </x:c>
      <x:c r="F13" s="133" t="str">
        <x:v>G8 CLOSED: RFI response, Addendum, quotation and Award communications plus failure/config diagnostics are published complete; Phase 18 18-20/18-25 reinforce communication confidentiality and amendment notification.</x:v>
      </x:c>
      <x:c r="G13" s="133" t="str">
        <x:v>G8</x:v>
      </x:c>
      <x:c r="H13" s="249" t="n">
        <x:v>46295</x:v>
      </x:c>
      <x:c r="I13" s="32" t="str"/>
    </x:row>
    <x:row r="14">
      <x:c r="A14" s="133" t="inlineStr">
        <x:is>
          <x:t xml:space="preserve">Operations</x:t>
        </x:is>
      </x:c>
      <x:c r="B14" s="133" t="inlineStr">
        <x:is>
          <x:t xml:space="preserve">Production env vars verified</x:t>
        </x:is>
      </x:c>
      <x:c r="C14" s="133" t="inlineStr">
        <x:is>
          <x:t xml:space="preserve">P0</x:t>
        </x:is>
      </x:c>
      <x:c r="D14" s="133" t="str">
        <x:v>Completed</x:v>
      </x:c>
      <x:c r="E14" s="133" t="str">
        <x:v>Project Owner</x:v>
      </x:c>
      <x:c r="F14" s="133" t="str">
        <x:v>G9 is Completed; Phase 15 production environment/configuration audit is part of the published Production Operations &amp; Observability closeout.</x:v>
      </x:c>
      <x:c r="G14" s="133" t="str">
        <x:v>G9</x:v>
      </x:c>
      <x:c r="H14" s="249" t="n">
        <x:v>46295</x:v>
      </x:c>
      <x:c r="I14" s="32" t="str"/>
    </x:row>
    <x:row r="15">
      <x:c r="A15" s="133" t="inlineStr">
        <x:is>
          <x:t xml:space="preserve">Operations</x:t>
        </x:is>
      </x:c>
      <x:c r="B15" s="133" t="inlineStr">
        <x:is>
          <x:t xml:space="preserve">Error tracking/logging verified</x:t>
        </x:is>
      </x:c>
      <x:c r="C15" s="133" t="inlineStr">
        <x:is>
          <x:t xml:space="preserve">P0</x:t>
        </x:is>
      </x:c>
      <x:c r="D15" s="133" t="str">
        <x:v>Completed</x:v>
      </x:c>
      <x:c r="E15" s="133" t="str">
        <x:v>Project Owner</x:v>
      </x:c>
      <x:c r="F15" s="133" t="str">
        <x:v>G9 is Completed; Sentry error tracking, sanitized critical API failure reporting, email/event diagnostics and operational logging are published and verified.</x:v>
      </x:c>
      <x:c r="G15" s="133" t="str">
        <x:v>G9</x:v>
      </x:c>
      <x:c r="H15" s="249" t="n">
        <x:v>46295</x:v>
      </x:c>
      <x:c r="I15" s="32" t="str"/>
    </x:row>
    <x:row r="16">
      <x:c r="A16" s="133" t="inlineStr">
        <x:is>
          <x:t xml:space="preserve">Operations</x:t>
        </x:is>
      </x:c>
      <x:c r="B16" s="133" t="inlineStr">
        <x:is>
          <x:t xml:space="preserve">Rollback and recovery procedures documented</x:t>
        </x:is>
      </x:c>
      <x:c r="C16" s="133" t="inlineStr">
        <x:is>
          <x:t xml:space="preserve">P0</x:t>
        </x:is>
      </x:c>
      <x:c r="D16" s="133" t="str">
        <x:v>Completed</x:v>
      </x:c>
      <x:c r="E16" s="133" t="str">
        <x:v>Project Owner</x:v>
      </x:c>
      <x:c r="F16" s="133" t="str">
        <x:v>G9 is Completed; deployment rollback, backup/recovery, health and recovery-readiness procedures are documented and verified in Phase 15.</x:v>
      </x:c>
      <x:c r="G16" s="133" t="str">
        <x:v>G9</x:v>
      </x:c>
      <x:c r="H16" s="249" t="n">
        <x:v>46295</x:v>
      </x:c>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str">
        <x:v>Completed</x:v>
      </x:c>
      <x:c r="E17" s="133" t="str">
        <x:v>Project Owner</x:v>
      </x:c>
      <x:c r="F17" s="133" t="str">
        <x:v>G10 is Completed; representative RFQ/Quote performance checks and Phase 16 performance evidence are accepted.</x:v>
      </x:c>
      <x:c r="G17" s="133" t="str">
        <x:v>G10</x:v>
      </x:c>
      <x:c r="H17" s="249" t="n">
        <x:v>46295</x:v>
      </x:c>
      <x:c r="I17" s="32" t="str"/>
    </x:row>
    <x:row r="18">
      <x:c r="A18" s="133" t="inlineStr">
        <x:is>
          <x:t xml:space="preserve">Security</x:t>
        </x:is>
      </x:c>
      <x:c r="B18" s="133" t="inlineStr">
        <x:is>
          <x:t xml:space="preserve">RSC/server payload leakage audit complete</x:t>
        </x:is>
      </x:c>
      <x:c r="C18" s="133" t="inlineStr">
        <x:is>
          <x:t xml:space="preserve">P0</x:t>
        </x:is>
      </x:c>
      <x:c r="D18" s="133" t="str">
        <x:v>Completed</x:v>
      </x:c>
      <x:c r="E18" s="133" t="str">
        <x:v>Project Owner</x:v>
      </x:c>
      <x:c r="F18" s="133" t="str">
        <x:v>G10 is Completed; RSC/server payload leakage and intelligence payload audits are included in the accepted performance/security sanity evidence.</x:v>
      </x:c>
      <x:c r="G18" s="133" t="str">
        <x:v>G10</x:v>
      </x:c>
      <x:c r="H18" s="249" t="n">
        <x:v>46295</x:v>
      </x:c>
      <x:c r="I18" s="32" t="str"/>
    </x:row>
    <x:row r="19">
      <x:c r="A19" s="133" t="inlineStr">
        <x:is>
          <x:t xml:space="preserve">Accessibility</x:t>
        </x:is>
      </x:c>
      <x:c r="B19" s="133" t="inlineStr">
        <x:is>
          <x:t xml:space="preserve">Keyboard/focus/forms/mobile sanity pass</x:t>
        </x:is>
      </x:c>
      <x:c r="C19" s="133" t="inlineStr">
        <x:is>
          <x:t xml:space="preserve">P0</x:t>
        </x:is>
      </x:c>
      <x:c r="D19" s="133" t="str">
        <x:v>Completed</x:v>
      </x:c>
      <x:c r="E19" s="133" t="str">
        <x:v>Project Owner</x:v>
      </x:c>
      <x:c r="F19" s="133" t="str">
        <x:v>G10 is Completed; Phase 17 keyboard, focus, form-label/error, mobile, tablet, wide-table and 200% zoom evidence is accepted.</x:v>
      </x:c>
      <x:c r="G19" s="133" t="str">
        <x:v>G10</x:v>
      </x:c>
      <x:c r="H19" s="249" t="n">
        <x:v>46295</x:v>
      </x:c>
      <x:c r="I19" s="32" t="str"/>
    </x:row>
    <x:row r="20">
      <x:c r="A20" s="133" t="inlineStr">
        <x:is>
          <x:t xml:space="preserve">Documentation</x:t>
        </x:is>
      </x:c>
      <x:c r="B20" s="133" t="inlineStr">
        <x:is>
          <x:t xml:space="preserve">Launch help/docs/support path ready</x:t>
        </x:is>
      </x:c>
      <x:c r="C20" s="133" t="inlineStr">
        <x:is>
          <x:t xml:space="preserve">P0</x:t>
        </x:is>
      </x:c>
      <x:c r="D20" s="133" t="str">
        <x:v>Completed</x:v>
      </x:c>
      <x:c r="E20" s="133" t="str">
        <x:v>Project Owner / Engineering</x:v>
      </x:c>
      <x:c r="F20" s="133" t="str">
        <x:v>G11 is Completed; Phase 20 launch documentation and support path closed 12/12 with final internal-consistency review.</x:v>
      </x:c>
      <x:c r="G20" s="133" t="str">
        <x:v>G11</x:v>
      </x:c>
      <x:c r="H20" s="249" t="n">
        <x:v>46295</x:v>
      </x:c>
      <x:c r="I20" s="32" t="str"/>
    </x:row>
    <x:row r="21">
      <x:c r="A21" s="133" t="inlineStr">
        <x:is>
          <x:t xml:space="preserve">Marketing</x:t>
        </x:is>
      </x:c>
      <x:c r="B21" s="133" t="inlineStr">
        <x:is>
          <x:t xml:space="preserve">Available Now vs Planned reviewed</x:t>
        </x:is>
      </x:c>
      <x:c r="C21" s="133" t="inlineStr">
        <x:is>
          <x:t xml:space="preserve">P0</x:t>
        </x:is>
      </x:c>
      <x:c r="D21" s="133" t="str">
        <x:v>Completed</x:v>
      </x:c>
      <x:c r="E21" s="133" t="str">
        <x:v>Project Owner / Engineering</x:v>
      </x:c>
      <x:c r="F21" s="133" t="str">
        <x:v>G12 is Completed; Phase 19 Available Now vs Planned and launch-claim separation are published and reviewed.</x:v>
      </x:c>
      <x:c r="G21" s="133" t="str">
        <x:v>G12</x:v>
      </x:c>
      <x:c r="H21" s="249" t="n">
        <x:v>46295</x:v>
      </x:c>
      <x:c r="I21" s="32" t="str"/>
    </x:row>
    <x:row r="22">
      <x:c r="A22" s="133" t="inlineStr">
        <x:is>
          <x:t xml:space="preserve">Marketing</x:t>
        </x:is>
      </x:c>
      <x:c r="B22" s="133" t="inlineStr">
        <x:is>
          <x:t xml:space="preserve">Screenshots/copy match actual product</x:t>
        </x:is>
      </x:c>
      <x:c r="C22" s="133" t="inlineStr">
        <x:is>
          <x:t xml:space="preserve">P1</x:t>
        </x:is>
      </x:c>
      <x:c r="D22" s="133" t="str">
        <x:v>Completed</x:v>
      </x:c>
      <x:c r="E22" s="133" t="str">
        <x:v>Project Owner / Engineering</x:v>
      </x:c>
      <x:c r="F22" s="133" t="str">
        <x:v>Phase 19 representative screenshots and final positioning/copy review are completed and align to current product capability.</x:v>
      </x:c>
      <x:c r="G22" s="133" t="str">
        <x:v>G12</x:v>
      </x:c>
      <x:c r="H22" s="249" t="n">
        <x:v>46295</x:v>
      </x:c>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Phase 21 / 21-02 subsequently reconciled post-UAT changes and confirmed the accepted critical-journey evidence remains representative. The material post-UAT middleware/onboarding guard change is bounded and focused-tested; no full matrix rerun was required.</x:v>
      </x:c>
      <x:c r="G23" s="133" t="str">
        <x:v>G13</x:v>
      </x:c>
      <x:c r="H23" s="294" t="n">
        <x:v>46294</x:v>
      </x:c>
      <x:c r="I23" s="32" t="str">
        <x:v>UAT portion of G13 is complete and 21-02 is evidence-reconciled CLOSED. RC build/tests, remaining independent gates, risk/deferral acceptance, watch-plan readiness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str">
        <x:v>Completed</x:v>
      </x:c>
      <x:c r="E24" s="133" t="str">
        <x:v>Project Owner / Engineering</x:v>
      </x:c>
      <x:c r="F24" s="133" t="str">
        <x:v>21-03 RC validation PASS on RC-2026-09-30-c924305 + controlled 26-file patch over base c92430562fbdea9c418f1783e66c77ece381d25a: launch suite 943/943; full suite 1746/1746; lint PASS; production build PASS (TypeScript PASS, 70/70 pages); diff-check PASS. Unrelated dirty work excluded.</x:v>
      </x:c>
      <x:c r="G24" s="133" t="str">
        <x:v>G13</x:v>
      </x:c>
      <x:c r="H24" s="249" t="n">
        <x:v>46295</x:v>
      </x:c>
      <x:c r="I24" s="32" t="str">
        <x:v>RC validation is complete. Candidate patch is still unpublished/uncommitted; this checklist completion does not authorize source publication or Production. G13 remains blocked on remaining independent criteria.</x:v>
      </x:c>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str">
        <x:v>Completed</x:v>
      </x:c>
      <x:c r="E37" t="str">
        <x:v>Project Owner</x:v>
      </x:c>
      <x:c r="F37" t="str">
        <x:v>G0A is Completed; parent-company architecture and corporate/product gateway structure were approved at 0A-16.</x:v>
      </x:c>
      <x:c r="G37" t="str">
        <x:v>G0A</x:v>
      </x:c>
      <x:c r="H37" s="252" t="n">
        <x:v>46295</x:v>
      </x:c>
    </x:row>
    <x:row r="38">
      <x:c r="A38" t="inlineStr">
        <x:is>
          <x:t xml:space="preserve">Corporate Platform</x:t>
        </x:is>
      </x:c>
      <x:c r="B38" t="inlineStr">
        <x:is>
          <x:t xml:space="preserve">Root homepage represents NexusPavilion Inc. and product portfolio correctly</x:t>
        </x:is>
      </x:c>
      <x:c r="C38" t="inlineStr">
        <x:is>
          <x:t xml:space="preserve">P0</x:t>
        </x:is>
      </x:c>
      <x:c r="D38" t="str">
        <x:v>Completed</x:v>
      </x:c>
      <x:c r="E38" t="str">
        <x:v>Project Owner / Engineering</x:v>
      </x:c>
      <x:c r="F38" t="str">
        <x:v>Corporate Public Gateway implementation and Phase 19 alignment verify the root homepage represents Nexus Pavilion Inc. with Intelligent Procurement as a subordinate product.</x:v>
      </x:c>
      <x:c r="G38" t="str">
        <x:v>G0A/G12</x:v>
      </x:c>
      <x:c r="H38" s="252" t="n">
        <x:v>46295</x:v>
      </x:c>
    </x:row>
    <x:row r="39">
      <x:c r="A39" t="inlineStr">
        <x:is>
          <x:t xml:space="preserve">Routing</x:t>
        </x:is>
      </x:c>
      <x:c r="B39" t="inlineStr">
        <x:is>
          <x:t xml:space="preserve">RFQ invitation/auth/deep-link regressions pass after root-page change</x:t>
        </x:is>
      </x:c>
      <x:c r="C39" t="inlineStr">
        <x:is>
          <x:t xml:space="preserve">P0</x:t>
        </x:is>
      </x:c>
      <x:c r="D39" t="str">
        <x:v>Completed</x:v>
      </x:c>
      <x:c r="E39" t="str">
        <x:v>Project Owner / Engineering</x:v>
      </x:c>
      <x:c r="F39" t="str">
        <x:v>Phase 18 production-like UAT includes invitation/auth/deep-link continuation evidence, while G6 regression evidence preserves the route/auth boundary.</x:v>
      </x:c>
      <x:c r="G39" t="str">
        <x:v>G0A/G6</x:v>
      </x:c>
      <x:c r="H39" s="252" t="n">
        <x:v>46295</x:v>
      </x:c>
    </x:row>
    <x:row r="40">
      <x:c r="A40" t="inlineStr">
        <x:is>
          <x:t xml:space="preserve">Brand</x:t>
        </x:is>
      </x:c>
      <x:c r="B40" t="inlineStr">
        <x:is>
          <x:t xml:space="preserve">Intelligent Procurement product attribution is consistent across public/app surfaces</x:t>
        </x:is>
      </x:c>
      <x:c r="C40" t="inlineStr">
        <x:is>
          <x:t xml:space="preserve">P0</x:t>
        </x:is>
      </x:c>
      <x:c r="D40" t="str">
        <x:v>Completed</x:v>
      </x:c>
      <x:c r="E40" t="str">
        <x:v>Project Owner / Engineering</x:v>
      </x:c>
      <x:c r="F40" t="str">
        <x:v>Phase 19 and Phase 20 reviews verify consistent Intelligent Procurement product attribution across public, legal, auth and application-facing documentation/surfaces.</x:v>
      </x:c>
      <x:c r="G40" t="str">
        <x:v>G0A/G12</x:v>
      </x:c>
      <x:c r="H40" s="252" t="n">
        <x:v>46295</x:v>
      </x:c>
    </x:row>
    <x:row r="41">
      <x:c r="A41" t="inlineStr">
        <x:is>
          <x:t xml:space="preserve">Legal</x:t>
        </x:is>
      </x:c>
      <x:c r="B41" t="inlineStr">
        <x:is>
          <x:t xml:space="preserve">Corporate footer/legal links and NexusPavilion Inc. attribution reviewed</x:t>
        </x:is>
      </x:c>
      <x:c r="C41" t="inlineStr">
        <x:is>
          <x:t xml:space="preserve">P0</x:t>
        </x:is>
      </x:c>
      <x:c r="D41" t="str">
        <x:v>Completed</x:v>
      </x:c>
      <x:c r="E41" t="str">
        <x:v>Project Owner / Engineering</x:v>
      </x:c>
      <x:c r="F41" t="str">
        <x:v>Corporate footer, live Privacy/Terms/Contact destinations and Nexus Pavilion Inc. attribution were reviewed for implementation accuracy. This is not legal certification; R-31 remains a separate final risk item.</x:v>
      </x:c>
      <x:c r="G41" t="str">
        <x:v>G0A/G12</x:v>
      </x:c>
      <x:c r="H41" s="252" t="n">
        <x:v>46295</x:v>
      </x:c>
    </x:row>
    <x:row r="42">
      <x:c r="A42" t="inlineStr">
        <x:is>
          <x:t xml:space="preserve">Marketing</x:t>
        </x:is>
      </x:c>
      <x:c r="B42" t="inlineStr">
        <x:is>
          <x:t xml:space="preserve">No unreleased product/project is presented as launch-ready</x:t>
        </x:is>
      </x:c>
      <x:c r="C42" t="inlineStr">
        <x:is>
          <x:t xml:space="preserve">P0</x:t>
        </x:is>
      </x:c>
      <x:c r="D42" t="str">
        <x:v>Completed</x:v>
      </x:c>
      <x:c r="E42" t="str">
        <x:v>Project Owner / Engineering</x:v>
      </x:c>
      <x:c r="F42" t="str">
        <x:v>Phase 19 Task 19-03 verified that unreleased Contract/PO automation, autonomous sourcing agents and advanced/generative AI are not presented as current launch capability.</x:v>
      </x:c>
      <x:c r="G42" t="str">
        <x:v>G12</x:v>
      </x:c>
      <x:c r="H42" s="252" t="n">
        <x:v>46295</x:v>
      </x:c>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a09545daaa25464a"/>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row r="1157">
      <x:c r="A1157" t="n">
        <x:v>46294</x:v>
      </x:c>
      <x:c r="B1157" t="str">
        <x:v>Phase 19 / 19-02</x:v>
      </x:c>
      <x:c r="C1157" t="str">
        <x:v>19-02 Website Architecture Message Closed</x:v>
      </x:c>
      <x:c r="D1157" t="str">
        <x:v>executive-benchmark-engine</x:v>
      </x:c>
      <x:c r="E1157" t="str">
        <x:v>de1876e65b56d76519e4e2edd79ed49d425ba7e6</x:v>
      </x:c>
      <x:c r="F1157" t="str">
        <x:v>Aligned the public Intelligent Procurement architecture story across the corporate homepage and About page. Both now state the implemented Company Workspace → Procurement Center relationship, including company identity/access/operating context and authorized RFQ, supplier-response, commercial-evaluation and governed award workflows.</x:v>
      </x:c>
      <x:c r="G1157" t="str">
        <x:v>Scoped git diff --check PASS; npm run lint PASS; npm run build PASS; TypeScript PASS; 70/70 static pages generated.</x:v>
      </x:c>
      <x:c r="H1157" t="str">
        <x:v>PASS / 19-02 CLOSED / FROZEN</x:v>
      </x:c>
      <x:c r="I1157" t="str">
        <x:v>Exact two-file copy-only publication. No redesign, styles, motion, routes, authentication, pricing, procurement logic or unrelated files changed. The earlier local preservation anomaly in record-procurement-activity.ts was reviewed separately and identified as superseded draft evidence, not a current product regression.</x:v>
      </x:c>
      <x:c r="J1157" t="str">
        <x:v>Next canonical Master Plan task: Phase 19 / 19-03 — Separate Available Now vs Planned. Do not reopen 19-01 or 19-02 absent verified defect or changed requirement.</x:v>
      </x:c>
    </x:row>
    <x:row r="1158">
      <x:c r="A1158" t="n">
        <x:v>46295</x:v>
      </x:c>
      <x:c r="B1158" t="str">
        <x:v>Phase 19 / 19-03</x:v>
      </x:c>
      <x:c r="C1158" t="str">
        <x:v>19-03 Available vs Planned Boundary Closed</x:v>
      </x:c>
      <x:c r="D1158" t="str">
        <x:v>executive-benchmark-engine</x:v>
      </x:c>
      <x:c r="E1158" t="str">
        <x:v>EVIDENCE-ONLY — published HEAD cccbc24b5270e96f799401f630aaeb25d3d4594b</x:v>
      </x:c>
      <x:c r="F1158" t="str">
        <x:v>Audited launch-facing public surfaces for future-vs-current capability boundaries. No public production-ready claims remain for full Contract/PO automation, autonomous sourcing agents, or advanced/generative AI. Corporate product surfaces retain IN DEVELOPMENT status; Early Access capabilities remain limited to implemented procurement workflows and decision support.</x:v>
      </x:c>
      <x:c r="G1158" t="str">
        <x:v>Read-only source audit; no code mutation required. Existing 19-02 lint/build evidence remains applicable because 19-03 introduced no source change.</x:v>
      </x:c>
      <x:c r="H1158" t="str">
        <x:v>PASS / 19-03 EVIDENCE-ONLY CLOSED / FROZEN</x:v>
      </x:c>
      <x:c r="I1158" t="str">
        <x:v>Verified that 'Contract award workflows' is a current implemented award workflow, not a claim of full contract lifecycle/PO automation. Privacy/Terms future-product wording remains qualified. No new roadmap promises or Coming Soon marketing were added.</x:v>
      </x:c>
      <x:c r="J1158" t="str">
        <x:v>Next canonical Master Plan task: Phase 19 / 19-04 — Finalize launch positioning copy.</x:v>
      </x:c>
    </x:row>
    <x:row r="1159">
      <x:c r="A1159" t="n">
        <x:v>46295</x:v>
      </x:c>
      <x:c r="B1159" t="str">
        <x:v>Phase 19 / 19-04</x:v>
      </x:c>
      <x:c r="C1159" t="str">
        <x:v>19-04 Launch Positioning Finalized / G12 Closed</x:v>
      </x:c>
      <x:c r="D1159" t="str">
        <x:v>executive-benchmark-engine</x:v>
      </x:c>
      <x:c r="E1159" t="str">
        <x:v>EVIDENCE-ONLY — published HEAD 3864da77397e375667007a92ddad0db4baa0df58</x:v>
      </x:c>
      <x:c r="F1159" t="str">
        <x:v>Completed the final launch-positioning consistency audit across corporate/product public and legal surfaces. Positioning consistently presents Intelligent Procurement as an in-development, evidence-backed procurement intelligence product with implemented workflow, supplier-intelligence and executive decision-support capabilities; professional judgment remains explicit and autonomous/unsupported AI claims are absent.</x:v>
      </x:c>
      <x:c r="G1159" t="str">
        <x:v>Read-only source audit; no code mutation required. Existing 19-01/19-02 build, lint and runtime evidence remains applicable because 19-04 introduced no source change.</x:v>
      </x:c>
      <x:c r="H1159" t="str">
        <x:v>PASS / 19-04 CLOSED / G12 CLOSED</x:v>
      </x:c>
      <x:c r="I1159" t="str">
        <x:v>No prohibited AI-powered, AI-assisted, autonomous, guaranteed or instant-intelligence marketing language found on audited launch-facing surfaces. Early Access positioning remains aligned with current commercial strategy and no public numeric pricing is reintroduced.</x:v>
      </x:c>
      <x:c r="J1159" t="str">
        <x:v>Next canonical Master Plan task: Phase 19 / 19-05 — Capture representative screenshots.</x:v>
      </x:c>
    </x:row>
    <x:row r="1160">
      <x:c r="A1160" t="n">
        <x:v>46295</x:v>
      </x:c>
      <x:c r="B1160" t="str">
        <x:v>Phase 19 / 19-05</x:v>
      </x:c>
      <x:c r="C1160" t="str">
        <x:v>19-05 Representative Screenshot Evidence Closed / Workspace Guard Defect Resolved</x:v>
      </x:c>
      <x:c r="D1160" t="str">
        <x:v>executive-benchmark-engine</x:v>
      </x:c>
      <x:c r="E1160" t="str">
        <x:v>bc09262d358b6ff0810bf5076a36e42d5a1747a8</x:v>
      </x:c>
      <x:c r="F1160" t="str">
        <x:v>Completed representative launch screenshot evidence and closed the scoped create-company workspace-routing defect discovered during capture. Public production-mode screenshots verified the Intelligent Procurement product section and Limited Early Access page. Authenticated Northline evidence verified Executive Overview, Procurement Center, a real awarded RFQ workspace, and the corresponding unlocked post-deadline Compare view.</x:v>
      </x:c>
      <x:c r="G1160" t="str">
        <x:v>Workspace guard validation: 56 focused/adjacent tests PASS; npm run lint PASS; npm run build PASS with TypeScript and 70/70 pages; git diff --check PASS. Live Northline verification confirmed /create-company redirects to /dashboard and the existing workspace remains intact. Supabase SSR cookie refresh propagation and cache headers are preserved on both pass-through and redirect responses.</x:v>
      </x:c>
      <x:c r="H1160" t="str">
        <x:v>PASS / DEFECT CLOSED / 19-05 CLOSED / FROZEN</x:v>
      </x:c>
      <x:c r="I1160" t="str">
        <x:v>Exception chain preserved: Active 19-05 → routing defect detected → scoped middleware/test fix → live verification → screenshot evidence completed → immediate return to 19-05 closeout. No SQL or application-data repair was required. Screenshot evidence used real current states; no mocked procurement metrics were introduced.</x:v>
      </x:c>
      <x:c r="J1160" t="str">
        <x:v>Next canonical Master Plan task: Phase 19 / 19-06 — Create sales workflow story.</x:v>
      </x:c>
    </x:row>
    <x:row r="1161">
      <x:c r="A1161" t="n">
        <x:v>46295</x:v>
      </x:c>
      <x:c r="B1161" t="str">
        <x:v>Phase 19 / 19-06</x:v>
      </x:c>
      <x:c r="C1161" t="str">
        <x:v>19-06 Sales Workflow Story Closed</x:v>
      </x:c>
      <x:c r="D1161" t="str">
        <x:v>executive-benchmark-engine</x:v>
      </x:c>
      <x:c r="E1161" t="str">
        <x:v>EVIDENCE-ONLY — published HEAD a11ecba13548e22ecccca2ac9f0f8651f6eaed1e</x:v>
      </x:c>
      <x:c r="F1161" t="str">
        <x:v>Created the launch sales workflow story from the current product architecture: Company Workspace establishes company identity/access context; Procurement Center carries issuer and respondent RFQ participation; secure supplier invitation and respondent access feed the same governed RFQ; Private RFI handles bilateral clarification while formal Addenda handle material clarifications; quotation submission/revalidation feeds deadline-governed commercial evaluation and issuer-controlled award.</x:v>
      </x:c>
      <x:c r="G1161" t="str">
        <x:v>Read-only architecture review of the RFQ marketplace, supplier invitation delivery, Private RFI workspace, quotation submission workspace and quote comparison surfaces. No code or application-data mutation required.</x:v>
      </x:c>
      <x:c r="H1161" t="str">
        <x:v>PASS / 19-06 CLOSED / FROZEN</x:v>
      </x:c>
      <x:c r="I1161" t="str">
        <x:v>Narrative explicitly avoids unsupported autonomous/AI claims, automatic-award language and Contract/PO lifecycle automation. Workspace Membership and RFQ Invitation remain distinct business flows.</x:v>
      </x:c>
      <x:c r="J1161" t="str">
        <x:v>Next canonical Master Plan task: Phase 19 / 19-07 — Create investor platform story.</x:v>
      </x:c>
    </x:row>
    <x:row r="1162">
      <x:c r="A1162" t="n">
        <x:v>46295</x:v>
      </x:c>
      <x:c r="B1162" t="str">
        <x:v>Phase 19 / 19-07</x:v>
      </x:c>
      <x:c r="C1162" t="str">
        <x:v>19-07 Investor Platform Story Closed / Phase 19 Complete</x:v>
      </x:c>
      <x:c r="D1162" t="str">
        <x:v>executive-benchmark-engine</x:v>
      </x:c>
      <x:c r="E1162" t="str">
        <x:v>EVIDENCE-ONLY — published HEAD 51aa24863e66813b7cbde774c4cae760a5e1bb8a</x:v>
      </x:c>
      <x:c r="F1162" t="str">
        <x:v>Established the investor platform narrative with an explicit present-vs-roadmap boundary. Current foundation is Intelligent Procurement's governed Company Workspace → Procurement Center architecture and implemented RFQ, respondent, clarification, quotation, evaluation, supplier-intelligence, executive-decision-support, and issuer-controlled award workflows. Roadmap expansion is separately framed around post-launch Contract/PO/Mobilization automation, Advanced Benchmarking, Autonomous Sourcing Agents, and future real Nexus Pavilion Inc. portfolio initiatives.</x:v>
      </x:c>
      <x:c r="G1162" t="str">
        <x:v>Read-only reconciliation of the canonical Master Plan / Scope &amp; Roadmap and Corporate Platform truthfulness rules. No code, database, public copy, or application-data mutation required.</x:v>
      </x:c>
      <x:c r="H1162" t="str">
        <x:v>PASS / 19-07 CLOSED / PHASE 19 COMPLETE / FROZEN</x:v>
      </x:c>
      <x:c r="I1162" t="str">
        <x:v>Future capabilities remain explicitly non-current; unreleased corporate initiatives remain hidden by default unless approved for truthful non-live disclosure. No invented future product, unsupported AI claim, valuation, revenue, adoption, market-size, or investment-return claim was introduced.</x:v>
      </x:c>
      <x:c r="J1162" t="str">
        <x:v>Next canonical Master Plan task: Phase 20 / 20-01 — Getting Started.</x:v>
      </x:c>
    </x:row>
    <x:row r="1163">
      <x:c r="A1163" t="n">
        <x:v>46295</x:v>
      </x:c>
      <x:c r="B1163" t="str">
        <x:v>Phase 20 / 20-01</x:v>
      </x:c>
      <x:c r="C1163" t="str">
        <x:v>20-01 Getting Started Guide Published</x:v>
      </x:c>
      <x:c r="D1163" t="str">
        <x:v>executive-benchmark-engine</x:v>
      </x:c>
      <x:c r="E1163" t="str">
        <x:v>eee3601e69ceee1144ed43cbb06b596fcf0e87c4</x:v>
      </x:c>
      <x:c r="F1163" t="str">
        <x:v>Published the Intelligent Procurement Getting Started guide. It gives new users a single high-level orientation to Company Workspace, Procurement Center, sign-in/onboarding, issuer/respondent participation, governed RFQ progression, first actions, and the decision-support boundary.</x:v>
      </x:c>
      <x:c r="G1163" t="str">
        <x:v>Repository search confirmed no equivalent launch-ready guide. Exact source compare verified a one-file documentation-only commit at docs/launch/GETTING_STARTED.md. No build/runtime validation was required for the Markdown-only change; no application code or data changed.</x:v>
      </x:c>
      <x:c r="H1163" t="str">
        <x:v>PASS / 20-01 CLOSED / FROZEN / G11 IN PROGRESS</x:v>
      </x:c>
      <x:c r="I1163" t="str">
        <x:v>Guide deliberately stays at overview level so detailed company onboarding, RFQ creation, invitation, response, RFI, quote, evaluation, award, permission, support, and privacy/security procedures remain owned by 20-02 through 20-12.</x:v>
      </x:c>
      <x:c r="J1163" t="str">
        <x:v>Next canonical Master Plan task: Phase 20 / 20-02 — Create Company.</x:v>
      </x:c>
    </x:row>
    <x:row r="1164">
      <x:c r="A1164" t="n">
        <x:v>46295</x:v>
      </x:c>
      <x:c r="B1164" t="str">
        <x:v>Phase 20 / 20-02</x:v>
      </x:c>
      <x:c r="C1164" t="str">
        <x:v>20-02 Create Company Guide Published</x:v>
      </x:c>
      <x:c r="D1164" t="str">
        <x:v>executive-benchmark-engine</x:v>
      </x:c>
      <x:c r="E1164" t="str">
        <x:v>8bf0eb96db3c41c8d475076660d50cf3effb91b6</x:v>
      </x:c>
      <x:c r="F1164" t="str">
        <x:v>Published the Intelligent Procurement Create Company guide. The guide documents Company Workspace onboarding from identity and organization type through professional identity, activation, RFQ continuation, recovery/duplicate protection, post-activation checks, and troubleshooting.</x:v>
      </x:c>
      <x:c r="G1164" t="str">
        <x:v>Read-only implementation review of src/app/create-company/page.tsx, src/app/api/companies/create/route.ts, src/lib/auth/workspace-bootstrap.ts, src/lib/auth/login-continuation.ts, and active root middleware.ts. Exact source compare verified a one-file documentation-only commit at docs/launch/CREATE_COMPANY.md. No build/runtime validation was required for the Markdown-only source change.</x:v>
      </x:c>
      <x:c r="H1164" t="str">
        <x:v>PASS / 20-02 CLOSED / FROZEN / G11 IN PROGRESS</x:v>
      </x:c>
      <x:c r="I1164" t="str">
        <x:v>Workspace Membership and RFQ Invitation remain separate business flows. The guide explicitly warns against duplicate company creation during recovery or incomplete bootstrap states.</x:v>
      </x:c>
      <x:c r="J1164" t="str">
        <x:v>Next canonical Master Plan task: Phase 20 / 20-03 — Create RFQ.</x:v>
      </x:c>
    </x:row>
    <x:row r="1165">
      <x:c r="A1165" t="n">
        <x:v>46295</x:v>
      </x:c>
      <x:c r="B1165" t="str">
        <x:v>Phase 20 / 20-03</x:v>
      </x:c>
      <x:c r="C1165" t="str">
        <x:v>20-03 Create RFQ Guide Published</x:v>
      </x:c>
      <x:c r="D1165" t="str">
        <x:v>executive-benchmark-engine</x:v>
      </x:c>
      <x:c r="E1165" t="str">
        <x:v>a0437715736af298cfafb7043cf0d52532e042b0</x:v>
      </x:c>
      <x:c r="F1165" t="str">
        <x:v>Published the Intelligent Procurement Create RFQ guide. It documents issuer authorization, project/strategy/control configuration, publication readiness, final acknowledgement, governed publication, post-publication documents, commercial-opening confidentiality, and replacement-procurement lineage.</x:v>
      </x:c>
      <x:c r="G1165" t="str">
        <x:v>Read-only implementation review of src/app/rfq/new/page.tsx, src/app/api/rfqs/route.ts, src/lib/procurement/procurement-write-authorization.ts, src/lib/procurement/rfq-requirements-completeness.ts, src/lib/procurement/rfq-scope-review.ts, src/components/rfq-workspace/rfq-publication-readiness-review.tsx, and src/hooks/use-rfq-draft-autosave.ts. Exact source compare verified a one-file documentation-only commit at docs/launch/CREATE_RFQ.md. No build/runtime validation was required for the Markdown-only source change.</x:v>
      </x:c>
      <x:c r="H1165" t="str">
        <x:v>PASS / 20-03 CLOSED / FROZEN / G11 IN PROGRESS</x:v>
      </x:c>
      <x:c r="I1165" t="str">
        <x:v>Guide preserves the P0 commercial-confidentiality rule: all current sourcing methods are deadline-locked for launch. RFQ creation remains distinct from Workspace Membership, RFQ Invitation, Quotation, evaluation, and Contract Award.</x:v>
      </x:c>
      <x:c r="J1165" t="str">
        <x:v>Next canonical Master Plan task: Phase 20 / 20-04 — Invite Companies.</x:v>
      </x:c>
    </x:row>
    <x:row r="1166">
      <x:c r="A1166" t="n">
        <x:v>46295</x:v>
      </x:c>
      <x:c r="B1166" t="str">
        <x:v>Phase 20 / 20-04</x:v>
      </x:c>
      <x:c r="C1166" t="str">
        <x:v>20-04 Invite Companies Guide Published</x:v>
      </x:c>
      <x:c r="D1166" t="str">
        <x:v>executive-benchmark-engine</x:v>
      </x:c>
      <x:c r="E1166" t="str">
        <x:v>5c29929279783378fe7bc8f0ebe8139c409733bd</x:v>
      </x:c>
      <x:c r="F1166" t="str">
        <x:v>Published the Intelligent Procurement Invite Companies guide for the RFQ Invitation lifecycle. It documents issuer authority, owned/open RFQ prerequisites, direct email invitation, secure invitation-link lifecycle, same-RFQ/email reuse, delivery states, respondent handoff, invalid/expired invitations, and current AVL availability.</x:v>
      </x:c>
      <x:c r="G1166" t="str">
        <x:v>Read-only implementation review of src/app/api/invites/route.ts, src/components/invite-vendor-form.tsx, supplier invitation/AVL components, src/app/rfq/invite/[token]/page.tsx, RFQ invitation submit continuation, procurement-write authorization, supplier-domain availability, send-email behavior, and public-site URL validation. Exact source compare verified a one-file documentation-only commit at docs/launch/INVITE_COMPANIES.md. No build/runtime validation was required for the Markdown-only source change.</x:v>
      </x:c>
      <x:c r="H1166" t="str">
        <x:v>PASS / 20-04 CLOSED / FROZEN / G11 IN PROGRESS</x:v>
      </x:c>
      <x:c r="I1166" t="str">
        <x:v>RFQ Invitation remains distinct from Company Workspace Invitation/Membership. Invitation creation and email delivery are documented as separate outcomes. Current launch environment does not claim active AVL or supplier-compliance capability.</x:v>
      </x:c>
      <x:c r="J1166" t="str">
        <x:v>Next canonical Master Plan task: Phase 20 / 20-05 — Respond to RFQ.</x:v>
      </x:c>
    </x:row>
    <x:row r="1167">
      <x:c r="A1167" t="n">
        <x:v>46295</x:v>
      </x:c>
      <x:c r="B1167" t="str">
        <x:v>Phase 20 / 20-05</x:v>
      </x:c>
      <x:c r="C1167" t="str">
        <x:v>20-05 Respond to RFQ Guide Published</x:v>
      </x:c>
      <x:c r="D1167" t="str">
        <x:v>executive-benchmark-engine</x:v>
      </x:c>
      <x:c r="E1167" t="str">
        <x:v>cdc9f114004e9d7d61e7cfd2510fd5c38f2c9d77</x:v>
      </x:c>
      <x:c r="F1167" t="str">
        <x:v>Published the Intelligent Procurement Respond to RFQ guide. It documents respondent opportunity access, authentication/company continuation, issuer/respondent separation, RFQ review, documents/Addenda, clarification boundary, sourcing access, quotation handoff, existing-quote revalidation state, deadlines, confidentiality, and troubleshooting.</x:v>
      </x:c>
      <x:c r="G1167" t="str">
        <x:v>Read-only implementation review of src/app/rfq/[slug]/submit/page.tsx, src/lib/procurement/procurement-context-repository.ts, src/lib/procurement/rfq-access-contract.ts, src/app/rfq/page.tsx, and respondent-facing sections of src/app/rfq/[slug]/page.tsx. Exact source compare verified a one-file documentation-only commit at docs/launch/RESPOND_TO_RFQ.md. No build/runtime validation was required for the Markdown-only source change.</x:v>
      </x:c>
      <x:c r="H1167" t="str">
        <x:v>PASS / 20-05 CLOSED / FROZEN / G11 IN PROGRESS</x:v>
      </x:c>
      <x:c r="I1167" t="str">
        <x:v>Respondent access does not create issuer Workspace Membership or issuer-side permissions. Restricted RFQs require governed RFQ access; existing quotation state may require Addendum acknowledgement/revalidation. Pre-deadline commercial confidentiality remains intact.</x:v>
      </x:c>
      <x:c r="J1167" t="str">
        <x:v>Next canonical Master Plan task: Phase 20 / 20-06 — Submit RFI.</x:v>
      </x:c>
    </x:row>
    <x:row r="1168">
      <x:c r="A1168" t="n">
        <x:v>46295</x:v>
      </x:c>
      <x:c r="B1168" t="str">
        <x:v>Phase 20 / 20-06</x:v>
      </x:c>
      <x:c r="C1168" t="str">
        <x:v>20-06 Submit RFI Guide Published</x:v>
      </x:c>
      <x:c r="D1168" t="str">
        <x:v>executive-benchmark-engine</x:v>
      </x:c>
      <x:c r="E1168" t="str">
        <x:v>4ba115693650a9a189b817b2344536fb6f6913ad</x:v>
      </x:c>
      <x:c r="F1168" t="str">
        <x:v>Published the Intelligent Procurement Submit RFI guide. It documents Private RFI eligibility, sourcing access, effective clarification deadlines, bilateral privacy, respondent submission, issuer response, best-effort response notification, Addendum escalation for material clarifications, quotation revalidation implications, and troubleshooting.</x:v>
      </x:c>
      <x:c r="G1168" t="str">
        <x:v>Read-only implementation review of src/app/api/rfq-rfis/route.ts, src/components/rfq-workspace/rfq-rfi-workspace.tsx, RFI deadline-awareness behavior, RFQ document/clarification workspace integration, procurement authorization, RFQ access checks, procurement activity logging, and email/public-site notification handling. Exact source compare verified a one-file documentation-only commit at docs/launch/SUBMIT_RFI.md. No build/runtime validation was required for the Markdown-only source change.</x:v>
      </x:c>
      <x:c r="H1168" t="str">
        <x:v>PASS / 20-06 CLOSED / FROZEN / G11 IN PROGRESS</x:v>
      </x:c>
      <x:c r="I1168" t="str">
        <x:v>Private RFI remains bilateral to issuer and originating respondent. A material clarification affecting all respondents must use formal Addendum governance. RFI response persistence and email notification are separate outcomes.</x:v>
      </x:c>
      <x:c r="J1168" t="str">
        <x:v>Next canonical Master Plan task: Phase 20 / 20-07 — Submit Quote.</x:v>
      </x:c>
    </x:row>
    <x:row r="1169">
      <x:c r="A1169" t="n">
        <x:v>46295</x:v>
      </x:c>
      <x:c r="B1169" t="str">
        <x:v>Phase 20 / 20-07</x:v>
      </x:c>
      <x:c r="C1169" t="str">
        <x:v>20-07 Submit Quote Guide Published</x:v>
      </x:c>
      <x:c r="D1169" t="str">
        <x:v>executive-benchmark-engine</x:v>
      </x:c>
      <x:c r="E1169" t="str">
        <x:v>9ff55a386d6681585d7b50097213b97e0e405646</x:v>
      </x:c>
      <x:c r="F1169" t="str">
        <x:v>Published the Intelligent Procurement Submit Quote guide. It documents quotation access, commercial input preparation, completeness, deadlines, Addendum acknowledgement, duplicate prevention, confidential submission, material-amendment revalidation, reconfirmation/resubmission, quotation validity, email confirmation, and troubleshooting.</x:v>
      </x:c>
      <x:c r="G1169" t="str">
        <x:v>Read-only implementation review of src/components/rfq-workspace/rfq-submit-workspace.tsx, src/app/api/quotes/route.ts, src/lib/procurement/quotation-submission-completeness.ts, src/lib/procurement/rfq-quote-revalidation-state.ts, src/app/rfq/[slug]/submit/page.tsx, src/components/rfq-workspace/rfq-quote-workspace.tsx, and adjacent quote authorization tests. Exact source compare verified a one-file documentation-only commit at docs/launch/SUBMIT_QUOTE.md. No build/runtime validation was required for the Markdown-only source change.</x:v>
      </x:c>
      <x:c r="H1169" t="str">
        <x:v>PASS / 20-07 CLOSED / FROZEN / G11 IN PROGRESS</x:v>
      </x:c>
      <x:c r="I1169" t="str">
        <x:v>Quotation remains distinct from Workspace Membership, RFQ Invitation, Private RFI, Addendum, evaluation, and Contract Award. Pre-deadline issuer commercial confidentiality remains intact; respondent users can review only their own permitted quotation state.</x:v>
      </x:c>
      <x:c r="J1169" t="str">
        <x:v>Next canonical Master Plan task: Phase 20 / 20-08 — Evaluate Responses.</x:v>
      </x:c>
    </x:row>
    <x:row r="1170">
      <x:c r="A1170" t="n">
        <x:v>46295</x:v>
      </x:c>
      <x:c r="B1170" t="str">
        <x:v>Phase 20 / 20-08</x:v>
      </x:c>
      <x:c r="C1170" t="str">
        <x:v>20-08 Evaluate Responses Guide Published</x:v>
      </x:c>
      <x:c r="D1170" t="str">
        <x:v>executive-benchmark-engine</x:v>
      </x:c>
      <x:c r="E1170" t="str">
        <x:v>6042bd72be30cc675de1da2d2e45350d8846b293</x:v>
      </x:c>
      <x:c r="F1170" t="str">
        <x:v>Published the Intelligent Procurement Evaluate Responses guide. It documents deadline-controlled issuer evaluation, pre-opening lockbox behavior, decision-ready quotation rules, deterministic weighted scoring, ranking/recommendation semantics, comparison metrics, decision authorization, respondent confidentiality, and evaluation-versus-award boundaries.</x:v>
      </x:c>
      <x:c r="G1170" t="str">
        <x:v>Read-only implementation review of src/app/rfq/[slug]/compare/page.tsx, src/components/rfq-workspace/rfq-quote-comparison.tsx, src/components/rfq-workspace/rfq-owner-quotes.tsx, src/lib/procurement/rfq-commercial-intelligence.ts, src/lib/procurement/rfq-commercial-scoring.ts, src/lib/procurement/rfq-detail-intelligence-boundary.ts, src/app/api/quote-decision/route.ts, award controls, and RFQ governance notices. Exact source compare verified a one-file documentation-only commit at docs/launch/EVALUATE_RESPONSES.md. No build/runtime validation was required for the Markdown-only source change.</x:v>
      </x:c>
      <x:c r="H1170" t="str">
        <x:v>PASS / 20-08 CLOSED / FROZEN / G11 IN PROGRESS</x:v>
      </x:c>
      <x:c r="I1170" t="str">
        <x:v>Open sourcing does not enable rolling evaluation. Material-revalidation quotes remain visible after opening but are excluded from decision-ready metrics, recommendation, and award eligibility. Recommendation remains decision support and does not equal Contract Award.</x:v>
      </x:c>
      <x:c r="J1170" t="str">
        <x:v>Next canonical Master Plan task: Phase 20 / 20-09 — Award.</x:v>
      </x:c>
    </x:row>
    <x:row r="1171">
      <x:c r="A1171" t="n">
        <x:v>46295</x:v>
      </x:c>
      <x:c r="B1171" t="str">
        <x:v>Phase 20 / 20-09</x:v>
      </x:c>
      <x:c r="C1171" t="str">
        <x:v>20-09 Award Guide Published</x:v>
      </x:c>
      <x:c r="D1171" t="str">
        <x:v>executive-benchmark-engine</x:v>
      </x:c>
      <x:c r="E1171" t="str">
        <x:v>ef25da44e8cdae23cc5317911a81aa48b43f5a0f</x:v>
      </x:c>
      <x:c r="F1171" t="str">
        <x:v>Published the Intelligent Procurement Award guide. It documents award authority, post-deadline eligibility, quotation/Addendum/revalidation guards, confirmation, atomic terminal-state changes, notifications, self-award prohibition, post-award handoff, and the separation between RFQ Award and downstream Contract/PO administration.</x:v>
      </x:c>
      <x:c r="G1171" t="str">
        <x:v>Read-only implementation review of src/app/api/award-contract/route.ts, src/components/award-contract-button.tsx, post-opening comparison/award controls, RFQ post-award workspace behavior, and the current award_rfq_quote / award-integrity database functions in active migration history. Exact source compare verified a one-file documentation-only commit at docs/launch/AWARD.md. No build/runtime validation was required for the Markdown-only source change.</x:v>
      </x:c>
      <x:c r="H1171" t="str">
        <x:v>PASS / 20-09 CLOSED / FROZEN / G11 IN PROGRESS</x:v>
      </x:c>
      <x:c r="I1171" t="str">
        <x:v>Award remains server-authoritative and owner/admin-only for the verified active issuing organization. Recommendation does not equal award. Successful award persistence is independent from notification-email success, and downstream contract execution remains outside the RFQ workspace.</x:v>
      </x:c>
      <x:c r="J1171" t="str">
        <x:v>Next canonical Master Plan task: Phase 20 / 20-10 — Roles &amp; Permissions.</x:v>
      </x:c>
    </x:row>
    <x:row r="1172">
      <x:c r="A1172" t="n">
        <x:v>46295</x:v>
      </x:c>
      <x:c r="B1172" t="str">
        <x:v>Phase 20 / 20-10</x:v>
      </x:c>
      <x:c r="C1172" t="str">
        <x:v>20-10 Roles &amp; Permissions Guide Published</x:v>
      </x:c>
      <x:c r="D1172" t="str">
        <x:v>executive-benchmark-engine</x:v>
      </x:c>
      <x:c r="E1172" t="str">
        <x:v>6683d7235649ff9435dca060e745b7c4684db1dd</x:v>
      </x:c>
      <x:c r="F1172" t="str">
        <x:v>Published the Intelligent Procurement Workspace Access Model for Roles &amp; Permissions. It documents the authoritative organization-membership model, workspace roles, procurement functions, membership lifecycle, current workspace invitation model, protected member/ownership changes, issuer/respondent access rules, confidentiality boundaries, and the current permission matrix.</x:v>
      </x:c>
      <x:c r="G1172" t="str">
        <x:v>Read-only implementation review covered src/lib/auth/membership.ts, src/lib/auth/workspace-context.ts, src/lib/authorization/workspace-permissions.ts, src/lib/procurement/procurement-write-authorization.ts, src/lib/procurement/rfq-access-contract.ts, current company settings/member controls, workspace invitation acceptance, protected member commands, ownership transfer, and the active database authorization/RLS rules supporting procurement access. Exact source compare verified a one-file documentation-only commit at docs/launch/WORKSPACE_ACCESS_MODEL.md. No build/runtime validation was required for the Markdown-only source change.</x:v>
      </x:c>
      <x:c r="H1172" t="str">
        <x:v>PASS / 20-10 CLOSED / FROZEN / G11 IN PROGRESS</x:v>
      </x:c>
      <x:c r="I1172" t="str">
        <x:v>Workspace Membership, RFQ Invitation, Workspace Role, Procurement Function, RFQ participant role, evaluation access, and Contract Award authority remain separate concepts. Legacy profile roles are documented only as migration compatibility and not as the preferred launch authorization model.</x:v>
      </x:c>
      <x:c r="J1172" t="str">
        <x:v>Next canonical Master Plan task: Phase 20 / 20-11 — FAQ &amp; Support.</x:v>
      </x:c>
    </x:row>
    <x:row r="1173">
      <x:c r="A1173" t="n">
        <x:v>46295</x:v>
      </x:c>
      <x:c r="B1173" t="str">
        <x:v>Phase 20 / 20-11</x:v>
      </x:c>
      <x:c r="C1173" t="str">
        <x:v>20-11 FAQ &amp; Support Guide Published</x:v>
      </x:c>
      <x:c r="D1173" t="str">
        <x:v>executive-benchmark-engine</x:v>
      </x:c>
      <x:c r="E1173" t="str">
        <x:v>c9056df84a2af0ffbcdc3646b38fcdb025e6cc91</x:v>
      </x:c>
      <x:c r="F1173" t="str">
        <x:v>Published the Intelligent Procurement FAQ &amp; Support guide. It consolidates common workflow questions and documents the current product support route, Technical Support contact flow, direct corporate contact channel, email-delivery versus transaction-state distinctions, and escalation guidance for access/governance anomalies.</x:v>
      </x:c>
      <x:c r="G1173" t="str">
        <x:v>Read-only review of src/components/application-footer.tsx, src/app/contact/page.tsx, src/components/contact-form.tsx, src/app/api/contact/route.ts, src/app/privacy/page.tsx, src/app/terms/page.tsx, public-site URL handling, email delivery behavior, and the verified Phase 20 workflow documentation completed through 20-10. Exact source compare verified a one-file documentation-only commit at docs/launch/FAQ_SUPPORT.md. No build/runtime validation was required for the Markdown-only source change.</x:v>
      </x:c>
      <x:c r="H1173" t="str">
        <x:v>PASS / 20-11 CLOSED / FROZEN / G11 IN PROGRESS</x:v>
      </x:c>
      <x:c r="I1173" t="str">
        <x:v>Support is routed through /contact and the published Nexus Pavilion Inc. corporate contact channel. The FAQ does not weaken authorization or procurement governance and does not treat notification-email failure as equivalent to transaction failure.</x:v>
      </x:c>
      <x:c r="J1173" t="str">
        <x:v>Next canonical Master Plan task: Phase 20 / 20-12 — Privacy/Security Overview.</x:v>
      </x:c>
    </x:row>
    <x:row r="1174">
      <x:c r="A1174" t="n">
        <x:v>46295</x:v>
      </x:c>
      <x:c r="B1174" t="str">
        <x:v>Phase 20 / 20-12</x:v>
      </x:c>
      <x:c r="C1174" t="str">
        <x:v>20-12 Privacy/Security Published — Phase 20 &amp; G11 Closed</x:v>
      </x:c>
      <x:c r="D1174" t="str">
        <x:v>executive-benchmark-engine</x:v>
      </x:c>
      <x:c r="E1174" t="str">
        <x:v>91dc078e34d2fd81e5a5a3aebad096551ff3607d</x:v>
      </x:c>
      <x:c r="F1174" t="str">
        <x:v>Published the Intelligent Procurement Privacy &amp; Security Overview and completed the Phase 20 documentation set. The guide documents layered access control, commercial confidentiality, respondent isolation, RLS/storage boundaries, invitation-token handling, privacy-minimized monitoring, consented Corporate analytics, email/contact processing, and current security/privacy limitations.</x:v>
      </x:c>
      <x:c r="G1174" t="str">
        <x:v>Read-only implementation review covered public Privacy/Terms, middleware and Supabase SSR clients, workspace membership/context, procurement access/write authorization, commercial-opening controls, active database RLS/functions, Storage bucket/policy contracts, Sentry monitoring configuration and sanitized critical-error reporting, CorporateAnalytics consent scope, public-site URL validation, and email/contact processing. Exact source compare verified a one-file documentation-only commit at docs/launch/PRIVACY_SECURITY_OVERVIEW.md. Final consistency audit reviewed all 12 Phase 20 launch guides for company/product identity, invitation-domain separation, deadline-lock language, award-authority semantics, support channel, rejected-name/personal-email leakage, and autonomous-decision claims. No material contradiction requiring a frozen task to be reopened was identified. No build/runtime validation was required for the Markdown-only source change.</x:v>
      </x:c>
      <x:c r="H1174" t="str">
        <x:v>PASS / 20-12 CLOSED / PHASE 20 CLOSED 12/12 / G11 CLOSED</x:v>
      </x:c>
      <x:c r="I1174" t="str">
        <x:v>G11 closure certifies launch documentation/support completeness only. It does not close G4, G7, G8, G10A, or G13 and does not authorize Production.</x:v>
      </x:c>
      <x:c r="J1174" t="str">
        <x:v>Next canonical Master Plan task: Phase 21 / 21-01 — Review G0–G13.</x:v>
      </x:c>
    </x:row>
    <x:row r="1175">
      <x:c r="A1175" t="n">
        <x:v>46295</x:v>
      </x:c>
      <x:c r="B1175" t="str">
        <x:v>Phase 21 / 21-01</x:v>
      </x:c>
      <x:c r="C1175" t="str">
        <x:v>21-01 Launch Gate Review &amp; Reconciliation</x:v>
      </x:c>
      <x:c r="D1175" t="str">
        <x:v>executive-benchmark-engine</x:v>
      </x:c>
      <x:c r="E1175" t="str">
        <x:v>TRACKER-ONLY / NO SOURCE COMMIT</x:v>
      </x:c>
      <x:c r="F1175" t="str">
        <x:v>Reviewed all 16 canonical launch gates, reconciled stale gate/checklist state, closed G4 and G8 on existing accepted evidence, and made the remaining G7/G10A/G13 sign-off state explicit.</x:v>
      </x:c>
      <x:c r="G1175" t="str">
        <x:v>Evidence-only tracker review. G4 closure reuses Phase 5 implementation plus Phase 18 UAT-01/02/09/10/11/12/36. G8 closure reuses Phase 14 Tasks 14-01..14-09 plus Phase 18 continuation/communications evidence including 18-20 and 18-25. G7 remains In Progress due P0 Ask Nexus 13G-02/13G-08. G10A remains In Progress due 13I-01..13I-10. G13 remains Blocked pending final release criteria. Production Release Checklist rows tied to already-completed gates were reconciled to their existing evidence.</x:v>
      </x:c>
      <x:c r="H1175" t="str">
        <x:v>PASS / 21-01 CLOSED / 13 OF 16 GATES COMPLETE</x:v>
      </x:c>
      <x:c r="I1175" t="str">
        <x:v>No Production authorization. Do not close G7, G10A or G13 without their outstanding evidence. No completed gate was reopened.</x:v>
      </x:c>
      <x:c r="J1175" t="str">
        <x:v>Next canonical Master Plan task: Phase 21 / 21-02 — Production UAT.</x:v>
      </x:c>
    </x:row>
    <x:row r="1176">
      <x:c r="A1176" t="n">
        <x:v>46295</x:v>
      </x:c>
      <x:c r="B1176" t="str">
        <x:v>Phase 21 / 21-02</x:v>
      </x:c>
      <x:c r="C1176" t="str">
        <x:v>21-02 Production UAT Evidence Reconciliation</x:v>
      </x:c>
      <x:c r="D1176" t="str">
        <x:v>executive-benchmark-engine</x:v>
      </x:c>
      <x:c r="E1176" t="str">
        <x:v>TRACKER-ONLY / NO SOURCE COMMIT</x:v>
      </x:c>
      <x:c r="F1176" t="str">
        <x:v>Closed 21-02 without rerunning the Phase 18 UAT matrix. Reconciled the accepted production-like UAT baseline against post-18-28 repository changes and confirmed that no later change invalidates the critical procurement journeys.</x:v>
      </x:c>
      <x:c r="G1176" t="str">
        <x:v>Read-only remote verification of v33 HEAD d98adf257bfba8ebab6deb11706d02ab55c42d8e; post-UAT commit review; focused inspection of bc09262d358b6ff0810bf5076a36e42d5a1747a8; Vercel status SUCCESS for that commit; current middleware.ts and login-continuation.test.ts blob SHAs match the bc09262 versions. No new runtime UAT executed.</x:v>
      </x:c>
      <x:c r="H1176" t="str">
        <x:v>PASS / 21-02 CLOSED / EVIDENCE-RECONCILED</x:v>
      </x:c>
      <x:c r="I1176" t="str">
        <x:v>Phase 18 UAT-01..UAT-38 PASS and 18-28 CLOSED remain the canonical production-like journey evidence. Post-UAT change impact is bounded to auth/onboarding continuation and is covered by focused tests; Phase 20 is documentation-only.</x:v>
      </x:c>
      <x:c r="J1176" t="str">
        <x:v>No procurement evidence was manufactured and no Product/DB/Production mutation occurred. G13 remains Blocked. Next canonical Master Plan task: Phase 21 / 21-03 — Release candidate build.</x:v>
      </x:c>
    </x:row>
    <x:row r="1177">
      <x:c r="A1177" t="n">
        <x:v>46295</x:v>
      </x:c>
      <x:c r="B1177" t="str">
        <x:v>Phase 21 / 21-03</x:v>
      </x:c>
      <x:c r="C1177" t="str">
        <x:v>21-03 Release Candidate Validation Closed</x:v>
      </x:c>
      <x:c r="D1177" t="str">
        <x:v>executive-benchmark-engine</x:v>
      </x:c>
      <x:c r="E1177" t="str">
        <x:v>RC-2026-09-30-c924305 + CONTROLLED 26-FILE PATCH / NO SOURCE COMMIT</x:v>
      </x:c>
      <x:c r="F1177" t="str">
        <x:v>Completed release-candidate validation using exact remote base c92430562fbdea9c418f1783e66c77ece381d25a plus the minimal coherent 26-file candidate assembled from reviewed unpublished source/test changes. Test-contract drift was remediated without introducing new product behavior, and unrelated worktree changes were excluded from the candidate.</x:v>
      </x:c>
      <x:c r="G1177" t="str">
        <x:v>Final isolated validation: npm run test:launch PASS — 93/93 files, 943/943 tests; npm test and npm run test PASS — 155/155 files, 1746/1746 tests; lint PASS; production build PASS with TypeScript PASS and 70/70 pages generated; git diff --check PASS. RFQ workspace protection, invitation-token exception, canonical submit exception, issuer-only commercial intelligence, respondent isolation and atomic Award audit architecture were preserved.</x:v>
      </x:c>
      <x:c r="H1177" t="str">
        <x:v>PASS / 21-03 CLOSED / RC VALIDATED</x:v>
      </x:c>
      <x:c r="I1177" t="str">
        <x:v>No real product regression was demonstrated by the original RC failures; they resolved through controlled test-contract alignment plus inclusion of the coherent unpublished source dependency set. The validated candidate is reviewable but not yet published/committed/tagged.</x:v>
      </x:c>
      <x:c r="J1177" t="str">
        <x:v>No commit, push, tag or Production action authorized. G13 remains Blocked. Next canonical Master Plan task: Phase 21 / 21-04 — Go/No-Go review.</x:v>
      </x:c>
    </x:row>
    <x:row r="1178">
      <x:c r="A1178" t="n">
        <x:v>46295</x:v>
      </x:c>
      <x:c r="B1178" t="str">
        <x:v>Phase 13A / 13A-01</x:v>
      </x:c>
      <x:c r="C1178" t="str">
        <x:v>13A-01 Enterprise Dark UI Audit Closed</x:v>
      </x:c>
      <x:c r="D1178" t="str">
        <x:v>executive-benchmark-engine</x:v>
      </x:c>
      <x:c r="E1178" t="str">
        <x:v>EVIDENCE-ONLY / NO SOURCE COMMIT</x:v>
      </x:c>
      <x:c r="F1178" t="str">
        <x:v>Completed the read-only enterprise experience audit against the current local worktree. Confirmed substantial reusable shell, token, typography, executive-component, accessibility and brand foundations; identified standardization and consolidation gaps without starting page-by-page redesign.</x:v>
      </x:c>
      <x:c r="G1178" t="str">
        <x:v>Audit only. No code/tests/build were required for this no-change task. Existing dirty worktree was preserved. Key findings: reuse AppShell/Sidebar/AppTopbar/page context/footers/logo/executive primitives; standardize legacy controls, badges, hard-coded visual literals and motion; consolidate repeated guidance/empty/error/loading patterns.</x:v>
      </x:c>
      <x:c r="H1178" t="str">
        <x:v>PASS / 13A-01 CLOSED</x:v>
      </x:c>
      <x:c r="I1178" t="str">
        <x:v>No duplicate/new foundation files authorized. SEARCH → REUSE → MODIFY → CREATE remains required. This does not close 13A, G10A, G7 or G13.</x:v>
      </x:c>
      <x:c r="J1178" t="str">
        <x:v>Next canonical Master Plan task: Phase 13A / 13A-02 — Confirm canonical NexusPavilion logo asset.</x:v>
      </x:c>
    </x:row>
    <x:row r="1179">
      <x:c r="A1179" t="n">
        <x:v>46295</x:v>
      </x:c>
      <x:c r="B1179" t="str">
        <x:v>Phase 13A / 13A-02</x:v>
      </x:c>
      <x:c r="C1179" t="str">
        <x:v>13A-02 Canonical Logo Audit Closed</x:v>
      </x:c>
      <x:c r="D1179" t="str">
        <x:v>executive-benchmark-engine</x:v>
      </x:c>
      <x:c r="E1179" t="str">
        <x:v>EVIDENCE-ONLY / NO SOURCE COMMIT</x:v>
      </x:c>
      <x:c r="F1179" t="str">
        <x:v>Confirmed the canonical NexusPavilion logo component and official production asset set, mapped correct reuse and direct bypasses, and identified one unused conflicting legacy NP/gold footer asset.</x:v>
      </x:c>
      <x:c r="G1179" t="str">
        <x:v>Read-only current-worktree audit. Canonical component: src/components/branding/nexus-pavilion-logo.tsx. Official mapped assets: logo-horizontal-1024.png, logo-icon-512.png, logo-stacked-1024.png. No active usage of conflicting public/branding/nexus-pavilion-footer.png was found.</x:v>
      </x:c>
      <x:c r="H1179" t="str">
        <x:v>PASS / 13A-02 CLOSED</x:v>
      </x:c>
      <x:c r="I1179" t="str">
        <x:v>No logo redesign, asset replacement, source edit, Git publication, DB or Production action. Future standardization must preserve the official logo exactly.</x:v>
      </x:c>
      <x:c r="J1179" t="str">
        <x:v>Next canonical Master Plan task: Phase 13A / 13A-03 — Inventory global shell/layout components.</x:v>
      </x:c>
    </x:row>
    <x:row r="1180">
      <x:c r="A1180" t="n">
        <x:v>46295</x:v>
      </x:c>
      <x:c r="B1180" t="str">
        <x:v>Phase 13A / 13A-03</x:v>
      </x:c>
      <x:c r="C1180" t="str">
        <x:v>13A-03 Global Shell Inventory Closed</x:v>
      </x:c>
      <x:c r="D1180" t="str">
        <x:v>executive-benchmark-engine</x:v>
      </x:c>
      <x:c r="E1180" t="str">
        <x:v>EVIDENCE-ONLY / NO SOURCE COMMIT</x:v>
      </x:c>
      <x:c r="F1180" t="str">
        <x:v>Mapped the live global shell/layout architecture and confirmed one reusable AppShell controls public, authenticated and chromeless experiences. No additional shell component is required.</x:v>
      </x:c>
      <x:c r="G1180" t="str">
        <x:v>Canonical application chain: src/app/layout.tsx → AppShell → Sidebar/AppTopbar/main/AppPageContext/ApplicationFooter. Public branch uses Footer + CorporateAnalytics; chromeless routes render children only. EXECUTIVE_PAGE_CLASS is the preferred application width primitive. Unused AppSidebar and several shell-consistency issues were recorded for later 13D work.</x:v>
      </x:c>
      <x:c r="H1180" t="str">
        <x:v>PASS / 13A-03 CLOSED</x:v>
      </x:c>
      <x:c r="I1180" t="str">
        <x:v>Audit only. No refactor, source edit, Git publication, database or Production action. Preserve route/auth/invitation behavior.</x:v>
      </x:c>
      <x:c r="J1180" t="str">
        <x:v>Next canonical Master Plan task: Phase 13A / 13A-04 — Inventory theme/design tokens and hard-coded colors.</x:v>
      </x:c>
    </x:row>
    <x:row r="1181">
      <x:c r="A1181" t="n">
        <x:v>46295</x:v>
      </x:c>
      <x:c r="B1181" t="str">
        <x:v>Phase 13A / 13A-04</x:v>
      </x:c>
      <x:c r="C1181" t="str">
        <x:v>13A-04 Theme &amp; Token Inventory Closed</x:v>
      </x:c>
      <x:c r="D1181" t="str">
        <x:v>executive-benchmark-engine</x:v>
      </x:c>
      <x:c r="E1181" t="str">
        <x:v>EVIDENCE-ONLY / NO SOURCE COMMIT</x:v>
      </x:c>
      <x:c r="F1181" t="str">
        <x:v>Mapped the current application token system and hard-coded styling duplication before 13B standardization.</x:v>
      </x:c>
      <x:c r="G1181" t="str">
        <x:v>Canonical sources: globals.css :root/@theme/utilities plus executive-contract.ts; ExecutiveBadge supplies badge tone mapping. Reusable foundation exists for semantic colors, typography, spacing, geometry and focus. Missing/duplicated areas include motion duration/easing, disabled/selected/hover states, sidebar collapsed width, topbar height, status-token wiring and repeated hard-coded colors/radii/shadows/layout dimensions.</x:v>
      </x:c>
      <x:c r="H1181" t="str">
        <x:v>PASS / 13A-04 CLOSED</x:v>
      </x:c>
      <x:c r="I1181" t="str">
        <x:v>Audit only. No page redesign, token implementation, source edit, Git publication, DB or Production action. Do not introduce a second token file.</x:v>
      </x:c>
      <x:c r="J1181" t="str">
        <x:v>Next canonical Master Plan task: Phase 13A / 13A-05 — Inventory shared UI primitives.</x:v>
      </x:c>
    </x:row>
    <x:row r="1182">
      <x:c r="A1182" t="n">
        <x:v>46295</x:v>
      </x:c>
      <x:c r="B1182" t="str">
        <x:v>Phase 13A / 13A-05</x:v>
      </x:c>
      <x:c r="C1182" t="str">
        <x:v>13A-05 Shared UI Primitive Inventory Closed</x:v>
      </x:c>
      <x:c r="D1182" t="str">
        <x:v>executive-benchmark-engine</x:v>
      </x:c>
      <x:c r="E1182" t="str">
        <x:v>EVIDENCE-ONLY / NO SOURCE COMMIT</x:v>
      </x:c>
      <x:c r="F1182" t="str">
        <x:v>Mapped reusable and duplicate UI primitives before 13C standardization. Confirmed a strong executive primitive base and identified form, table, empty-state, loading and confirmation consolidation gaps.</x:v>
      </x:c>
      <x:c r="G1182" t="str">
        <x:v>Reuse ExecutivePanel/Badge/Metric/Progress/ConfirmDialog, DeadlineField and CTA contracts. Legacy light ui/* primitives, duplicate status badges, window.confirm/custom dialogs, raw form controls, repeated tables/empty states/skeletons are the principal standardization targets. No second UI kit is justified.</x:v>
      </x:c>
      <x:c r="H1182" t="str">
        <x:v>PASS / 13A-05 CLOSED</x:v>
      </x:c>
      <x:c r="I1182" t="str">
        <x:v>Audit only. No implementation, redesign, source edit, Git publication, DB or Production action.</x:v>
      </x:c>
      <x:c r="J1182" t="str">
        <x:v>Next canonical Master Plan task: Phase 13A / 13A-06 — Inventory existing animations and FAQ-style success choreography.</x:v>
      </x:c>
    </x:row>
    <x:row r="1183">
      <x:c r="A1183" t="n">
        <x:v>46295</x:v>
      </x:c>
      <x:c r="B1183" t="str">
        <x:v>Phase 13A / 13A-06</x:v>
      </x:c>
      <x:c r="C1183" t="str">
        <x:v>13A-06 Motion Inventory Closed</x:v>
      </x:c>
      <x:c r="D1183" t="str">
        <x:v>executive-benchmark-engine</x:v>
      </x:c>
      <x:c r="E1183" t="str">
        <x:v>EVIDENCE-ONLY / NO SOURCE COMMIT</x:v>
      </x:c>
      <x:c r="F1183" t="str">
        <x:v>Mapped current application motion, business-event feedback and corporate cinematic animation before 13E.</x:v>
      </x:c>
      <x:c r="G1183" t="str">
        <x:v>Reusable foundations: global reduced-motion rule, ExecutiveProgress, restrained hover transitions and existing loading indicators. Do not promote the RFQ publish staged overlay/countdown or artificial waits. Corporate keyframes remain a separate marketing system.</x:v>
      </x:c>
      <x:c r="H1183" t="str">
        <x:v>PASS / 13A-06 CLOSED</x:v>
      </x:c>
      <x:c r="I1183" t="str">
        <x:v>Audit only. No animation implementation, source edit, Git publication, DB or Production action.</x:v>
      </x:c>
      <x:c r="J1183" t="str">
        <x:v>Next canonical Master Plan task: Phase 13A / 13A-07 — Inventory help/tutorial/onboarding patterns.</x:v>
      </x:c>
    </x:row>
    <x:row r="1184">
      <x:c r="A1184" t="n">
        <x:v>46295</x:v>
      </x:c>
      <x:c r="B1184" t="str">
        <x:v>Phase 13A / 13A-07</x:v>
      </x:c>
      <x:c r="C1184" t="str">
        <x:v>13A-07 Guidance &amp; Onboarding Inventory Closed</x:v>
      </x:c>
      <x:c r="D1184" t="str">
        <x:v>executive-benchmark-engine</x:v>
      </x:c>
      <x:c r="E1184" t="str">
        <x:v>EVIDENCE-ONLY / NO SOURCE COMMIT</x:v>
      </x:c>
      <x:c r="F1184" t="str">
        <x:v>Mapped existing product guidance, onboarding, help, empty-state and recovery patterns before 13F.</x:v>
      </x:c>
      <x:c r="G1184" t="str">
        <x:v>Reusable sources include inline helper/status/alert copy, RFQ executive guidance, access/enrollment states, confirmation consequence copy and product support links. Missing capabilities include tooltip/popover, coachmark/tour, guidance memory and an Ask Nexus/Guide shell. No new guidance component is required at audit stage.</x:v>
      </x:c>
      <x:c r="H1184" t="str">
        <x:v>PASS / 13A-07 CLOSED</x:v>
      </x:c>
      <x:c r="I1184" t="str">
        <x:v>Audit only. No guidance implementation, source edit, Git publication, DB or Production action.</x:v>
      </x:c>
      <x:c r="J1184" t="str">
        <x:v>Next canonical Master Plan task: Phase 13A / 13A-08 — Audit reduced-motion, focus, contrast and keyboard behavior.</x:v>
      </x:c>
    </x:row>
    <x:row r="1185">
      <x:c r="A1185" t="n">
        <x:v>46295</x:v>
      </x:c>
      <x:c r="B1185" t="str">
        <x:v>Phase 13A / 13A-08</x:v>
      </x:c>
      <x:c r="C1185" t="str">
        <x:v>13A-08 Accessibility Foundation Audit Closed</x:v>
      </x:c>
      <x:c r="D1185" t="str">
        <x:v>executive-benchmark-engine</x:v>
      </x:c>
      <x:c r="E1185" t="str">
        <x:v>EVIDENCE-ONLY / NO SOURCE COMMIT</x:v>
      </x:c>
      <x:c r="F1185" t="str">
        <x:v>Completed the read-only accessibility foundation audit and assigned each identified gap to its existing 13B–13E remediation phase.</x:v>
      </x:c>
      <x:c r="G1185" t="str">
        <x:v>Verified reduced-motion, focus, keyboard, form, status and semantic foundations; documented remaining dialog, publish-status, landmark, contrast, target-size, table-scroll and error-linkage inconsistencies.</x:v>
      </x:c>
      <x:c r="H1185" t="str">
        <x:v>PASS / 13A-08 CLOSED</x:v>
      </x:c>
      <x:c r="I1185" t="str">
        <x:v>Audit only. No accessibility implementation, source edit, Git publication, DB or Production action.</x:v>
      </x:c>
      <x:c r="J1185" t="str">
        <x:v>Next canonical Master Plan task: Phase 13A / 13A-09 — Baseline UI score every core page.</x:v>
      </x:c>
    </x:row>
    <x:row r="1186">
      <x:c r="A1186" t="n">
        <x:v>46295</x:v>
      </x:c>
      <x:c r="B1186" t="str">
        <x:v>Phase 13A / 13A-09</x:v>
      </x:c>
      <x:c r="C1186" t="str">
        <x:v>13A-09 Baseline UI Scoring — Partial Evidence</x:v>
      </x:c>
      <x:c r="D1186" t="str">
        <x:v>executive-benchmark-engine</x:v>
      </x:c>
      <x:c r="E1186" t="str">
        <x:v>EVIDENCE-ONLY / NO SOURCE COMMIT</x:v>
      </x:c>
      <x:c r="F1186" t="str">
        <x:v>Captured partial visual baseline evidence for 3/23 canonical scorecard pages. Twenty pages remain unverified due to authenticated/browser rendering access limitations.</x:v>
      </x:c>
      <x:c r="G1186" t="str">
        <x:v>Verified weighted scores: Project Portfolio 5.6; Corporate Home 8.3; Intelligent Procurement Product Landing 6.3. Do not treat UNVERIFIED pages as zero and do not overwrite canonical Critical? flags. The next step is access recovery, not a repeat full-site audit.</x:v>
      </x:c>
      <x:c r="H1186" t="str">
        <x:v>PARTIAL / 13A-09 IN PROGRESS</x:v>
      </x:c>
      <x:c r="I1186" t="str">
        <x:v>No code, source, DB or Production changes. Existing scored pages are frozen as baseline evidence pending later final 13A-09 aggregation.</x:v>
      </x:c>
      <x:c r="J1186" t="str">
        <x:v>Next: establish authenticated visual access on one protected page, then score only remaining UNVERIFIED pages in small batches.</x:v>
      </x:c>
    </x:row>
    <x:row r="1187">
      <x:c r="A1187" t="n">
        <x:v>46295</x:v>
      </x:c>
      <x:c r="B1187" t="str">
        <x:v>Phase 13A / 13A-09</x:v>
      </x:c>
      <x:c r="C1187" t="str">
        <x:v>13A-09 Baseline UI Scorecard Closed</x:v>
      </x:c>
      <x:c r="D1187" t="str">
        <x:v>executive-benchmark-engine</x:v>
      </x:c>
      <x:c r="E1187" t="str">
        <x:v>EVIDENCE-ONLY / NO SOURCE COMMIT</x:v>
      </x:c>
      <x:c r="F1187" t="str">
        <x:v>Closed the baseline UI audit after reconciling all 23 canonical scorecard entries: 11 verified weighted scores and 12 explicit UNVERIFIED entries with access/rendering reasons. No inaccessible page was assigned an invented score.</x:v>
      </x:c>
      <x:c r="G1187" t="str">
        <x:v>Verified-page average 6.51/10; 0 pages at or above 9.5; 9 verified canonical critical pages below 9.0. The scorecard preserves weighted scores, top gaps and evidence state. Full dimension-level rescoring for unresolved surfaces remains a later 13H/13I verification responsibility.</x:v>
      </x:c>
      <x:c r="H1187" t="str">
        <x:v>PASS / 13A-09 CLOSED / BASELINE ESTABLISHED</x:v>
      </x:c>
      <x:c r="I1187" t="str">
        <x:v>This is baseline evidence, not UI launch approval. No code/auth/DB/data/Production mutation. UNVERIFIED entries must not be interpreted as zero or as PASS.</x:v>
      </x:c>
      <x:c r="J1187" t="str">
        <x:v>Next canonical Master Plan task: Phase 13A / 13A-10 — Approve shared-first UI implementation sequence.</x:v>
      </x:c>
    </x:row>
    <x:row r="1188">
      <x:c r="A1188" t="n">
        <x:v>46295</x:v>
      </x:c>
      <x:c r="B1188" t="str">
        <x:v>Phase 13A / 13A-10</x:v>
      </x:c>
      <x:c r="C1188" t="str">
        <x:v>13A-10 Shared-First UI Sequence Approved — Phase 13A Closed</x:v>
      </x:c>
      <x:c r="D1188" t="str">
        <x:v>executive-benchmark-engine</x:v>
      </x:c>
      <x:c r="E1188" t="str">
        <x:v>EVIDENCE-ONLY / NO SOURCE COMMIT</x:v>
      </x:c>
      <x:c r="F1188" t="str">
        <x:v>Approved the canonical enterprise-experience implementation sequence after completing the full 13A audit/baseline program.</x:v>
      </x:c>
      <x:c r="G1188" t="str">
        <x:v>Approved order: 13B foundation → 13C shared components → 13D shell → 13E motion → 13F guidance → 13G Ask Nexus → 13H page upgrades → 13I final quality gate. Reuse-first constraints and business/security boundaries remain mandatory.</x:v>
      </x:c>
      <x:c r="H1188" t="str">
        <x:v>PASS / 13A-10 CLOSED / PHASE 13A CLOSED / U0 CLOSED</x:v>
      </x:c>
      <x:c r="I1188" t="str">
        <x:v>No code, source, DB, auth, procurement data or Production mutation. This approval authorizes the planned sequence only, not implementation beyond the next canonical task.</x:v>
      </x:c>
      <x:c r="J1188" t="str">
        <x:v>Next canonical Master Plan task: Phase 13B / 13B-01 — Define dark-first semantic color tokens.</x:v>
      </x:c>
    </x:row>
    <x:row r="1189">
      <x:c r="A1189" t="n">
        <x:v>46295</x:v>
      </x:c>
      <x:c r="B1189" t="str">
        <x:v>Phase 13B / 13B-01</x:v>
      </x:c>
      <x:c r="C1189" t="str">
        <x:v>13B-01 Dark Semantic Color Tokens Published</x:v>
      </x:c>
      <x:c r="D1189" t="str">
        <x:v>executive-benchmark-engine</x:v>
      </x:c>
      <x:c r="E1189" t="str">
        <x:v>1d0276e483d06d5afffe2e1924e62945c48d1987</x:v>
      </x:c>
      <x:c r="F1189" t="str">
        <x:v>Centralized the existing dark application palette so CSS semantic variables/theme names are the rendered source for focus, CTA, gradient and shadow styling without changing page design.</x:v>
      </x:c>
      <x:c r="G1189" t="str">
        <x:v>Exactly three files published: src/app/globals.css, src/lib/design-system/executive-contract.ts, src/lib/design-system/executive-contract.test.ts. Focused tests 33 PASS; lint/build/diff-check PASS.</x:v>
      </x:c>
      <x:c r="H1189" t="str">
        <x:v>PASS / 13B-01 CLOSED / PUBLISHED</x:v>
      </x:c>
      <x:c r="I1189" t="str">
        <x:v>No intentional visual change, page-level styling, product behavior, DB/Auth/RLS or Production change. Frozen EXECUTIVE_* hex mirrors remain for compatibility.</x:v>
      </x:c>
      <x:c r="J1189" t="str">
        <x:v>Next canonical Master Plan task: Phase 13B / 13B-02 — Define light-mode compatibility strategy.</x:v>
      </x:c>
    </x:row>
    <x:row r="1190">
      <x:c r="A1190" t="n">
        <x:v>46295</x:v>
      </x:c>
      <x:c r="B1190" t="str">
        <x:v>Phase 13B / 13B-02</x:v>
      </x:c>
      <x:c r="C1190" t="str">
        <x:v>13B-02 Light/System Theme Compatibility Strategy Closed</x:v>
      </x:c>
      <x:c r="D1190" t="str">
        <x:v>executive-benchmark-engine</x:v>
      </x:c>
      <x:c r="E1190" t="str">
        <x:v>EVIDENCE-ONLY / NO SOURCE COMMIT</x:v>
      </x:c>
      <x:c r="F1190" t="str">
        <x:v>Defined the future-compatible theme architecture without implementing light mode: one semantic token vocabulary, one component system, and root-level theme value overrides only.</x:v>
      </x:c>
      <x:c r="G1190" t="str">
        <x:v>Strategy reuses 13B-01 semantic nexus-* token indirection. Dark-first remains launch behavior; future light/system themes must not fork components, page styles or the design system.</x:v>
      </x:c>
      <x:c r="H1190" t="str">
        <x:v>PASS / 13B-02 CLOSED</x:v>
      </x:c>
      <x:c r="I1190" t="str">
        <x:v>No source change and no light-mode implementation. Corporate public styling remains separate.</x:v>
      </x:c>
      <x:c r="J1190" t="str">
        <x:v>Next canonical Master Plan task: Phase 13B / 13B-03 — Standardize typography scale.</x:v>
      </x:c>
    </x:row>
    <x:row r="1191">
      <x:c r="A1191" t="n">
        <x:v>46295</x:v>
      </x:c>
      <x:c r="B1191" t="str">
        <x:v>Phase 13B / 13B-03</x:v>
      </x:c>
      <x:c r="C1191" t="str">
        <x:v>13B-03 Executive Typography Scale Published</x:v>
      </x:c>
      <x:c r="D1191" t="str">
        <x:v>executive-benchmark-engine</x:v>
      </x:c>
      <x:c r="E1191" t="str">
        <x:v>2ca09d789eb57b6fec51c4fc5ca9f48d79d98323</x:v>
      </x:c>
      <x:c r="F1191" t="str">
        <x:v>Centralized the existing Inter-based application type hierarchy into shared responsive typography tokens without changing page design.</x:v>
      </x:c>
      <x:c r="G1191" t="str">
        <x:v>Exactly three files published: src/app/globals.css, src/lib/design-system/executive-contract.ts, src/lib/design-system/executive-contract.test.ts. Focused tests 34 PASS; lint/build/diff-check PASS.</x:v>
      </x:c>
      <x:c r="H1191" t="str">
        <x:v>PASS / 13B-03 CLOSED / PUBLISHED</x:v>
      </x:c>
      <x:c r="I1191" t="str">
        <x:v>No intentional visual redesign. Local page text-* classes remain for later controlled adoption. No DB/Auth/RLS/Production change.</x:v>
      </x:c>
      <x:c r="J1191" t="str">
        <x:v>Next canonical Master Plan task: Phase 13B / 13B-04 — Standardize spacing/grid tokens.</x:v>
      </x:c>
    </x:row>
    <x:row r="1192">
      <x:c r="A1192" t="n">
        <x:v>46295</x:v>
      </x:c>
      <x:c r="B1192" t="str">
        <x:v>Phase 13B / 13B-04</x:v>
      </x:c>
      <x:c r="C1192" t="str">
        <x:v>13B-04 Executive Spacing &amp; Grid Tokens Published</x:v>
      </x:c>
      <x:c r="D1192" t="str">
        <x:v>executive-benchmark-engine</x:v>
      </x:c>
      <x:c r="E1192" t="str">
        <x:v>b401de987f20bf696be6f244c4d5bab075d72a76</x:v>
      </x:c>
      <x:c r="F1192" t="str">
        <x:v>Centralized the existing application spacing/grid contract into shared layout variables and roles without changing page layout.</x:v>
      </x:c>
      <x:c r="G1192" t="str">
        <x:v>Exactly three files published: src/app/globals.css, src/lib/design-system/executive-contract.ts, src/lib/design-system/executive-contract.test.ts. Focused tests 35 PASS; lint/build/diff-check PASS.</x:v>
      </x:c>
      <x:c r="H1192" t="str">
        <x:v>PASS / 13B-04 CLOSED / PUBLISHED</x:v>
      </x:c>
      <x:c r="I1192" t="str">
        <x:v>No intentional visual redesign. Page/shell hard-coded layout values remain for later controlled adoption. No DB/Auth/RLS/Production change.</x:v>
      </x:c>
      <x:c r="J1192" t="str">
        <x:v>Next canonical Master Plan task: Phase 13B / 13B-05 — Standardize surface, border, radius and elevation tokens.</x:v>
      </x:c>
    </x:row>
    <x:row r="1193">
      <x:c r="A1193" t="n">
        <x:v>46295</x:v>
      </x:c>
      <x:c r="B1193" t="str">
        <x:v>Phase 13B / 13B-05</x:v>
      </x:c>
      <x:c r="C1193" t="str">
        <x:v>13B-05 Surface / Radius / Elevation Tokens Published</x:v>
      </x:c>
      <x:c r="D1193" t="str">
        <x:v>executive-benchmark-engine</x:v>
      </x:c>
      <x:c r="E1193" t="str">
        <x:v>bf86fd292020483fef557037a28f1d9009410e6e</x:v>
      </x:c>
      <x:c r="F1193" t="str">
        <x:v>Centralized the application surface, border, radius and elevation contract without changing rendered page design.</x:v>
      </x:c>
      <x:c r="G1193" t="str">
        <x:v>Exactly three files published: src/app/globals.css, src/lib/design-system/executive-contract.ts, src/lib/design-system/executive-contract.test.ts. Focused tests 36 PASS; lint/build/diff-check PASS.</x:v>
      </x:c>
      <x:c r="H1193" t="str">
        <x:v>PASS / 13B-05 CLOSED / PUBLISHED</x:v>
      </x:c>
      <x:c r="I1193" t="str">
        <x:v>No intentional visual redesign. Local page/component radius/shadow values remain for later controlled adoption. No DB/Auth/RLS/Production change.</x:v>
      </x:c>
      <x:c r="J1193" t="str">
        <x:v>Next canonical Master Plan task: Phase 13B / 13B-06 — Standardize semantic status palette.</x:v>
      </x:c>
    </x:row>
    <x:row r="1194">
      <x:c r="A1194" t="n">
        <x:v>46295</x:v>
      </x:c>
      <x:c r="B1194" t="str">
        <x:v>Phase 13B / 13B-06</x:v>
      </x:c>
      <x:c r="C1194" t="str">
        <x:v>13B-06 Semantic Status Palette Published</x:v>
      </x:c>
      <x:c r="D1194" t="str">
        <x:v>executive-benchmark-engine</x:v>
      </x:c>
      <x:c r="E1194" t="str">
        <x:v>5d791e658841761b7b29902f65a0f4e3162573d2</x:v>
      </x:c>
      <x:c r="F1194" t="str">
        <x:v>Centralized success/warning/risk/info/neutral status roles and rewired ExecutiveBadge to semantic status tokens.</x:v>
      </x:c>
      <x:c r="G1194" t="str">
        <x:v>Four files published: src/app/globals.css, src/lib/design-system/executive-contract.ts, src/lib/design-system/executive-contract.test.ts, src/components/executive/executive-badge.tsx. Focused tests 36 PASS; lint/build/diff-check PASS.</x:v>
      </x:c>
      <x:c r="H1194" t="str">
        <x:v>PASS / 13B-06 CLOSED / PUBLISHED</x:v>
      </x:c>
      <x:c r="I1194" t="str">
        <x:v>Intentional visual change limited to status color normalization. Awarded/recommended/locked aliases unchanged; no business/status logic, DB/Auth/RLS or Production change.</x:v>
      </x:c>
      <x:c r="J1194" t="str">
        <x:v>Next canonical Master Plan task: Phase 13B / 13B-07 — Define Nexus Intelligence visual language.</x:v>
      </x:c>
    </x:row>
    <x:row r="1195">
      <x:c r="A1195" t="n">
        <x:v>46295</x:v>
      </x:c>
      <x:c r="B1195" t="str">
        <x:v>Phase 13B / 13B-07</x:v>
      </x:c>
      <x:c r="C1195" t="str">
        <x:v>13B-07 Nexus Intelligence Visual Contract Published</x:v>
      </x:c>
      <x:c r="D1195" t="str">
        <x:v>executive-benchmark-engine</x:v>
      </x:c>
      <x:c r="E1195" t="str">
        <x:v>3ea9ce7eee2ceb85e19423d508e83def57831986</x:v>
      </x:c>
      <x:c r="F1195" t="str">
        <x:v>Defined one restrained reusable Nexus Intelligence visual contract from the existing cyan accent, elevated surface, subtle border, and circular mark treatment.</x:v>
      </x:c>
      <x:c r="G1195" t="str">
        <x:v>Exactly three files published: src/app/globals.css, src/lib/design-system/executive-contract.ts, src/lib/design-system/executive-contract.test.ts. Focused tests 37 PASS; lint/build/diff-check PASS.</x:v>
      </x:c>
      <x:c r="H1195" t="str">
        <x:v>PASS / 13B-07 CLOSED / PUBLISHED</x:v>
      </x:c>
      <x:c r="I1195" t="str">
        <x:v>No new component and no page/component migration. No intentional visual change, business logic, DB/Auth/RLS or Production change.</x:v>
      </x:c>
      <x:c r="J1195" t="str">
        <x:v>Next canonical Master Plan task: Phase 13B / 13B-08 — Standardize focus/hover/selected/disabled states.</x:v>
      </x:c>
    </x:row>
    <x:row r="1196">
      <x:c r="A1196" t="n">
        <x:v>46295</x:v>
      </x:c>
      <x:c r="B1196" t="str">
        <x:v>Phase 13B / 13B-08</x:v>
      </x:c>
      <x:c r="C1196" t="str">
        <x:v>13B-08 Interaction-State Contract Published</x:v>
      </x:c>
      <x:c r="D1196" t="str">
        <x:v>executive-benchmark-engine</x:v>
      </x:c>
      <x:c r="E1196" t="str">
        <x:v>e71ad1c4cd6a22f6a118f417b3dd50c2fb8f2663</x:v>
      </x:c>
      <x:c r="F1196" t="str">
        <x:v>Standardized focus-visible, hover, selected/active and disabled states into one shared np-control interaction contract.</x:v>
      </x:c>
      <x:c r="G1196" t="str">
        <x:v>Exactly three files published: src/app/globals.css, src/lib/design-system/executive-contract.ts, src/lib/design-system/executive-contract.test.ts. Focused tests 38 PASS; lint/build/diff-check PASS.</x:v>
      </x:c>
      <x:c r="H1196" t="str">
        <x:v>PASS / 13B-08 CLOSED / PUBLISHED</x:v>
      </x:c>
      <x:c r="I1196" t="str">
        <x:v>No page/control migration and no handler/business behavior change. Local interaction classes remain for later controlled adoption. No DB/Auth/RLS/Production change.</x:v>
      </x:c>
      <x:c r="J1196" t="str">
        <x:v>Next canonical Master Plan task: Phase 13B / 13B-09 — Define motion tokens.</x:v>
      </x:c>
    </x:row>
    <x:row r="1197">
      <x:c r="A1197" t="n">
        <x:v>46295</x:v>
      </x:c>
      <x:c r="B1197" t="str">
        <x:v>Phase 13B / 13B-09</x:v>
      </x:c>
      <x:c r="C1197" t="str">
        <x:v>13B-09 Motion Duration Tokens Published</x:v>
      </x:c>
      <x:c r="D1197" t="str">
        <x:v>executive-benchmark-engine</x:v>
      </x:c>
      <x:c r="E1197" t="str">
        <x:v>08c7afbad2dabfe76a1ea9a16d593dddabc64b35</x:v>
      </x:c>
      <x:c r="F1197" t="str">
        <x:v>Defined canonical application motion-duration tokens: fast 140ms, standard 220ms, context 300ms, milestone 650ms.</x:v>
      </x:c>
      <x:c r="G1197" t="str">
        <x:v>Exactly three files published: src/app/globals.css, src/lib/design-system/executive-contract.ts, src/lib/design-system/executive-contract.test.ts. Focused tests 39 PASS; lint/build/diff-check PASS.</x:v>
      </x:c>
      <x:c r="H1197" t="str">
        <x:v>PASS / 13B-09 CLOSED / PUBLISHED</x:v>
      </x:c>
      <x:c r="I1197" t="str">
        <x:v>No easing or reduced-motion behavior changes, no component/page migration, and no intentional visual change. No DB/Auth/RLS/Production change.</x:v>
      </x:c>
      <x:c r="J1197" t="str">
        <x:v>Next canonical Master Plan task: Phase 13B / 13B-10 — Define easing and reduced-motion behavior.</x:v>
      </x:c>
    </x:row>
    <x:row r="1198">
      <x:c r="A1198" t="n">
        <x:v>46295</x:v>
      </x:c>
      <x:c r="B1198" t="str">
        <x:v>Phase 13B / 13B-10</x:v>
      </x:c>
      <x:c r="C1198" t="str">
        <x:v>13B-10 Easing + Reduced Motion Contract Published</x:v>
      </x:c>
      <x:c r="D1198" t="str">
        <x:v>executive-benchmark-engine</x:v>
      </x:c>
      <x:c r="E1198" t="str">
        <x:v>90953c61e71a4c9a159cab3e32be02c24e5c5080</x:v>
      </x:c>
      <x:c r="F1198" t="str">
        <x:v>Defined the canonical restrained easing token and formalized accessible reduced-motion behavior without changing normal motion.</x:v>
      </x:c>
      <x:c r="G1198" t="str">
        <x:v>Exactly three files published: src/app/globals.css, src/lib/design-system/executive-contract.ts, src/lib/design-system/executive-contract.test.ts. Focused tests 40 PASS; lint/build/diff-check PASS.</x:v>
      </x:c>
      <x:c r="H1198" t="str">
        <x:v>PASS / 13B-10 CLOSED / PUBLISHED</x:v>
      </x:c>
      <x:c r="I1198" t="str">
        <x:v>No page/component migration, no new animation, no duration change, and no intentional normal-motion visual change. No DB/Auth/RLS/Production change.</x:v>
      </x:c>
      <x:c r="J1198" t="str">
        <x:v>Next canonical Master Plan task: Phase 13B / 13B-11 — Standardize logo treatment on dark surfaces.</x:v>
      </x:c>
    </x:row>
    <x:row r="1199">
      <x:c r="A1199" t="n">
        <x:v>46295</x:v>
      </x:c>
      <x:c r="B1199" t="str">
        <x:v>Phase 13B / 13B-11</x:v>
      </x:c>
      <x:c r="C1199" t="str">
        <x:v>13B-11 Dark-Surface Logo Treatment Published</x:v>
      </x:c>
      <x:c r="D1199" t="str">
        <x:v>executive-benchmark-engine</x:v>
      </x:c>
      <x:c r="E1199" t="str">
        <x:v>76d82183ad5bb30a00f68c9305579d4b6d9b4a41</x:v>
      </x:c>
      <x:c r="F1199" t="str">
        <x:v>Standardized the canonical official-logo treatment for dark application surfaces without altering the logo assets or brand geometry.</x:v>
      </x:c>
      <x:c r="G1199" t="str">
        <x:v>Published src/app/globals.css, src/lib/design-system/executive-contract.ts, src/lib/design-system/executive-contract.test.ts, plus only scoped dark-surface hunks in src/components/branding/nexus-pavilion-logo.tsx. Focused tests 72 PASS; lint/build/diff-check PASS.</x:v>
      </x:c>
      <x:c r="H1199" t="str">
        <x:v>PASS / 13B-11 CLOSED / PUBLISHED</x:v>
      </x:c>
      <x:c r="I1199" t="str">
        <x:v>Selective staging excluded pre-existing loading/fetchPriority and unrelated newline changes from the logo component. Official assets unchanged; no page/shell migration, DB/Auth/RLS or Production change.</x:v>
      </x:c>
      <x:c r="J1199" t="str">
        <x:v>Next canonical Master Plan task: Phase 13B / 13B-12 — Design-system foundation review.</x:v>
      </x:c>
    </x:row>
    <x:row r="1200">
      <x:c r="A1200" t="n">
        <x:v>46295</x:v>
      </x:c>
      <x:c r="B1200" t="str">
        <x:v>Phase 13B / 13B-12</x:v>
      </x:c>
      <x:c r="C1200" t="str">
        <x:v>13B-12 Design-System Foundation Gate PASS</x:v>
      </x:c>
      <x:c r="D1200" t="str">
        <x:v>executive-benchmark-engine</x:v>
      </x:c>
      <x:c r="E1200" t="str">
        <x:v>378ac6461ec77a49e25559469ce58f27dfbedbc8</x:v>
      </x:c>
      <x:c r="F1200" t="str">
        <x:v>Completed a read-only foundation review of the canonical 13B design-system contracts and accepted the foundation for Phase 13C.</x:v>
      </x:c>
      <x:c r="G1200" t="str">
        <x:v>Semantic colors, typography, spacing/grid, surfaces/depth, status palette, Intelligence language, interaction states, motion durations/easing/reduced motion, logo treatment, light-mode compatibility and accessibility all PASS. Focused tests 41 PASS; lint/build/diff-check PASS.</x:v>
      </x:c>
      <x:c r="H1200" t="str">
        <x:v>PASS / 13B-12 CLOSED / PHASE 13B FOUNDATION ACCEPTED</x:v>
      </x:c>
      <x:c r="I1200" t="str">
        <x:v>No source files modified. Deferred adoption gaps remain non-blocking and are assigned to later controlled component/shell/page adoption. No DB/Auth/RLS/Production change.</x:v>
      </x:c>
      <x:c r="J1200" t="str">
        <x:v>Next canonical Master Plan task: Phase 13C / 13C-01 — Standardize button system.</x:v>
      </x:c>
    </x:row>
    <x:row r="1201">
      <x:c r="A1201" t="n">
        <x:v>46295</x:v>
      </x:c>
      <x:c r="B1201" t="str">
        <x:v>Phase 13C / 13C-01</x:v>
      </x:c>
      <x:c r="C1201" t="str">
        <x:v>13C-01 Executive Button System Published</x:v>
      </x:c>
      <x:c r="D1201" t="str">
        <x:v>executive-benchmark-engine</x:v>
      </x:c>
      <x:c r="E1201" t="str">
        <x:v>0c507085e76a69e315f2887803cfb53f1f00556a</x:v>
      </x:c>
      <x:c r="F1201" t="str">
        <x:v>Extended the existing executive CTA contract into one shared button system covering primary, secondary, tertiary, destructive, icon, loading and disabled behavior.</x:v>
      </x:c>
      <x:c r="G1201" t="str">
        <x:v>Exactly two files published: src/lib/design-system/executive-contract.ts and src/lib/design-system/executive-contract.test.ts. Focused tests 71 PASS; lint/build/diff-check PASS.</x:v>
      </x:c>
      <x:c r="H1201" t="str">
        <x:v>PASS / 13C-01 CLOSED / PUBLISHED</x:v>
      </x:c>
      <x:c r="I1201" t="str">
        <x:v>No new button component, no page migration, no RegisterForm modification, and no click/submit/navigation/business behavior change. Existing local button classes remain for later controlled adoption. No DB/Auth/RLS/Production change.</x:v>
      </x:c>
      <x:c r="J1201" t="str">
        <x:v>Next canonical Master Plan task: Phase 13C / 13C-02 — Standardize form controls.</x:v>
      </x:c>
    </x:row>
    <x:row r="1202">
      <x:c r="A1202" t="n">
        <x:v>46295</x:v>
      </x:c>
      <x:c r="B1202" t="str">
        <x:v>Phase 13C / 13C-02</x:v>
      </x:c>
      <x:c r="C1202" t="str">
        <x:v>13C-02 Executive Form-Control Contract Published</x:v>
      </x:c>
      <x:c r="D1202" t="str">
        <x:v>executive-benchmark-engine</x:v>
      </x:c>
      <x:c r="E1202" t="str">
        <x:v>2dd0043c360a0c003d57ff7a0cad7a4a28e39d32</x:v>
      </x:c>
      <x:c r="F1202" t="str">
        <x:v>Standardized the shared dark-first form-control contract for input, textarea, select, checkbox, radio and validation/accessibility states.</x:v>
      </x:c>
      <x:c r="G1202" t="str">
        <x:v>Exactly two files published: src/lib/design-system/executive-contract.ts and src/lib/design-system/executive-contract.test.ts. Focused tests 43 PASS; lint/build/diff-check PASS.</x:v>
      </x:c>
      <x:c r="H1202" t="str">
        <x:v>PASS / 13C-02 CLOSED / PUBLISHED</x:v>
      </x:c>
      <x:c r="I1202" t="str">
        <x:v>No new form component, no page/form migration, no RegisterForm change, no date/deadline scope, and no validation/business-logic change. Existing local form classes remain for later controlled adoption. No DB/Auth/RLS/Production change.</x:v>
      </x:c>
      <x:c r="J1202" t="str">
        <x:v>Next canonical Master Plan task: Phase 13C / 13C-03 — Standardize date/deadline controls.</x:v>
      </x:c>
    </x:row>
    <x:row r="1203">
      <x:c r="A1203" t="n">
        <x:v>46295</x:v>
      </x:c>
      <x:c r="B1203" t="str">
        <x:v>Phase 13C / 13C-03</x:v>
      </x:c>
      <x:c r="C1203" t="str">
        <x:v>13C-03 Date / Deadline Controls Published</x:v>
      </x:c>
      <x:c r="D1203" t="str">
        <x:v>executive-benchmark-engine</x:v>
      </x:c>
      <x:c r="E1203" t="str">
        <x:v>d111e3d4b95c7221bca3fb3aeca3a221219974a2</x:v>
      </x:c>
      <x:c r="F1203" t="str">
        <x:v>Standardized the existing DeadlineField against the shared executive form-control contract, including datetime, timezone display and validation treatment.</x:v>
      </x:c>
      <x:c r="G1203" t="str">
        <x:v>Exactly three files published: src/components/deadline-field.tsx, src/lib/design-system/executive-contract.ts, src/lib/design-system/executive-contract.test.ts. Focused tests 82 PASS; lint/build/diff-check PASS.</x:v>
      </x:c>
      <x:c r="H1203" t="str">
        <x:v>PASS / 13C-03 CLOSED / PUBLISHED</x:v>
      </x:c>
      <x:c r="I1203" t="str">
        <x:v>No deadline parsing, timezone conversion, min/max validation, RFQ/RFI/procurement-opening logic, API/database or Production change. Visual change limited to shared treatment; standalone date inputs remain for later controlled adoption.</x:v>
      </x:c>
      <x:c r="J1203" t="str">
        <x:v>Next canonical Master Plan task: Phase 13C / 13C-04 — Standardize badges/status chips.</x:v>
      </x:c>
    </x:row>
    <x:row r="1204">
      <x:c r="A1204" t="n">
        <x:v>46295</x:v>
      </x:c>
      <x:c r="B1204" t="str">
        <x:v>Phase 13C / 13C-04</x:v>
      </x:c>
      <x:c r="C1204" t="str">
        <x:v>13C-04 Semantic Badge System Published</x:v>
      </x:c>
      <x:c r="D1204" t="str">
        <x:v>executive-benchmark-engine</x:v>
      </x:c>
      <x:c r="E1204" t="str">
        <x:v>4af570c530859b8572a0a4d48cc2ad2547b5fdc1</x:v>
      </x:c>
      <x:c r="F1204" t="str">
        <x:v>Centralized canonical badge roles, tone aliases and semantic classes so the shared ExecutiveBadge and RFQ workspace status badge consume one status-presentation contract.</x:v>
      </x:c>
      <x:c r="G1204" t="str">
        <x:v>Four files published: src/components/executive/executive-badge.tsx, src/components/rfq-workspace/shared/executive-status-badge.tsx, src/lib/design-system/executive-contract.ts, src/lib/design-system/executive-contract.test.ts. Focused tests 73 PASS; lint/build/diff-check PASS.</x:v>
      </x:c>
      <x:c r="H1204" t="str">
        <x:v>PASS / 13C-04 CLOSED / PUBLISHED</x:v>
      </x:c>
      <x:c r="I1204" t="str">
        <x:v>Awarded/recommended/locked mappings unchanged; no status names, workflow/business logic, RFQ/RFI/quote/award state machine, DB/Auth/RLS or Production change. Visual change limited to shared badge treatment; page-local chips remain for later controlled adoption.</x:v>
      </x:c>
      <x:c r="J1204" t="str">
        <x:v>Next canonical Master Plan task: Phase 13C / 13C-05 — Standardize card roles.</x:v>
      </x:c>
    </x:row>
    <x:row r="1205">
      <x:c r="A1205" t="n">
        <x:v>46295</x:v>
      </x:c>
      <x:c r="B1205" t="str">
        <x:v>Phase 13C / 13C-05</x:v>
      </x:c>
      <x:c r="C1205" t="str">
        <x:v>13C-05 Canonical Card Roles Published</x:v>
      </x:c>
      <x:c r="D1205" t="str">
        <x:v>executive-benchmark-engine</x:v>
      </x:c>
      <x:c r="E1205" t="str">
        <x:v>a3af9776410417736ff4b02b1375b31a1a5dbd8b</x:v>
      </x:c>
      <x:c r="F1205" t="str">
        <x:v>Defined the five canonical shared card roles — Status, Metric, Action, Intelligence and Summary — using the existing executive panel, tile and intelligence contracts.</x:v>
      </x:c>
      <x:c r="G1205" t="str">
        <x:v>Exactly two files published: src/lib/design-system/executive-contract.ts and src/lib/design-system/executive-contract.test.ts. Focused tests 74 PASS; lint/build/diff-check PASS.</x:v>
      </x:c>
      <x:c r="H1205" t="str">
        <x:v>PASS / 13C-05 CLOSED / PUBLISHED</x:v>
      </x:c>
      <x:c r="I1205" t="str">
        <x:v>No new card component, no component deletion/replacement, no page/card migration, and no business/data behavior change. Existing local card treatments remain for later controlled adoption. No DB/Auth/RLS/Production change.</x:v>
      </x:c>
      <x:c r="J1205" t="str">
        <x:v>Next canonical Master Plan task: Phase 13C / 13C-06 — Standardize enterprise tables.</x:v>
      </x:c>
    </x:row>
    <x:row r="1206">
      <x:c r="A1206" t="n">
        <x:v>46295</x:v>
      </x:c>
      <x:c r="B1206" t="str">
        <x:v>Phase 13C / 13C-06</x:v>
      </x:c>
      <x:c r="C1206" t="str">
        <x:v>13C-06 Enterprise Table Contract Published</x:v>
      </x:c>
      <x:c r="D1206" t="str">
        <x:v>executive-benchmark-engine</x:v>
      </x:c>
      <x:c r="E1206" t="str">
        <x:v>8a4f5b621f3d6bf78f7c95b383ca464610041a87</x:v>
      </x:c>
      <x:c r="F1206" t="str">
        <x:v>Defined the shared enterprise-table presentation contract for overflow, sticky headers, density/alignment, numeric cells and active sort/filter visual states.</x:v>
      </x:c>
      <x:c r="G1206" t="str">
        <x:v>Exactly two files published: src/lib/design-system/executive-contract.ts and src/lib/design-system/executive-contract.test.ts. Focused tests 46 PASS; lint/build/diff-check PASS.</x:v>
      </x:c>
      <x:c r="H1206" t="str">
        <x:v>PASS / 13C-06 CLOSED / PUBLISHED</x:v>
      </x:c>
      <x:c r="I1206" t="str">
        <x:v>No shared table component existed; no component was created. No page/table migration and no sorting/filtering/query/data/pagination behavior change. Existing page-local table styling remains for later controlled adoption. No DB/Auth/RLS/Production change.</x:v>
      </x:c>
      <x:c r="J1206" t="str">
        <x:v>Next canonical Master Plan task: Phase 13C / 13C-07 — Standardize dialogs and confirmation modals.</x:v>
      </x:c>
    </x:row>
    <x:row r="1207">
      <x:c r="A1207" t="n">
        <x:v>46295</x:v>
      </x:c>
      <x:c r="B1207" t="str">
        <x:v>Phase 13C / 13C-07</x:v>
      </x:c>
      <x:c r="C1207" t="str">
        <x:v>13C-07 Confirmation Dialog Contract Published</x:v>
      </x:c>
      <x:c r="D1207" t="str">
        <x:v>executive-benchmark-engine</x:v>
      </x:c>
      <x:c r="E1207" t="str">
        <x:v>df6627fa7de5d7ddc2c9f706c406422dd240c965</x:v>
      </x:c>
      <x:c r="F1207" t="str">
        <x:v>Standardized the existing ExecutiveConfirmDialog around one shared confirmation hierarchy using canonical surface and button contracts.</x:v>
      </x:c>
      <x:c r="G1207" t="str">
        <x:v>Exactly three files published: src/components/executive/executive-confirm-dialog.tsx, src/lib/design-system/executive-contract.ts, src/lib/design-system/executive-contract.test.ts. Focused tests 58 PASS; lint/build/diff-check PASS.</x:v>
      </x:c>
      <x:c r="H1207" t="str">
        <x:v>PASS / 13C-07 CLOSED / PUBLISHED</x:v>
      </x:c>
      <x:c r="I1207" t="str">
        <x:v>Confirm/cancel handlers, Escape/focus behavior, accessible labeling and destructive semantics preserved. No page-level window.confirm or company-delete migration, no authorization/business logic, DB/Auth/RLS or Production change.</x:v>
      </x:c>
      <x:c r="J1207" t="str">
        <x:v>Next canonical Master Plan task: Phase 13C / 13C-08 — Standardize drawers/side panels.</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45fc92405d0a4f44"/>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78757e8f251d4402"/>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str">
        <x:v>Completed</x:v>
      </x:c>
      <x:c r="J5" s="133" t="str">
        <x:v>U0 APPROVED / CLOSED — 13A-01 through 13A-10 complete. Existing shell/brand/tokens/components/motion/guidance/accessibility foundations inventoried; canonical scorecard baseline established for all 23 entries (11 verified weighted scores, 12 explicit UNVERIFIED entries). Shared-first sequence approved. Next wave: U1 / 13B Dark Design System Foundation.</x:v>
      </x:c>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str">
        <x:v>In Progress</x:v>
      </x:c>
      <x:c r="J6" s="133" t="str">
        <x:v>U2 / Phase 13C IN PROGRESS — 13C-01 through 13C-07 complete: buttons, form controls, date/deadline controls, badges/status chips, card roles, enterprise tables, and confirmation dialogs. Next: 13C-08 Standardize drawers/side panels.</x:v>
      </x:c>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inlineStr">
        <x:is>
          <x:t xml:space="preserve">Not Started</x:t>
        </x:is>
      </x:c>
      <x:c r="J9" s="133" t="str"/>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inlineStr">
        <x:is>
          <x:t xml:space="preserve">Not Started</x:t>
        </x:is>
      </x:c>
      <x:c r="J10" s="133" t="str"/>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inlineStr">
        <x:is>
          <x:t xml:space="preserve">Not Started</x:t>
        </x:is>
      </x:c>
      <x:c r="J11" s="133" t="str"/>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inlineStr">
        <x:is>
          <x:t xml:space="preserve">Not Started</x:t>
        </x:is>
      </x:c>
      <x:c r="J12" s="133" t="str"/>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inlineStr">
        <x:is>
          <x:t xml:space="preserve">Not Started</x:t>
        </x:is>
      </x:c>
      <x:c r="J13" s="133" t="str"/>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3d82fbf3f9d741ea"/>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n">
        <x:v>6.6</x:v>
      </x:c>
      <x:c r="N5" s="269" t="n">
        <x:v>9.5</x:v>
      </x:c>
      <x:c r="O5" s="28" t="str">
        <x:v>Baseline Scored - Below Target</x:v>
      </x:c>
      <x:c r="P5" s="28" t="str">
        <x:v>Portfolio facts repeat across position/decision context/snapshot; action queue is only one variance note and intelligence is a generic sidebar promo.</x:v>
      </x:c>
      <x:c r="Q5" s="28" t="str">
        <x:v>VERIFIED on localhost with authenticated session; desktop + mobile.</x:v>
      </x:c>
      <x:c r="S5" t="inlineStr">
        <x:is>
          <x:t xml:space="preserve">Pages Scored</x:t>
        </x:is>
      </x:c>
      <x:c r="T5" t="n">
        <x:v>11</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n">
        <x:v>6.4</x:v>
      </x:c>
      <x:c r="N6" s="269" t="n">
        <x:v>9.5</x:v>
      </x:c>
      <x:c r="O6" s="28" t="str">
        <x:v>Baseline Scored - Below Target</x:v>
      </x:c>
      <x:c r="P6" s="28" t="str">
        <x:v>Counts and record headings carry equal weight; Create RFQ is visible but the list does not show the next workflow step.</x:v>
      </x:c>
      <x:c r="Q6" s="28" t="str">
        <x:v>VERIFIED on localhost with authenticated session; desktop + mobile.</x:v>
      </x:c>
      <x:c r="S6" t="inlineStr">
        <x:is>
          <x:t xml:space="preserve">Average Score</x:t>
        </x:is>
      </x:c>
      <x:c r="T6" s="253" t="n">
        <x:v>6.509090909090909</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n">
        <x:v>6.9</x:v>
      </x:c>
      <x:c r="N7" s="269" t="n">
        <x:v>9.5</x:v>
      </x:c>
      <x:c r="O7" s="28" t="str">
        <x:v>Baseline Scored - Below Target</x:v>
      </x:c>
      <x:c r="P7" s="28" t="str">
        <x:v>Empty draft already shows $0 and 44% required; later steps/guidance are not tied to the fields currently on screen.</x:v>
      </x:c>
      <x:c r="Q7" s="28" t="str">
        <x:v>VERIFIED on localhost with authenticated session; desktop + mobile.</x:v>
      </x:c>
      <x:c r="S7" t="inlineStr">
        <x:is>
          <x:t xml:space="preserve">Critical Below 9.0</x:t>
        </x:is>
      </x:c>
      <x:c r="T7" s="253" t="n">
        <x:v>9</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n">
        <x:v>6.5</x:v>
      </x:c>
      <x:c r="N8" s="269" t="n">
        <x:v>9.5</x:v>
      </x:c>
      <x:c r="O8" s="28" t="str">
        <x:v>Baseline Scored - Below Target</x:v>
      </x:c>
      <x:c r="P8" s="28" t="str">
        <x:v>Approved-vendor unavailable is repeated three times; email invitation lacks guidance on who should be invited.</x:v>
      </x:c>
      <x:c r="Q8" s="28" t="str">
        <x:v>VERIFIED on localhost with authenticated issuer session; desktop + mobile.</x:v>
      </x:c>
      <x:c r="S8" t="inlineStr">
        <x:is>
          <x:t xml:space="preserve">Pages Ready ≥9.5</x:t>
        </x:is>
      </x:c>
      <x:c r="T8" s="253" t="n">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n">
        <x:v>6.5</x:v>
      </x:c>
      <x:c r="N9" s="269" t="n">
        <x:v>9.5</x:v>
      </x:c>
      <x:c r="O9" s="28" t="str">
        <x:v>Baseline Scored - Below Target</x:v>
      </x:c>
      <x:c r="P9" s="28" t="str">
        <x:v>Issuer copy still tells the user to submit private respondent inquiries; section heading sits under the sticky mobile header.</x:v>
      </x:c>
      <x:c r="Q9" s="28" t="str">
        <x:v>VERIFIED on localhost with authenticated issuer session; desktop + mobile.</x:v>
      </x:c>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n">
        <x:v>6.3</x:v>
      </x:c>
      <x:c r="N10" s="269" t="n">
        <x:v>9.5</x:v>
      </x:c>
      <x:c r="O10" s="28" t="str">
        <x:v>Baseline Scored - Below Target</x:v>
      </x:c>
      <x:c r="P10" s="28" t="str">
        <x:v>Opening is marked complete while pricing is still described as hidden until deadline; 82/100 and $465,000 repeat and Award Contract appears twice.</x:v>
      </x:c>
      <x:c r="Q10" s="28" t="str">
        <x:v>VERIFIED on localhost with authenticated issuer session; desktop + mobile.</x:v>
      </x:c>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x:c r="N11" s="269" t="n">
        <x:v>9.5</x:v>
      </x:c>
      <x:c r="O11" s="28" t="str">
        <x:v>UNVERIFIED - Access Limited</x:v>
      </x:c>
      <x:c r="P11" s="28" t="str">
        <x:v>Respondent RFQ surface was not available in the authenticated Northline issuer session.</x:v>
      </x:c>
      <x:c r="Q11" s="28" t="str">
        <x:v>UNVERIFIED; legitimate respondent session not available. No role/session manipulation performed.</x:v>
      </x:c>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x:c r="N12" s="269" t="n">
        <x:v>9.5</x:v>
      </x:c>
      <x:c r="O12" s="28" t="str">
        <x:v>UNVERIFIED - Access Limited</x:v>
      </x:c>
      <x:c r="P12" s="28" t="str">
        <x:v>Respondent RFI surface was not available in the authenticated Northline issuer session.</x:v>
      </x:c>
      <x:c r="Q12" s="28" t="str">
        <x:v>UNVERIFIED; legitimate respondent session not available. No role/session manipulation performed.</x:v>
      </x:c>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x:c r="N13" s="269" t="n">
        <x:v>9.5</x:v>
      </x:c>
      <x:c r="O13" s="28" t="str">
        <x:v>UNVERIFIED - Access Limited</x:v>
      </x:c>
      <x:c r="P13" s="28" t="str">
        <x:v>Quote preparation requires a legitimate respondent session that was not available.</x:v>
      </x:c>
      <x:c r="Q13" s="28" t="str">
        <x:v>UNVERIFIED; no respondent session available and no procurement data/session manipulation performed.</x:v>
      </x:c>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x:c r="N14" s="269" t="n">
        <x:v>9.5</x:v>
      </x:c>
      <x:c r="O14" s="28" t="str">
        <x:v>UNVERIFIED - Access Limited</x:v>
      </x:c>
      <x:c r="P14" s="28" t="str">
        <x:v>Respondent submission/award tracking requires a legitimate respondent session that was not available.</x:v>
      </x:c>
      <x:c r="Q14" s="28" t="str">
        <x:v>UNVERIFIED; no respondent session available and no procurement data/session manipulation performed.</x:v>
      </x:c>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n">
        <x:v>6.1</x:v>
      </x:c>
      <x:c r="N15" s="269" t="n">
        <x:v>9.5</x:v>
      </x:c>
      <x:c r="O15" s="28" t="str">
        <x:v>Baseline Scored - Below Target</x:v>
      </x:c>
      <x:c r="P15" s="28" t="str">
        <x:v>Needs Attention rows report submissions without a required action; source links share one repeated name.</x:v>
      </x:c>
      <x:c r="Q15" s="28" t="str">
        <x:v>VERIFIED on localhost with authenticated session; desktop + mobile.</x:v>
      </x:c>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n">
        <x:v>5.6</x:v>
      </x:c>
      <x:c r="N16" s="269" t="n">
        <x:v>9.5</x:v>
      </x:c>
      <x:c r="O16" s="28" t="str">
        <x:v>Baseline Scored - Below Target</x:v>
      </x:c>
      <x:c r="P16" s="28" t="str">
        <x:v>Shell says Verified Access/Live while page says workspace context is unavailable; no project list or workflow is rendered.</x:v>
      </x:c>
      <x:c r="Q16" s="28" t="str">
        <x:v>VERIFIED on localhost; anonymous blocked state checked at desktop + mobile. Populated portfolio not rendered.</x:v>
      </x:c>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x:c r="N17" s="269" t="n">
        <x:v>9.5</x:v>
      </x:c>
      <x:c r="O17" s="28" t="str">
        <x:v>UNVERIFIED - Empty Document</x:v>
      </x:c>
      <x:c r="P17" s="28" t="str">
        <x:v>/directory returned a completed empty document in the authenticated session.</x:v>
      </x:c>
      <x:c r="Q17" s="28" t="str">
        <x:v>UNVERIFIED; route returned empty document. No data/code change performed.</x:v>
      </x:c>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n">
        <x:v>6.1</x:v>
      </x:c>
      <x:c r="N18" s="269" t="n">
        <x:v>9.5</x:v>
      </x:c>
      <x:c r="O18" s="28" t="str">
        <x:v>Baseline Scored - Below Target</x:v>
      </x:c>
      <x:c r="P18" s="28" t="str">
        <x:v>Three page headings compete (Board Report, Procurement Evidence, Executive Overview); Validated intelligence sits beside repeated Insufficient Data.</x:v>
      </x:c>
      <x:c r="Q18" s="28" t="str">
        <x:v>VERIFIED on localhost with authenticated session; desktop + mobile.</x:v>
      </x:c>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x:c r="N19" s="269" t="n">
        <x:v>9.5</x:v>
      </x:c>
      <x:c r="O19" s="28" t="str">
        <x:v>UNVERIFIED - Empty Document</x:v>
      </x:c>
      <x:c r="P19" s="28" t="str">
        <x:v>/company returned a completed empty document in the authenticated session.</x:v>
      </x:c>
      <x:c r="Q19" s="28" t="str">
        <x:v>UNVERIFIED; route returned empty document. No data/code change performed.</x:v>
      </x:c>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x:c r="N20" s="269" t="n">
        <x:v>9.5</x:v>
      </x:c>
      <x:c r="O20" s="28" t="str">
        <x:v>UNVERIFIED - Empty Document</x:v>
      </x:c>
      <x:c r="P20" s="28" t="str">
        <x:v>Team &amp; Access is within the company/settings surface, which returned an empty document.</x:v>
      </x:c>
      <x:c r="Q20" s="28" t="str">
        <x:v>UNVERIFIED; company/settings surface returned empty document.</x:v>
      </x:c>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x:c r="N21" s="269" t="n">
        <x:v>9.5</x:v>
      </x:c>
      <x:c r="O21" s="28" t="str">
        <x:v>UNVERIFIED - Empty Document</x:v>
      </x:c>
      <x:c r="P21" s="28" t="str">
        <x:v>Capabilities &amp; Qualifications is within the company/settings surface, which returned an empty document.</x:v>
      </x:c>
      <x:c r="Q21" s="28" t="str">
        <x:v>UNVERIFIED; company/settings surface returned empty document.</x:v>
      </x:c>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x:c r="N22" s="269" t="n">
        <x:v>9.5</x:v>
      </x:c>
      <x:c r="O22" s="28" t="str">
        <x:v>UNVERIFIED - Empty Document</x:v>
      </x:c>
      <x:c r="P22" s="28" t="str">
        <x:v>Compliance &amp; Documents is within the company/settings surface, which returned an empty document.</x:v>
      </x:c>
      <x:c r="Q22" s="28" t="str">
        <x:v>UNVERIFIED; company/settings surface returned empty document.</x:v>
      </x:c>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x:c r="N23" s="269" t="n">
        <x:v>9.5</x:v>
      </x:c>
      <x:c r="O23" s="28" t="str">
        <x:v>UNVERIFIED - Empty Document</x:v>
      </x:c>
      <x:c r="P23" s="28" t="str">
        <x:v>Policies &amp; Approvals is within the company/settings surface, which returned an empty document.</x:v>
      </x:c>
      <x:c r="Q23" s="28" t="str">
        <x:v>UNVERIFIED; company/settings surface returned empty document.</x:v>
      </x:c>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x:c r="N24" s="269" t="n">
        <x:v>9.5</x:v>
      </x:c>
      <x:c r="O24" s="28" t="str">
        <x:v>UNVERIFIED - Empty Document</x:v>
      </x:c>
      <x:c r="P24" s="28" t="str">
        <x:v>Integrations &amp; Settings is within the company/settings surface, which returned an empty document.</x:v>
      </x:c>
      <x:c r="Q24" s="28" t="str">
        <x:v>UNVERIFIED; company/settings surface returned empty document.</x:v>
      </x:c>
    </x:row>
    <x:row r="25">
      <x:c r="A25" t="inlineStr">
        <x:is>
          <x:t xml:space="preserve">NexusPavilion Inc. Corporate Home</x:t>
        </x:is>
      </x:c>
      <x:c r="B25" t="inlineStr">
        <x:is>
          <x:t xml:space="preserve">Yes</x:t>
        </x:is>
      </x:c>
      <x:c r="M25" s="253" t="n">
        <x:v>8.3</x:v>
      </x:c>
      <x:c r="N25" s="253" t="n">
        <x:v>9.5</x:v>
      </x:c>
      <x:c r="O25" t="str">
        <x:v>Baseline Scored - Below Target</x:v>
      </x:c>
      <x:c r="P25" t="str">
        <x:v>No product sign-in path; development HMR socket errors were present but did not alter the rendered UI.</x:v>
      </x:c>
      <x:c r="Q25" t="str">
        <x:v>VERIFIED on localhost; desktop + 390px mobile render.</x:v>
      </x:c>
    </x:row>
    <x:row r="26">
      <x:c r="A26" t="inlineStr">
        <x:is>
          <x:t xml:space="preserve">Intelligent Procurement Product Landing</x:t>
        </x:is>
      </x:c>
      <x:c r="B26" t="inlineStr">
        <x:is>
          <x:t xml:space="preserve">Yes</x:t>
        </x:is>
      </x:c>
      <x:c r="M26" s="253" t="n">
        <x:v>6.3</x:v>
      </x:c>
      <x:c r="N26" s="253" t="n">
        <x:v>9.5</x:v>
      </x:c>
      <x:c r="O26" t="str">
        <x:v>Baseline Scored - Below Target</x:v>
      </x:c>
      <x:c r="P26" t="str">
        <x:v>Product is labelled In Development; no route from the product chapter into the product application.</x:v>
      </x:c>
      <x:c r="Q26" t="str">
        <x:v>VERIFIED on localhost; desktop + 390px mobile render.</x:v>
      </x:c>
    </x:row>
    <x:row r="27">
      <x:c r="A27" t="inlineStr">
        <x:is>
          <x:t xml:space="preserve">Product Entry / Authentication</x:t>
        </x:is>
      </x:c>
      <x:c r="B27" t="inlineStr">
        <x:is>
          <x:t xml:space="preserve">Yes</x:t>
        </x:is>
      </x:c>
      <x:c r="M27" s="253"/>
      <x:c r="N27" s="253" t="n">
        <x:v>9.5</x:v>
      </x:c>
      <x:c r="O27" t="str">
        <x:v>UNVERIFIED - Auth Surface</x:v>
      </x:c>
      <x:c r="P27" t="str">
        <x:v>Product-entry/auth surface could not be meaningfully scored in the audit browser; login/signup previously rendered empty documents before authenticated session was established.</x:v>
      </x:c>
      <x:c r="Q27" t="str">
        <x:v>UNVERIFIED; no account/session mutation or auth-flow manipulation performed.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be7bee52c4c145a3"/>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a65c9a1ab47347c5"/>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a0be167d06be4813"/>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