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47a8e6641c64ae2" /></Relationships>
</file>

<file path=xl/workbook.xml><?xml version="1.0" encoding="utf-8"?>
<x:workbook xmlns:x="http://schemas.openxmlformats.org/spreadsheetml/2006/main">
  <x:sheets>
    <x:sheet xmlns:r="http://schemas.openxmlformats.org/officeDocument/2006/relationships" name="01 Master Plan" sheetId="1" r:id="R9fb0080e3ac04665"/>
    <x:sheet xmlns:r="http://schemas.openxmlformats.org/officeDocument/2006/relationships" name="03 Launch Gates" sheetId="2" r:id="R62ed7f54bcbd4c0b"/>
    <x:sheet xmlns:r="http://schemas.openxmlformats.org/officeDocument/2006/relationships" name="00 Dashboard" sheetId="3" r:id="Rfc823c73a62a4b05"/>
    <x:sheet xmlns:r="http://schemas.openxmlformats.org/officeDocument/2006/relationships" name="04 Cursor Tasks" sheetId="4" r:id="R08c3637707cc4f58"/>
    <x:sheet xmlns:r="http://schemas.openxmlformats.org/officeDocument/2006/relationships" name="05 UAT Matrix" sheetId="5" r:id="R16022e711b2a4f02"/>
    <x:sheet xmlns:r="http://schemas.openxmlformats.org/officeDocument/2006/relationships" name="06 Security Matrix" sheetId="6" r:id="R01a5cd2551654813"/>
    <x:sheet xmlns:r="http://schemas.openxmlformats.org/officeDocument/2006/relationships" name="07 Risks" sheetId="7" r:id="Rd80c8d681b064ff0"/>
    <x:sheet xmlns:r="http://schemas.openxmlformats.org/officeDocument/2006/relationships" name="08 Architecture" sheetId="8" r:id="Rb103bec41c6b45a4"/>
    <x:sheet xmlns:r="http://schemas.openxmlformats.org/officeDocument/2006/relationships" name="09 Release Checklist" sheetId="9" r:id="R8a3d54208c9e4d38"/>
    <x:sheet xmlns:r="http://schemas.openxmlformats.org/officeDocument/2006/relationships" name="10 Change Log" sheetId="10" r:id="Rd3c63d287fff4c13"/>
    <x:sheet xmlns:r="http://schemas.openxmlformats.org/officeDocument/2006/relationships" name="11 Scope &amp; Roadmap" sheetId="11" r:id="R3e8bf308dd894e6c"/>
    <x:sheet xmlns:r="http://schemas.openxmlformats.org/officeDocument/2006/relationships" name="12 How to Use" sheetId="12" r:id="Rd18f9ef5e7474a54"/>
    <x:sheet xmlns:r="http://schemas.openxmlformats.org/officeDocument/2006/relationships" name="13 UI Program" sheetId="13" r:id="R03b7f89003fd45be"/>
    <x:sheet xmlns:r="http://schemas.openxmlformats.org/officeDocument/2006/relationships" name="14 UI Scorecard" sheetId="14" r:id="Rffd861afa5ad4e71"/>
    <x:sheet xmlns:r="http://schemas.openxmlformats.org/officeDocument/2006/relationships" name="15 Motion Guidance" sheetId="15" r:id="R5ca7df8a1ea946e0"/>
    <x:sheet xmlns:r="http://schemas.openxmlformats.org/officeDocument/2006/relationships" name="16 Design Standards" sheetId="16" r:id="R8d6a7d29974a432d"/>
    <x:sheet xmlns:r="http://schemas.openxmlformats.org/officeDocument/2006/relationships" name="17 Corporate Platform" sheetId="17" r:id="R5702b856a4114427"/>
    <x:sheet xmlns:r="http://schemas.openxmlformats.org/officeDocument/2006/relationships" name="18 Analytics Reuse Map" sheetId="18" r:id="Rf379686b73de480e"/>
    <x:sheet xmlns:r="http://schemas.openxmlformats.org/officeDocument/2006/relationships" name="19 Executive Insights Discovery" sheetId="19" r:id="R5483bd9a90a342c6"/>
    <x:sheet xmlns:r="http://schemas.openxmlformats.org/officeDocument/2006/relationships" name="20 Procurement Insights Discovery" sheetId="20" r:id="R54bc2957f43043e7"/>
    <x:sheet xmlns:r="http://schemas.openxmlformats.org/officeDocument/2006/relationships" name="21 Commercial Insights Discovery" sheetId="21" r:id="R6e5e0b92875d4621"/>
    <x:sheet xmlns:r="http://schemas.openxmlformats.org/officeDocument/2006/relationships" name="22 Project Insights Discovery" sheetId="22" r:id="R937e7914c8f84857"/>
    <x:sheet xmlns:r="http://schemas.openxmlformats.org/officeDocument/2006/relationships" name="23 Performance Discovery" sheetId="23" r:id="Rcaaafe19c0194bca"/>
    <x:sheet xmlns:r="http://schemas.openxmlformats.org/officeDocument/2006/relationships" name="24 Risk Compliance Discovery" sheetId="24" r:id="R901294dec0974485"/>
    <x:sheet xmlns:r="http://schemas.openxmlformats.org/officeDocument/2006/relationships" name="25 Commercial Handoff" sheetId="25" r:id="R43ff1322e85e4bb5"/>
    <x:sheet xmlns:r="http://schemas.openxmlformats.org/officeDocument/2006/relationships" name="26 RFQ Governance" sheetId="26" r:id="Ra6a95e63a60f469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f628cad07f3472b" /><Relationship Type="http://schemas.openxmlformats.org/officeDocument/2006/relationships/theme" Target="/xl/theme/theme1.xml" Id="R9e668db242a8426d" /><Relationship Type="http://schemas.openxmlformats.org/officeDocument/2006/relationships/sharedStrings" Target="/xl/sharedStrings.xml" Id="R9734bb066c1c4285" /><Relationship Type="http://schemas.openxmlformats.org/officeDocument/2006/relationships/worksheet" Target="/xl/worksheets/sheet1.xml" Id="R9fb0080e3ac04665" /><Relationship Type="http://schemas.openxmlformats.org/officeDocument/2006/relationships/worksheet" Target="/xl/worksheets/sheet2.xml" Id="R62ed7f54bcbd4c0b" /><Relationship Type="http://schemas.openxmlformats.org/officeDocument/2006/relationships/worksheet" Target="/xl/worksheets/sheet3.xml" Id="Rfc823c73a62a4b05" /><Relationship Type="http://schemas.openxmlformats.org/officeDocument/2006/relationships/worksheet" Target="/xl/worksheets/sheet4.xml" Id="R08c3637707cc4f58" /><Relationship Type="http://schemas.openxmlformats.org/officeDocument/2006/relationships/worksheet" Target="/xl/worksheets/sheet5.xml" Id="R16022e711b2a4f02" /><Relationship Type="http://schemas.openxmlformats.org/officeDocument/2006/relationships/worksheet" Target="/xl/worksheets/sheet6.xml" Id="R01a5cd2551654813" /><Relationship Type="http://schemas.openxmlformats.org/officeDocument/2006/relationships/worksheet" Target="/xl/worksheets/sheet7.xml" Id="Rd80c8d681b064ff0" /><Relationship Type="http://schemas.openxmlformats.org/officeDocument/2006/relationships/worksheet" Target="/xl/worksheets/sheet8.xml" Id="Rb103bec41c6b45a4" /><Relationship Type="http://schemas.openxmlformats.org/officeDocument/2006/relationships/worksheet" Target="/xl/worksheets/sheet9.xml" Id="R8a3d54208c9e4d38" /><Relationship Type="http://schemas.openxmlformats.org/officeDocument/2006/relationships/worksheet" Target="/xl/worksheets/sheet10.xml" Id="Rd3c63d287fff4c13" /><Relationship Type="http://schemas.openxmlformats.org/officeDocument/2006/relationships/worksheet" Target="/xl/worksheets/sheet11.xml" Id="R3e8bf308dd894e6c" /><Relationship Type="http://schemas.openxmlformats.org/officeDocument/2006/relationships/worksheet" Target="/xl/worksheets/sheet12.xml" Id="Rd18f9ef5e7474a54" /><Relationship Type="http://schemas.openxmlformats.org/officeDocument/2006/relationships/worksheet" Target="/xl/worksheets/sheet13.xml" Id="R03b7f89003fd45be" /><Relationship Type="http://schemas.openxmlformats.org/officeDocument/2006/relationships/worksheet" Target="/xl/worksheets/sheet14.xml" Id="Rffd861afa5ad4e71" /><Relationship Type="http://schemas.openxmlformats.org/officeDocument/2006/relationships/worksheet" Target="/xl/worksheets/sheet15.xml" Id="R5ca7df8a1ea946e0" /><Relationship Type="http://schemas.openxmlformats.org/officeDocument/2006/relationships/worksheet" Target="/xl/worksheets/sheet16.xml" Id="R8d6a7d29974a432d" /><Relationship Type="http://schemas.openxmlformats.org/officeDocument/2006/relationships/worksheet" Target="/xl/worksheets/sheet17.xml" Id="R5702b856a4114427" /><Relationship Type="http://schemas.openxmlformats.org/officeDocument/2006/relationships/worksheet" Target="/xl/worksheets/sheet18.xml" Id="Rf379686b73de480e" /><Relationship Type="http://schemas.openxmlformats.org/officeDocument/2006/relationships/worksheet" Target="/xl/worksheets/sheet19.xml" Id="R5483bd9a90a342c6" /><Relationship Type="http://schemas.openxmlformats.org/officeDocument/2006/relationships/worksheet" Target="/xl/worksheets/sheet20.xml" Id="R54bc2957f43043e7" /><Relationship Type="http://schemas.openxmlformats.org/officeDocument/2006/relationships/worksheet" Target="/xl/worksheets/sheet21.xml" Id="R6e5e0b92875d4621" /><Relationship Type="http://schemas.openxmlformats.org/officeDocument/2006/relationships/worksheet" Target="/xl/worksheets/sheet22.xml" Id="R937e7914c8f84857" /><Relationship Type="http://schemas.openxmlformats.org/officeDocument/2006/relationships/worksheet" Target="/xl/worksheets/sheet23.xml" Id="Rcaaafe19c0194bca" /><Relationship Type="http://schemas.openxmlformats.org/officeDocument/2006/relationships/worksheet" Target="/xl/worksheets/sheet24.xml" Id="R901294dec0974485" /><Relationship Type="http://schemas.openxmlformats.org/officeDocument/2006/relationships/worksheet" Target="/xl/worksheets/sheet25.xml" Id="R43ff1322e85e4bb5" /><Relationship Type="http://schemas.openxmlformats.org/officeDocument/2006/relationships/worksheet" Target="/xl/worksheets/sheet26.xml" Id="Ra6a95e63a60f4694" /></Relationships>
</file>

<file path=xl/drawings/_rels/drawing1.xml.rels>&#65279;<?xml version="1.0" encoding="utf-8"?><Relationships xmlns="http://schemas.openxmlformats.org/package/2006/relationships"><Relationship Type="http://schemas.openxmlformats.org/officeDocument/2006/relationships/chart" Target="/xl/drawings/charts/chart1.xml" Id="R949cd2f8c15e42c1"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49cd2f8c15e42c1"/>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e1a8b56297f4b69" /></Relationships>
</file>

<file path=xl/worksheets/_rels/sheet2.xml.rels>&#65279;<?xml version="1.0" encoding="utf-8"?><Relationships xmlns="http://schemas.openxmlformats.org/package/2006/relationships"><Relationship Type="http://schemas.openxmlformats.org/officeDocument/2006/relationships/table" Target="/xl/tables/table2.xml" Id="Rb4499984765a468f" /></Relationships>
</file>

<file path=xl/worksheets/_rels/sheet3.xml.rels>&#65279;<?xml version="1.0" encoding="utf-8"?><Relationships xmlns="http://schemas.openxmlformats.org/package/2006/relationships"><Relationship Type="http://schemas.openxmlformats.org/officeDocument/2006/relationships/drawing" Target="/xl/drawings/drawing1.xml" Id="R2fdbaa4b715d43fb" /></Relationships>
</file>

<file path=xl/worksheets/_rels/sheet4.xml.rels>&#65279;<?xml version="1.0" encoding="utf-8"?><Relationships xmlns="http://schemas.openxmlformats.org/package/2006/relationships"><Relationship Type="http://schemas.openxmlformats.org/officeDocument/2006/relationships/table" Target="/xl/tables/table3.xml" Id="Rf1d188d5f1834ce5" /></Relationships>
</file>

<file path=xl/worksheets/_rels/sheet5.xml.rels>&#65279;<?xml version="1.0" encoding="utf-8"?><Relationships xmlns="http://schemas.openxmlformats.org/package/2006/relationships"><Relationship Type="http://schemas.openxmlformats.org/officeDocument/2006/relationships/table" Target="/xl/tables/table4.xml" Id="Rc49e6d687d4f40e1" /></Relationships>
</file>

<file path=xl/worksheets/_rels/sheet6.xml.rels>&#65279;<?xml version="1.0" encoding="utf-8"?><Relationships xmlns="http://schemas.openxmlformats.org/package/2006/relationships"><Relationship Type="http://schemas.openxmlformats.org/officeDocument/2006/relationships/table" Target="/xl/tables/table5.xml" Id="R142b73552dec4357" /></Relationships>
</file>

<file path=xl/worksheets/_rels/sheet7.xml.rels>&#65279;<?xml version="1.0" encoding="utf-8"?><Relationships xmlns="http://schemas.openxmlformats.org/package/2006/relationships"><Relationship Type="http://schemas.openxmlformats.org/officeDocument/2006/relationships/table" Target="/xl/tables/table6.xml" Id="R160a3491d3ad47be" /></Relationships>
</file>

<file path=xl/worksheets/_rels/sheet9.xml.rels>&#65279;<?xml version="1.0" encoding="utf-8"?><Relationships xmlns="http://schemas.openxmlformats.org/package/2006/relationships"><Relationship Type="http://schemas.openxmlformats.org/officeDocument/2006/relationships/table" Target="/xl/tables/table7.xml" Id="R214579303c4c40e4" /></Relationships>
</file>

<file path=xl/worksheets/_rels/sheet10.xml.rels>&#65279;<?xml version="1.0" encoding="utf-8"?><Relationships xmlns="http://schemas.openxmlformats.org/package/2006/relationships"><Relationship Type="http://schemas.openxmlformats.org/officeDocument/2006/relationships/table" Target="/xl/tables/table8.xml" Id="Rdfcf39c4bf98403a" /></Relationships>
</file>

<file path=xl/worksheets/_rels/sheet11.xml.rels>&#65279;<?xml version="1.0" encoding="utf-8"?><Relationships xmlns="http://schemas.openxmlformats.org/package/2006/relationships"><Relationship Type="http://schemas.openxmlformats.org/officeDocument/2006/relationships/table" Target="/xl/tables/table9.xml" Id="R86915546d3114843" /></Relationships>
</file>

<file path=xl/worksheets/_rels/sheet13.xml.rels>&#65279;<?xml version="1.0" encoding="utf-8"?><Relationships xmlns="http://schemas.openxmlformats.org/package/2006/relationships"><Relationship Type="http://schemas.openxmlformats.org/officeDocument/2006/relationships/table" Target="/xl/tables/table10.xml" Id="Re69ceee50d4549f0" /></Relationships>
</file>

<file path=xl/worksheets/_rels/sheet14.xml.rels>&#65279;<?xml version="1.0" encoding="utf-8"?><Relationships xmlns="http://schemas.openxmlformats.org/package/2006/relationships"><Relationship Type="http://schemas.openxmlformats.org/officeDocument/2006/relationships/table" Target="/xl/tables/table11.xml" Id="R3f6bad28d7974f71" /></Relationships>
</file>

<file path=xl/worksheets/_rels/sheet15.xml.rels>&#65279;<?xml version="1.0" encoding="utf-8"?><Relationships xmlns="http://schemas.openxmlformats.org/package/2006/relationships"><Relationship Type="http://schemas.openxmlformats.org/officeDocument/2006/relationships/table" Target="/xl/tables/table12.xml" Id="Rfe362b69c71142ed" /></Relationships>
</file>

<file path=xl/worksheets/_rels/sheet16.xml.rels>&#65279;<?xml version="1.0" encoding="utf-8"?><Relationships xmlns="http://schemas.openxmlformats.org/package/2006/relationships"><Relationship Type="http://schemas.openxmlformats.org/officeDocument/2006/relationships/table" Target="/xl/tables/table13.xml" Id="R5a52440edeea4f25"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ae1a8b56297f4b69"/>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b4499984765a468f"/>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260</x:v>
      </x:c>
      <x:c r="D6" s="133" t="inlineStr">
        <x:is>
          <x:t xml:space="preserve">G0A — Corporate platform architecture ready</x:t>
        </x:is>
      </x:c>
      <x:c r="E6" s="32" t="str">
        <x:f>'03 Launch Gates'!D20</x:f>
        <x:v>Completed</x:v>
      </x:c>
      <x:c r="G6" t="inlineStr">
        <x:is>
          <x:t xml:space="preserve">UI Tasks Complete</x:t>
        </x:is>
      </x:c>
      <x:c r="H6" t="n">
        <x:f>SUM(B36:B46)</x:f>
        <x:v>38</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0.7084468664850136</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0.7272727272727273</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3</x:v>
      </x:c>
      <x:c r="C37" s="133" t="n">
        <x:f>COUNTIFS('01 Master Plan'!C$5:C$383,A37,'01 Master Plan'!H$5:H$383,"In Progress")</x:f>
        <x:v>0</x:v>
      </x:c>
      <x:c r="D37" s="133" t="n">
        <x:f>COUNTIFS('01 Master Plan'!C$5:C$383,A37,'01 Master Plan'!H$5:H$383,"Not Started")</x:f>
        <x:v>9</x:v>
      </x:c>
      <x:c r="E37" s="133" t="n">
        <x:f>COUNTIFS('01 Master Plan'!C$5:C$383,A37,'01 Master Plan'!H$5:H$383,"Blocked")</x:f>
        <x:v>0</x:v>
      </x:c>
      <x:c r="F37" s="133" t="n">
        <x:f>COUNTIFS('01 Master Plan'!C$5:C$383,A37,'01 Master Plan'!H$5:H$383,"Deferred")</x:f>
        <x:v>0</x:v>
      </x:c>
      <x:c r="G37" s="255" t="n">
        <x:f>IFERROR(B37/(B37+C37+D37+E37),0)</x:f>
        <x:v>0.25</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2fdbaa4b715d43fb"/>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f1d188d5f1834ce5"/>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c49e6d687d4f40e1"/>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142b73552dec4357"/>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160a3491d3ad47be"/>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214579303c4c40e4"/>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dfcf39c4bf98403a"/>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86915546d3114843"/>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U1 IN PROGRESS — 13B-01 semantic colors, 13B-02 light/system compatibility strategy, and 13B-03 typography scale complete. Next: 13B-04 spacing/grid tokens.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e69ceee50d4549f0"/>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3f6bad28d7974f71"/>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fe362b69c71142ed"/>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5a52440edeea4f25"/>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