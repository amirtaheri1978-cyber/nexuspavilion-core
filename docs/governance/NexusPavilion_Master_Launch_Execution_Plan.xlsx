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d970be0a5548b8" /></Relationships>
</file>

<file path=xl/workbook.xml><?xml version="1.0" encoding="utf-8"?>
<x:workbook xmlns:x="http://schemas.openxmlformats.org/spreadsheetml/2006/main">
  <x:sheets>
    <x:sheet xmlns:r="http://schemas.openxmlformats.org/officeDocument/2006/relationships" name="01 Master Plan" sheetId="1" r:id="R09b226b79df4436a"/>
    <x:sheet xmlns:r="http://schemas.openxmlformats.org/officeDocument/2006/relationships" name="03 Launch Gates" sheetId="2" r:id="R9189c567d34f499d"/>
    <x:sheet xmlns:r="http://schemas.openxmlformats.org/officeDocument/2006/relationships" name="00 Dashboard" sheetId="3" r:id="R4ee22dd71eab44a0"/>
    <x:sheet xmlns:r="http://schemas.openxmlformats.org/officeDocument/2006/relationships" name="04 Cursor Tasks" sheetId="4" r:id="R3efefdc874c5433e"/>
    <x:sheet xmlns:r="http://schemas.openxmlformats.org/officeDocument/2006/relationships" name="05 UAT Matrix" sheetId="5" r:id="R39fa145eb31c4011"/>
    <x:sheet xmlns:r="http://schemas.openxmlformats.org/officeDocument/2006/relationships" name="06 Security Matrix" sheetId="6" r:id="Ra7afa28019aa4f64"/>
    <x:sheet xmlns:r="http://schemas.openxmlformats.org/officeDocument/2006/relationships" name="07 Risks" sheetId="7" r:id="R48d88d4d51a64e4b"/>
    <x:sheet xmlns:r="http://schemas.openxmlformats.org/officeDocument/2006/relationships" name="08 Architecture" sheetId="8" r:id="Rb55fb2199d24493c"/>
    <x:sheet xmlns:r="http://schemas.openxmlformats.org/officeDocument/2006/relationships" name="09 Release Checklist" sheetId="9" r:id="R0a759701e96a4498"/>
    <x:sheet xmlns:r="http://schemas.openxmlformats.org/officeDocument/2006/relationships" name="10 Change Log" sheetId="10" r:id="R20d63c7b9ad0439d"/>
    <x:sheet xmlns:r="http://schemas.openxmlformats.org/officeDocument/2006/relationships" name="11 Scope &amp; Roadmap" sheetId="11" r:id="R9af4ea26ab7a411a"/>
    <x:sheet xmlns:r="http://schemas.openxmlformats.org/officeDocument/2006/relationships" name="12 How to Use" sheetId="12" r:id="Raca9f20ea6f946ca"/>
    <x:sheet xmlns:r="http://schemas.openxmlformats.org/officeDocument/2006/relationships" name="13 UI Program" sheetId="13" r:id="R8d818a66a2714243"/>
    <x:sheet xmlns:r="http://schemas.openxmlformats.org/officeDocument/2006/relationships" name="14 UI Scorecard" sheetId="14" r:id="Rf5dc7cc55034442a"/>
    <x:sheet xmlns:r="http://schemas.openxmlformats.org/officeDocument/2006/relationships" name="15 Motion Guidance" sheetId="15" r:id="Rcc4afc6de10b406c"/>
    <x:sheet xmlns:r="http://schemas.openxmlformats.org/officeDocument/2006/relationships" name="16 Design Standards" sheetId="16" r:id="Rd89a1be1c5e14f40"/>
    <x:sheet xmlns:r="http://schemas.openxmlformats.org/officeDocument/2006/relationships" name="17 Corporate Platform" sheetId="17" r:id="R210c19adb1534508"/>
    <x:sheet xmlns:r="http://schemas.openxmlformats.org/officeDocument/2006/relationships" name="18 Analytics Reuse Map" sheetId="18" r:id="Re88b6978bd8b41af"/>
    <x:sheet xmlns:r="http://schemas.openxmlformats.org/officeDocument/2006/relationships" name="19 Executive Insights Discovery" sheetId="19" r:id="R295522464cda4f5c"/>
    <x:sheet xmlns:r="http://schemas.openxmlformats.org/officeDocument/2006/relationships" name="20 Procurement Insights Discovery" sheetId="20" r:id="Red0d45d9f90a4d17"/>
    <x:sheet xmlns:r="http://schemas.openxmlformats.org/officeDocument/2006/relationships" name="21 Commercial Insights Discovery" sheetId="21" r:id="R565f6f8cf43b4cb8"/>
    <x:sheet xmlns:r="http://schemas.openxmlformats.org/officeDocument/2006/relationships" name="22 Project Insights Discovery" sheetId="22" r:id="R8b171ed9760a4514"/>
    <x:sheet xmlns:r="http://schemas.openxmlformats.org/officeDocument/2006/relationships" name="23 Performance Discovery" sheetId="23" r:id="R6f1cb769c13b4418"/>
    <x:sheet xmlns:r="http://schemas.openxmlformats.org/officeDocument/2006/relationships" name="24 Risk Compliance Discovery" sheetId="24" r:id="R1e06e52849754d98"/>
    <x:sheet xmlns:r="http://schemas.openxmlformats.org/officeDocument/2006/relationships" name="25 Commercial Handoff" sheetId="25" r:id="Rbe688117c3324b7e"/>
    <x:sheet xmlns:r="http://schemas.openxmlformats.org/officeDocument/2006/relationships" name="26 RFQ Governance" sheetId="26" r:id="Rcf248c78f1ea4b7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ae07b38df4248f1" /><Relationship Type="http://schemas.openxmlformats.org/officeDocument/2006/relationships/theme" Target="/xl/theme/theme1.xml" Id="Rc99f6a41dcf04e24" /><Relationship Type="http://schemas.openxmlformats.org/officeDocument/2006/relationships/sharedStrings" Target="/xl/sharedStrings.xml" Id="Rededf0cacd444074" /><Relationship Type="http://schemas.openxmlformats.org/officeDocument/2006/relationships/worksheet" Target="/xl/worksheets/sheet1.xml" Id="R09b226b79df4436a" /><Relationship Type="http://schemas.openxmlformats.org/officeDocument/2006/relationships/worksheet" Target="/xl/worksheets/sheet2.xml" Id="R9189c567d34f499d" /><Relationship Type="http://schemas.openxmlformats.org/officeDocument/2006/relationships/worksheet" Target="/xl/worksheets/sheet3.xml" Id="R4ee22dd71eab44a0" /><Relationship Type="http://schemas.openxmlformats.org/officeDocument/2006/relationships/worksheet" Target="/xl/worksheets/sheet4.xml" Id="R3efefdc874c5433e" /><Relationship Type="http://schemas.openxmlformats.org/officeDocument/2006/relationships/worksheet" Target="/xl/worksheets/sheet5.xml" Id="R39fa145eb31c4011" /><Relationship Type="http://schemas.openxmlformats.org/officeDocument/2006/relationships/worksheet" Target="/xl/worksheets/sheet6.xml" Id="Ra7afa28019aa4f64" /><Relationship Type="http://schemas.openxmlformats.org/officeDocument/2006/relationships/worksheet" Target="/xl/worksheets/sheet7.xml" Id="R48d88d4d51a64e4b" /><Relationship Type="http://schemas.openxmlformats.org/officeDocument/2006/relationships/worksheet" Target="/xl/worksheets/sheet8.xml" Id="Rb55fb2199d24493c" /><Relationship Type="http://schemas.openxmlformats.org/officeDocument/2006/relationships/worksheet" Target="/xl/worksheets/sheet9.xml" Id="R0a759701e96a4498" /><Relationship Type="http://schemas.openxmlformats.org/officeDocument/2006/relationships/worksheet" Target="/xl/worksheets/sheet10.xml" Id="R20d63c7b9ad0439d" /><Relationship Type="http://schemas.openxmlformats.org/officeDocument/2006/relationships/worksheet" Target="/xl/worksheets/sheet11.xml" Id="R9af4ea26ab7a411a" /><Relationship Type="http://schemas.openxmlformats.org/officeDocument/2006/relationships/worksheet" Target="/xl/worksheets/sheet12.xml" Id="Raca9f20ea6f946ca" /><Relationship Type="http://schemas.openxmlformats.org/officeDocument/2006/relationships/worksheet" Target="/xl/worksheets/sheet13.xml" Id="R8d818a66a2714243" /><Relationship Type="http://schemas.openxmlformats.org/officeDocument/2006/relationships/worksheet" Target="/xl/worksheets/sheet14.xml" Id="Rf5dc7cc55034442a" /><Relationship Type="http://schemas.openxmlformats.org/officeDocument/2006/relationships/worksheet" Target="/xl/worksheets/sheet15.xml" Id="Rcc4afc6de10b406c" /><Relationship Type="http://schemas.openxmlformats.org/officeDocument/2006/relationships/worksheet" Target="/xl/worksheets/sheet16.xml" Id="Rd89a1be1c5e14f40" /><Relationship Type="http://schemas.openxmlformats.org/officeDocument/2006/relationships/worksheet" Target="/xl/worksheets/sheet17.xml" Id="R210c19adb1534508" /><Relationship Type="http://schemas.openxmlformats.org/officeDocument/2006/relationships/worksheet" Target="/xl/worksheets/sheet18.xml" Id="Re88b6978bd8b41af" /><Relationship Type="http://schemas.openxmlformats.org/officeDocument/2006/relationships/worksheet" Target="/xl/worksheets/sheet19.xml" Id="R295522464cda4f5c" /><Relationship Type="http://schemas.openxmlformats.org/officeDocument/2006/relationships/worksheet" Target="/xl/worksheets/sheet20.xml" Id="Red0d45d9f90a4d17" /><Relationship Type="http://schemas.openxmlformats.org/officeDocument/2006/relationships/worksheet" Target="/xl/worksheets/sheet21.xml" Id="R565f6f8cf43b4cb8" /><Relationship Type="http://schemas.openxmlformats.org/officeDocument/2006/relationships/worksheet" Target="/xl/worksheets/sheet22.xml" Id="R8b171ed9760a4514" /><Relationship Type="http://schemas.openxmlformats.org/officeDocument/2006/relationships/worksheet" Target="/xl/worksheets/sheet23.xml" Id="R6f1cb769c13b4418" /><Relationship Type="http://schemas.openxmlformats.org/officeDocument/2006/relationships/worksheet" Target="/xl/worksheets/sheet24.xml" Id="R1e06e52849754d98" /><Relationship Type="http://schemas.openxmlformats.org/officeDocument/2006/relationships/worksheet" Target="/xl/worksheets/sheet25.xml" Id="Rbe688117c3324b7e" /><Relationship Type="http://schemas.openxmlformats.org/officeDocument/2006/relationships/worksheet" Target="/xl/worksheets/sheet26.xml" Id="Rcf248c78f1ea4b7f" /></Relationships>
</file>

<file path=xl/drawings/_rels/drawing1.xml.rels>&#65279;<?xml version="1.0" encoding="utf-8"?><Relationships xmlns="http://schemas.openxmlformats.org/package/2006/relationships"><Relationship Type="http://schemas.openxmlformats.org/officeDocument/2006/relationships/chart" Target="/xl/drawings/charts/chart1.xml" Id="Re305d66734594e6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305d66734594e6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4b96ae8b11b4f88" /></Relationships>
</file>

<file path=xl/worksheets/_rels/sheet2.xml.rels>&#65279;<?xml version="1.0" encoding="utf-8"?><Relationships xmlns="http://schemas.openxmlformats.org/package/2006/relationships"><Relationship Type="http://schemas.openxmlformats.org/officeDocument/2006/relationships/table" Target="/xl/tables/table2.xml" Id="R7cc34770e7154f1d" /></Relationships>
</file>

<file path=xl/worksheets/_rels/sheet3.xml.rels>&#65279;<?xml version="1.0" encoding="utf-8"?><Relationships xmlns="http://schemas.openxmlformats.org/package/2006/relationships"><Relationship Type="http://schemas.openxmlformats.org/officeDocument/2006/relationships/drawing" Target="/xl/drawings/drawing1.xml" Id="Rf5cb7568fb854694" /></Relationships>
</file>

<file path=xl/worksheets/_rels/sheet4.xml.rels>&#65279;<?xml version="1.0" encoding="utf-8"?><Relationships xmlns="http://schemas.openxmlformats.org/package/2006/relationships"><Relationship Type="http://schemas.openxmlformats.org/officeDocument/2006/relationships/table" Target="/xl/tables/table3.xml" Id="R89d499c3a07045da" /></Relationships>
</file>

<file path=xl/worksheets/_rels/sheet5.xml.rels>&#65279;<?xml version="1.0" encoding="utf-8"?><Relationships xmlns="http://schemas.openxmlformats.org/package/2006/relationships"><Relationship Type="http://schemas.openxmlformats.org/officeDocument/2006/relationships/table" Target="/xl/tables/table4.xml" Id="Ra9819c5f40c1416b" /></Relationships>
</file>

<file path=xl/worksheets/_rels/sheet6.xml.rels>&#65279;<?xml version="1.0" encoding="utf-8"?><Relationships xmlns="http://schemas.openxmlformats.org/package/2006/relationships"><Relationship Type="http://schemas.openxmlformats.org/officeDocument/2006/relationships/table" Target="/xl/tables/table5.xml" Id="Rf34a915f792d4dd7" /></Relationships>
</file>

<file path=xl/worksheets/_rels/sheet7.xml.rels>&#65279;<?xml version="1.0" encoding="utf-8"?><Relationships xmlns="http://schemas.openxmlformats.org/package/2006/relationships"><Relationship Type="http://schemas.openxmlformats.org/officeDocument/2006/relationships/table" Target="/xl/tables/table6.xml" Id="R620b555710c24803" /></Relationships>
</file>

<file path=xl/worksheets/_rels/sheet9.xml.rels>&#65279;<?xml version="1.0" encoding="utf-8"?><Relationships xmlns="http://schemas.openxmlformats.org/package/2006/relationships"><Relationship Type="http://schemas.openxmlformats.org/officeDocument/2006/relationships/table" Target="/xl/tables/table7.xml" Id="R8ca12d7aac2940e1" /></Relationships>
</file>

<file path=xl/worksheets/_rels/sheet10.xml.rels>&#65279;<?xml version="1.0" encoding="utf-8"?><Relationships xmlns="http://schemas.openxmlformats.org/package/2006/relationships"><Relationship Type="http://schemas.openxmlformats.org/officeDocument/2006/relationships/table" Target="/xl/tables/table8.xml" Id="R64d4db722ce64256" /></Relationships>
</file>

<file path=xl/worksheets/_rels/sheet11.xml.rels>&#65279;<?xml version="1.0" encoding="utf-8"?><Relationships xmlns="http://schemas.openxmlformats.org/package/2006/relationships"><Relationship Type="http://schemas.openxmlformats.org/officeDocument/2006/relationships/table" Target="/xl/tables/table9.xml" Id="Rd2c74eae89a74855" /></Relationships>
</file>

<file path=xl/worksheets/_rels/sheet13.xml.rels>&#65279;<?xml version="1.0" encoding="utf-8"?><Relationships xmlns="http://schemas.openxmlformats.org/package/2006/relationships"><Relationship Type="http://schemas.openxmlformats.org/officeDocument/2006/relationships/table" Target="/xl/tables/table10.xml" Id="R9fb36d893e844aec" /></Relationships>
</file>

<file path=xl/worksheets/_rels/sheet14.xml.rels>&#65279;<?xml version="1.0" encoding="utf-8"?><Relationships xmlns="http://schemas.openxmlformats.org/package/2006/relationships"><Relationship Type="http://schemas.openxmlformats.org/officeDocument/2006/relationships/table" Target="/xl/tables/table11.xml" Id="R688676f07b55445f" /></Relationships>
</file>

<file path=xl/worksheets/_rels/sheet15.xml.rels>&#65279;<?xml version="1.0" encoding="utf-8"?><Relationships xmlns="http://schemas.openxmlformats.org/package/2006/relationships"><Relationship Type="http://schemas.openxmlformats.org/officeDocument/2006/relationships/table" Target="/xl/tables/table12.xml" Id="R4c195a87b7de4c6d" /></Relationships>
</file>

<file path=xl/worksheets/_rels/sheet16.xml.rels>&#65279;<?xml version="1.0" encoding="utf-8"?><Relationships xmlns="http://schemas.openxmlformats.org/package/2006/relationships"><Relationship Type="http://schemas.openxmlformats.org/officeDocument/2006/relationships/table" Target="/xl/tables/table13.xml" Id="Rda58d75ace654e0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4b96ae8b11b4f8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cc34770e7154f1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352</x:v>
      </x:c>
      <x:c r="D6" s="133" t="inlineStr">
        <x:is>
          <x:t xml:space="preserve">G0A — Corporate platform architecture ready</x:t>
        </x:is>
      </x:c>
      <x:c r="E6" s="32" t="str">
        <x:f>'03 Launch Gates'!D20</x:f>
        <x:v>Completed</x:v>
      </x:c>
      <x:c r="G6" t="inlineStr">
        <x:is>
          <x:t xml:space="preserve">UI Tasks Complete</x:t>
        </x:is>
      </x:c>
      <x:c r="H6" t="n">
        <x:f>SUM(B36:B46)</x:f>
        <x:v>130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0.9591280653950953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0.9672727272727273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5</x:v>
      </x:c>
      <x:c r="C45" s="28" t="n">
        <x:f>COUNTIFS('01 Master Plan'!C$5:C$383,A45,'01 Master Plan'!H$5:H$383,"In Progress")</x:f>
        <x:v>0</x:v>
      </x:c>
      <x:c r="D45" s="28" t="n">
        <x:f>COUNTIFS('01 Master Plan'!C$5:C$383,A45,'01 Master Plan'!H$5:H$383,"Not Started")</x:f>
        <x:v>5</x:v>
      </x:c>
      <x:c r="E45" s="28" t="n">
        <x:f>COUNTIFS('01 Master Plan'!C$5:C$383,A45,'01 Master Plan'!H$5:H$383,"Blocked")</x:f>
        <x:v>0</x:v>
      </x:c>
      <x:c r="F45" s="28" t="n">
        <x:f>COUNTIFS('01 Master Plan'!C$5:C$383,A45,'01 Master Plan'!H$5:H$383,"Deferred")</x:f>
        <x:v>0</x:v>
      </x:c>
      <x:c r="G45" s="258" t="n">
        <x:f>IFERROR(B45/(B45+C45+D45+E45),0)</x:f>
        <x:v>0.5</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5cb7568fb85469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9d499c3a07045d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9819c5f40c1416b"/>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34a915f792d4dd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20b555710c2480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ca12d7aac2940e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4d4db722ce6425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2c74eae89a7485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13I-05 are PASS/CLOSED under approved evidence boundaries. 13I-05 motion consistency/annoyance audit passed evidence-only with no P0/P1 findings; only low-severity reduced-motion risks remain for explicit validation in 13I-06. Next canonical task: 13I-06 — motion/accessibility regression.</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fb36d893e844ae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88676f07b55445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c195a87b7de4c6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a58d75ace654e0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