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837393bc0441c1" /></Relationships>
</file>

<file path=xl/workbook.xml><?xml version="1.0" encoding="utf-8"?>
<x:workbook xmlns:x="http://schemas.openxmlformats.org/spreadsheetml/2006/main">
  <x:sheets>
    <x:sheet xmlns:r="http://schemas.openxmlformats.org/officeDocument/2006/relationships" name="01 Master Plan" sheetId="1" r:id="R45ddeb12a9db4eb2"/>
    <x:sheet xmlns:r="http://schemas.openxmlformats.org/officeDocument/2006/relationships" name="03 Launch Gates" sheetId="2" r:id="R1e717aa2113c44df"/>
    <x:sheet xmlns:r="http://schemas.openxmlformats.org/officeDocument/2006/relationships" name="00 Dashboard" sheetId="3" r:id="R99f3dab243fd4f2d"/>
    <x:sheet xmlns:r="http://schemas.openxmlformats.org/officeDocument/2006/relationships" name="04 Cursor Tasks" sheetId="4" r:id="R00b35cbb0c154ad0"/>
    <x:sheet xmlns:r="http://schemas.openxmlformats.org/officeDocument/2006/relationships" name="05 UAT Matrix" sheetId="5" r:id="R72f633cc959a4dcc"/>
    <x:sheet xmlns:r="http://schemas.openxmlformats.org/officeDocument/2006/relationships" name="06 Security Matrix" sheetId="6" r:id="Rca95f2aa08bf46cc"/>
    <x:sheet xmlns:r="http://schemas.openxmlformats.org/officeDocument/2006/relationships" name="07 Risks" sheetId="7" r:id="R2858a033c15449bd"/>
    <x:sheet xmlns:r="http://schemas.openxmlformats.org/officeDocument/2006/relationships" name="08 Architecture" sheetId="8" r:id="Rf7a1e34e5a884857"/>
    <x:sheet xmlns:r="http://schemas.openxmlformats.org/officeDocument/2006/relationships" name="09 Release Checklist" sheetId="9" r:id="R355bcad97a694d1f"/>
    <x:sheet xmlns:r="http://schemas.openxmlformats.org/officeDocument/2006/relationships" name="10 Change Log" sheetId="10" r:id="Re26104c6b9a742b7"/>
    <x:sheet xmlns:r="http://schemas.openxmlformats.org/officeDocument/2006/relationships" name="11 Scope &amp; Roadmap" sheetId="11" r:id="R7d2d06febe8d4122"/>
    <x:sheet xmlns:r="http://schemas.openxmlformats.org/officeDocument/2006/relationships" name="12 How to Use" sheetId="12" r:id="Rd7e1e60cc25e4e12"/>
    <x:sheet xmlns:r="http://schemas.openxmlformats.org/officeDocument/2006/relationships" name="13 UI Program" sheetId="13" r:id="R47ce41aec6874aa0"/>
    <x:sheet xmlns:r="http://schemas.openxmlformats.org/officeDocument/2006/relationships" name="14 UI Scorecard" sheetId="14" r:id="R0f5e882dfb60499d"/>
    <x:sheet xmlns:r="http://schemas.openxmlformats.org/officeDocument/2006/relationships" name="15 Motion Guidance" sheetId="15" r:id="Rd9bc5c8aaecd449a"/>
    <x:sheet xmlns:r="http://schemas.openxmlformats.org/officeDocument/2006/relationships" name="16 Design Standards" sheetId="16" r:id="R7974ad90698d423a"/>
    <x:sheet xmlns:r="http://schemas.openxmlformats.org/officeDocument/2006/relationships" name="17 Corporate Platform" sheetId="17" r:id="R2bb4e3593d8d4d1b"/>
    <x:sheet xmlns:r="http://schemas.openxmlformats.org/officeDocument/2006/relationships" name="18 Analytics Reuse Map" sheetId="18" r:id="R8b9b3894afa24044"/>
    <x:sheet xmlns:r="http://schemas.openxmlformats.org/officeDocument/2006/relationships" name="19 Executive Insights Discovery" sheetId="19" r:id="R4f3adcd586b34c3e"/>
    <x:sheet xmlns:r="http://schemas.openxmlformats.org/officeDocument/2006/relationships" name="20 Procurement Insights Discovery" sheetId="20" r:id="R0bb27e7a99ad4deb"/>
    <x:sheet xmlns:r="http://schemas.openxmlformats.org/officeDocument/2006/relationships" name="21 Commercial Insights Discovery" sheetId="21" r:id="Rd9cf1db9db88403d"/>
    <x:sheet xmlns:r="http://schemas.openxmlformats.org/officeDocument/2006/relationships" name="22 Project Insights Discovery" sheetId="22" r:id="R267981e802224ecf"/>
    <x:sheet xmlns:r="http://schemas.openxmlformats.org/officeDocument/2006/relationships" name="23 Performance Discovery" sheetId="23" r:id="Refcb4f6eab7947b6"/>
    <x:sheet xmlns:r="http://schemas.openxmlformats.org/officeDocument/2006/relationships" name="24 Risk Compliance Discovery" sheetId="24" r:id="Rac2d69cb687444df"/>
    <x:sheet xmlns:r="http://schemas.openxmlformats.org/officeDocument/2006/relationships" name="25 Commercial Handoff" sheetId="25" r:id="R966573ffc4c34023"/>
    <x:sheet xmlns:r="http://schemas.openxmlformats.org/officeDocument/2006/relationships" name="26 RFQ Governance" sheetId="26" r:id="R6d28290323e04bc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47516a9600d4e97" /><Relationship Type="http://schemas.openxmlformats.org/officeDocument/2006/relationships/theme" Target="/xl/theme/theme1.xml" Id="R2a9017cb01fd4257" /><Relationship Type="http://schemas.openxmlformats.org/officeDocument/2006/relationships/sharedStrings" Target="/xl/sharedStrings.xml" Id="R07ac889fea3c4f0a" /><Relationship Type="http://schemas.openxmlformats.org/officeDocument/2006/relationships/worksheet" Target="/xl/worksheets/sheet1.xml" Id="R45ddeb12a9db4eb2" /><Relationship Type="http://schemas.openxmlformats.org/officeDocument/2006/relationships/worksheet" Target="/xl/worksheets/sheet2.xml" Id="R1e717aa2113c44df" /><Relationship Type="http://schemas.openxmlformats.org/officeDocument/2006/relationships/worksheet" Target="/xl/worksheets/sheet3.xml" Id="R99f3dab243fd4f2d" /><Relationship Type="http://schemas.openxmlformats.org/officeDocument/2006/relationships/worksheet" Target="/xl/worksheets/sheet4.xml" Id="R00b35cbb0c154ad0" /><Relationship Type="http://schemas.openxmlformats.org/officeDocument/2006/relationships/worksheet" Target="/xl/worksheets/sheet5.xml" Id="R72f633cc959a4dcc" /><Relationship Type="http://schemas.openxmlformats.org/officeDocument/2006/relationships/worksheet" Target="/xl/worksheets/sheet6.xml" Id="Rca95f2aa08bf46cc" /><Relationship Type="http://schemas.openxmlformats.org/officeDocument/2006/relationships/worksheet" Target="/xl/worksheets/sheet7.xml" Id="R2858a033c15449bd" /><Relationship Type="http://schemas.openxmlformats.org/officeDocument/2006/relationships/worksheet" Target="/xl/worksheets/sheet8.xml" Id="Rf7a1e34e5a884857" /><Relationship Type="http://schemas.openxmlformats.org/officeDocument/2006/relationships/worksheet" Target="/xl/worksheets/sheet9.xml" Id="R355bcad97a694d1f" /><Relationship Type="http://schemas.openxmlformats.org/officeDocument/2006/relationships/worksheet" Target="/xl/worksheets/sheet10.xml" Id="Re26104c6b9a742b7" /><Relationship Type="http://schemas.openxmlformats.org/officeDocument/2006/relationships/worksheet" Target="/xl/worksheets/sheet11.xml" Id="R7d2d06febe8d4122" /><Relationship Type="http://schemas.openxmlformats.org/officeDocument/2006/relationships/worksheet" Target="/xl/worksheets/sheet12.xml" Id="Rd7e1e60cc25e4e12" /><Relationship Type="http://schemas.openxmlformats.org/officeDocument/2006/relationships/worksheet" Target="/xl/worksheets/sheet13.xml" Id="R47ce41aec6874aa0" /><Relationship Type="http://schemas.openxmlformats.org/officeDocument/2006/relationships/worksheet" Target="/xl/worksheets/sheet14.xml" Id="R0f5e882dfb60499d" /><Relationship Type="http://schemas.openxmlformats.org/officeDocument/2006/relationships/worksheet" Target="/xl/worksheets/sheet15.xml" Id="Rd9bc5c8aaecd449a" /><Relationship Type="http://schemas.openxmlformats.org/officeDocument/2006/relationships/worksheet" Target="/xl/worksheets/sheet16.xml" Id="R7974ad90698d423a" /><Relationship Type="http://schemas.openxmlformats.org/officeDocument/2006/relationships/worksheet" Target="/xl/worksheets/sheet17.xml" Id="R2bb4e3593d8d4d1b" /><Relationship Type="http://schemas.openxmlformats.org/officeDocument/2006/relationships/worksheet" Target="/xl/worksheets/sheet18.xml" Id="R8b9b3894afa24044" /><Relationship Type="http://schemas.openxmlformats.org/officeDocument/2006/relationships/worksheet" Target="/xl/worksheets/sheet19.xml" Id="R4f3adcd586b34c3e" /><Relationship Type="http://schemas.openxmlformats.org/officeDocument/2006/relationships/worksheet" Target="/xl/worksheets/sheet20.xml" Id="R0bb27e7a99ad4deb" /><Relationship Type="http://schemas.openxmlformats.org/officeDocument/2006/relationships/worksheet" Target="/xl/worksheets/sheet21.xml" Id="Rd9cf1db9db88403d" /><Relationship Type="http://schemas.openxmlformats.org/officeDocument/2006/relationships/worksheet" Target="/xl/worksheets/sheet22.xml" Id="R267981e802224ecf" /><Relationship Type="http://schemas.openxmlformats.org/officeDocument/2006/relationships/worksheet" Target="/xl/worksheets/sheet23.xml" Id="Refcb4f6eab7947b6" /><Relationship Type="http://schemas.openxmlformats.org/officeDocument/2006/relationships/worksheet" Target="/xl/worksheets/sheet24.xml" Id="Rac2d69cb687444df" /><Relationship Type="http://schemas.openxmlformats.org/officeDocument/2006/relationships/worksheet" Target="/xl/worksheets/sheet25.xml" Id="R966573ffc4c34023" /><Relationship Type="http://schemas.openxmlformats.org/officeDocument/2006/relationships/worksheet" Target="/xl/worksheets/sheet26.xml" Id="R6d28290323e04bce" /></Relationships>
</file>

<file path=xl/drawings/_rels/drawing1.xml.rels>&#65279;<?xml version="1.0" encoding="utf-8"?><Relationships xmlns="http://schemas.openxmlformats.org/package/2006/relationships"><Relationship Type="http://schemas.openxmlformats.org/officeDocument/2006/relationships/chart" Target="/xl/drawings/charts/chart1.xml" Id="Rd4a2b4e19c214ea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4a2b4e19c214ea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e2607c755d846e9" /></Relationships>
</file>

<file path=xl/worksheets/_rels/sheet2.xml.rels>&#65279;<?xml version="1.0" encoding="utf-8"?><Relationships xmlns="http://schemas.openxmlformats.org/package/2006/relationships"><Relationship Type="http://schemas.openxmlformats.org/officeDocument/2006/relationships/table" Target="/xl/tables/table2.xml" Id="Rf7dee75caba14dc6" /></Relationships>
</file>

<file path=xl/worksheets/_rels/sheet3.xml.rels>&#65279;<?xml version="1.0" encoding="utf-8"?><Relationships xmlns="http://schemas.openxmlformats.org/package/2006/relationships"><Relationship Type="http://schemas.openxmlformats.org/officeDocument/2006/relationships/drawing" Target="/xl/drawings/drawing1.xml" Id="R5208908fdf0842ab" /></Relationships>
</file>

<file path=xl/worksheets/_rels/sheet4.xml.rels>&#65279;<?xml version="1.0" encoding="utf-8"?><Relationships xmlns="http://schemas.openxmlformats.org/package/2006/relationships"><Relationship Type="http://schemas.openxmlformats.org/officeDocument/2006/relationships/table" Target="/xl/tables/table3.xml" Id="R31f97f8721bf4e09" /></Relationships>
</file>

<file path=xl/worksheets/_rels/sheet5.xml.rels>&#65279;<?xml version="1.0" encoding="utf-8"?><Relationships xmlns="http://schemas.openxmlformats.org/package/2006/relationships"><Relationship Type="http://schemas.openxmlformats.org/officeDocument/2006/relationships/table" Target="/xl/tables/table4.xml" Id="Rf8aa9d23863c4e81" /></Relationships>
</file>

<file path=xl/worksheets/_rels/sheet6.xml.rels>&#65279;<?xml version="1.0" encoding="utf-8"?><Relationships xmlns="http://schemas.openxmlformats.org/package/2006/relationships"><Relationship Type="http://schemas.openxmlformats.org/officeDocument/2006/relationships/table" Target="/xl/tables/table5.xml" Id="Ra1e25e1c106b410e" /></Relationships>
</file>

<file path=xl/worksheets/_rels/sheet7.xml.rels>&#65279;<?xml version="1.0" encoding="utf-8"?><Relationships xmlns="http://schemas.openxmlformats.org/package/2006/relationships"><Relationship Type="http://schemas.openxmlformats.org/officeDocument/2006/relationships/table" Target="/xl/tables/table6.xml" Id="Rfa89f219b9344f5e" /></Relationships>
</file>

<file path=xl/worksheets/_rels/sheet9.xml.rels>&#65279;<?xml version="1.0" encoding="utf-8"?><Relationships xmlns="http://schemas.openxmlformats.org/package/2006/relationships"><Relationship Type="http://schemas.openxmlformats.org/officeDocument/2006/relationships/table" Target="/xl/tables/table7.xml" Id="Rf78d791526d54f33" /></Relationships>
</file>

<file path=xl/worksheets/_rels/sheet10.xml.rels>&#65279;<?xml version="1.0" encoding="utf-8"?><Relationships xmlns="http://schemas.openxmlformats.org/package/2006/relationships"><Relationship Type="http://schemas.openxmlformats.org/officeDocument/2006/relationships/table" Target="/xl/tables/table8.xml" Id="R4fb782336881433a" /></Relationships>
</file>

<file path=xl/worksheets/_rels/sheet11.xml.rels>&#65279;<?xml version="1.0" encoding="utf-8"?><Relationships xmlns="http://schemas.openxmlformats.org/package/2006/relationships"><Relationship Type="http://schemas.openxmlformats.org/officeDocument/2006/relationships/table" Target="/xl/tables/table9.xml" Id="Rcb7af517b215468e" /></Relationships>
</file>

<file path=xl/worksheets/_rels/sheet13.xml.rels>&#65279;<?xml version="1.0" encoding="utf-8"?><Relationships xmlns="http://schemas.openxmlformats.org/package/2006/relationships"><Relationship Type="http://schemas.openxmlformats.org/officeDocument/2006/relationships/table" Target="/xl/tables/table10.xml" Id="Rfc448bc0d01349d9" /></Relationships>
</file>

<file path=xl/worksheets/_rels/sheet14.xml.rels>&#65279;<?xml version="1.0" encoding="utf-8"?><Relationships xmlns="http://schemas.openxmlformats.org/package/2006/relationships"><Relationship Type="http://schemas.openxmlformats.org/officeDocument/2006/relationships/table" Target="/xl/tables/table11.xml" Id="Rfd70e8f990f84133" /></Relationships>
</file>

<file path=xl/worksheets/_rels/sheet15.xml.rels>&#65279;<?xml version="1.0" encoding="utf-8"?><Relationships xmlns="http://schemas.openxmlformats.org/package/2006/relationships"><Relationship Type="http://schemas.openxmlformats.org/officeDocument/2006/relationships/table" Target="/xl/tables/table12.xml" Id="R0997272468b14091" /></Relationships>
</file>

<file path=xl/worksheets/_rels/sheet16.xml.rels>&#65279;<?xml version="1.0" encoding="utf-8"?><Relationships xmlns="http://schemas.openxmlformats.org/package/2006/relationships"><Relationship Type="http://schemas.openxmlformats.org/officeDocument/2006/relationships/table" Target="/xl/tables/table13.xml" Id="R88dd34b2adac4c1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be2607c755d846e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7dee75caba14dc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320</x:v>
      </x:c>
      <x:c r="D6" s="133" t="inlineStr">
        <x:is>
          <x:t xml:space="preserve">G0A — Corporate platform architecture ready</x:t>
        </x:is>
      </x:c>
      <x:c r="E6" s="32" t="str">
        <x:f>'03 Launch Gates'!D20</x:f>
        <x:v>Completed</x:v>
      </x:c>
      <x:c r="G6" t="inlineStr">
        <x:is>
          <x:t xml:space="preserve">UI Tasks Complete</x:t>
        </x:is>
      </x:c>
      <x:c r="H6" t="n">
        <x:f>SUM(B36:B46)</x:f>
        <x:v>98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0.8719346049046321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3</x:v>
      </x:c>
      <x:c r="C43" s="162" t="n">
        <x:f>COUNTIFS('01 Master Plan'!C$5:C$383,A43,'01 Master Plan'!H$5:H$383,"In Progress")</x:f>
        <x:v>0</x:v>
      </x:c>
      <x:c r="D43" s="162" t="n">
        <x:f>COUNTIFS('01 Master Plan'!C$5:C$383,A43,'01 Master Plan'!H$5:H$383,"Not Started")</x:f>
        <x:v>7</x:v>
      </x:c>
      <x:c r="E43" s="162" t="n">
        <x:f>COUNTIFS('01 Master Plan'!C$5:C$383,A43,'01 Master Plan'!H$5:H$383,"Blocked")</x:f>
        <x:v>0</x:v>
      </x:c>
      <x:c r="F43" s="162" t="n">
        <x:f>COUNTIFS('01 Master Plan'!C$5:C$383,A43,'01 Master Plan'!H$5:H$383,"Deferred")</x:f>
        <x:v>0</x:v>
      </x:c>
      <x:c r="G43" s="257" t="n">
        <x:f>IFERROR(B43/(B43+C43+D43+E43),0)</x:f>
        <x:v>0.3</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208908fdf0842a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1f97f8721bf4e0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8aa9d23863c4e8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1e25e1c106b410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a89f219b9344f5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78d791526d54f3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fb782336881433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b7af517b215468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13G-03 PASS/CLOSED/PUBLISHED. Ask Nexus now has trust boundaries, a caller-authorized context envelope, and deterministic context-specific suggested questions with no hidden privilege elevation or consequential-action wording. Next executable canonical task: 13G-04 Add Guide This Page mode.</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c448bc0d01349d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d70e8f990f8413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997272468b1409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8dd34b2adac4c1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