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ae8bc8c074428d" /></Relationships>
</file>

<file path=xl/workbook.xml><?xml version="1.0" encoding="utf-8"?>
<x:workbook xmlns:x="http://schemas.openxmlformats.org/spreadsheetml/2006/main">
  <x:sheets>
    <x:sheet xmlns:r="http://schemas.openxmlformats.org/officeDocument/2006/relationships" name="01 Master Plan" sheetId="1" r:id="Rdecb56cc274449cb"/>
    <x:sheet xmlns:r="http://schemas.openxmlformats.org/officeDocument/2006/relationships" name="03 Launch Gates" sheetId="2" r:id="Rf93f02cd50124435"/>
    <x:sheet xmlns:r="http://schemas.openxmlformats.org/officeDocument/2006/relationships" name="00 Dashboard" sheetId="3" r:id="R7cb510752a84452b"/>
    <x:sheet xmlns:r="http://schemas.openxmlformats.org/officeDocument/2006/relationships" name="04 Cursor Tasks" sheetId="4" r:id="R7a6020dae2e74723"/>
    <x:sheet xmlns:r="http://schemas.openxmlformats.org/officeDocument/2006/relationships" name="05 UAT Matrix" sheetId="5" r:id="Rc1b19be0d7a549a2"/>
    <x:sheet xmlns:r="http://schemas.openxmlformats.org/officeDocument/2006/relationships" name="06 Security Matrix" sheetId="6" r:id="R3b9a628238904112"/>
    <x:sheet xmlns:r="http://schemas.openxmlformats.org/officeDocument/2006/relationships" name="07 Risks" sheetId="7" r:id="R1ff0ffaa7ad341d5"/>
    <x:sheet xmlns:r="http://schemas.openxmlformats.org/officeDocument/2006/relationships" name="08 Architecture" sheetId="8" r:id="R609d93b7e4cc40fd"/>
    <x:sheet xmlns:r="http://schemas.openxmlformats.org/officeDocument/2006/relationships" name="09 Release Checklist" sheetId="9" r:id="R65713b9dbd0241f0"/>
    <x:sheet xmlns:r="http://schemas.openxmlformats.org/officeDocument/2006/relationships" name="10 Change Log" sheetId="10" r:id="R9cfb428413464d11"/>
    <x:sheet xmlns:r="http://schemas.openxmlformats.org/officeDocument/2006/relationships" name="11 Scope &amp; Roadmap" sheetId="11" r:id="Recb5edaea78b4039"/>
    <x:sheet xmlns:r="http://schemas.openxmlformats.org/officeDocument/2006/relationships" name="12 How to Use" sheetId="12" r:id="R63acde0f49e64218"/>
    <x:sheet xmlns:r="http://schemas.openxmlformats.org/officeDocument/2006/relationships" name="13 UI Program" sheetId="13" r:id="R07fa476c26ca43df"/>
    <x:sheet xmlns:r="http://schemas.openxmlformats.org/officeDocument/2006/relationships" name="14 UI Scorecard" sheetId="14" r:id="R0e9e0931375748a2"/>
    <x:sheet xmlns:r="http://schemas.openxmlformats.org/officeDocument/2006/relationships" name="15 Motion Guidance" sheetId="15" r:id="R51af81abafee4a38"/>
    <x:sheet xmlns:r="http://schemas.openxmlformats.org/officeDocument/2006/relationships" name="16 Design Standards" sheetId="16" r:id="Ra464019c81f14a27"/>
    <x:sheet xmlns:r="http://schemas.openxmlformats.org/officeDocument/2006/relationships" name="17 Corporate Platform" sheetId="17" r:id="R41cee7da50da4009"/>
    <x:sheet xmlns:r="http://schemas.openxmlformats.org/officeDocument/2006/relationships" name="18 Analytics Reuse Map" sheetId="18" r:id="Rce4880d981804df1"/>
    <x:sheet xmlns:r="http://schemas.openxmlformats.org/officeDocument/2006/relationships" name="19 Executive Insights Discovery" sheetId="19" r:id="Rc2631256ffe54eaf"/>
    <x:sheet xmlns:r="http://schemas.openxmlformats.org/officeDocument/2006/relationships" name="20 Procurement Insights Discovery" sheetId="20" r:id="Rc663f37ae8ed40f9"/>
    <x:sheet xmlns:r="http://schemas.openxmlformats.org/officeDocument/2006/relationships" name="21 Commercial Insights Discovery" sheetId="21" r:id="R2ed190f87ebc4cd8"/>
    <x:sheet xmlns:r="http://schemas.openxmlformats.org/officeDocument/2006/relationships" name="22 Project Insights Discovery" sheetId="22" r:id="R424eb674c6ea4d88"/>
    <x:sheet xmlns:r="http://schemas.openxmlformats.org/officeDocument/2006/relationships" name="23 Performance Discovery" sheetId="23" r:id="R468bb581523f4def"/>
    <x:sheet xmlns:r="http://schemas.openxmlformats.org/officeDocument/2006/relationships" name="24 Risk Compliance Discovery" sheetId="24" r:id="Rcfcabc9991df4c2a"/>
    <x:sheet xmlns:r="http://schemas.openxmlformats.org/officeDocument/2006/relationships" name="25 Commercial Handoff" sheetId="25" r:id="Rdf2f22faeb0f4c87"/>
    <x:sheet xmlns:r="http://schemas.openxmlformats.org/officeDocument/2006/relationships" name="26 RFQ Governance" sheetId="26" r:id="R9574ef2fa874447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360388333934e82" /><Relationship Type="http://schemas.openxmlformats.org/officeDocument/2006/relationships/theme" Target="/xl/theme/theme1.xml" Id="Rd00a8bdbd3b645f8" /><Relationship Type="http://schemas.openxmlformats.org/officeDocument/2006/relationships/sharedStrings" Target="/xl/sharedStrings.xml" Id="R238d820a8c2443f3" /><Relationship Type="http://schemas.openxmlformats.org/officeDocument/2006/relationships/worksheet" Target="/xl/worksheets/sheet1.xml" Id="Rdecb56cc274449cb" /><Relationship Type="http://schemas.openxmlformats.org/officeDocument/2006/relationships/worksheet" Target="/xl/worksheets/sheet2.xml" Id="Rf93f02cd50124435" /><Relationship Type="http://schemas.openxmlformats.org/officeDocument/2006/relationships/worksheet" Target="/xl/worksheets/sheet3.xml" Id="R7cb510752a84452b" /><Relationship Type="http://schemas.openxmlformats.org/officeDocument/2006/relationships/worksheet" Target="/xl/worksheets/sheet4.xml" Id="R7a6020dae2e74723" /><Relationship Type="http://schemas.openxmlformats.org/officeDocument/2006/relationships/worksheet" Target="/xl/worksheets/sheet5.xml" Id="Rc1b19be0d7a549a2" /><Relationship Type="http://schemas.openxmlformats.org/officeDocument/2006/relationships/worksheet" Target="/xl/worksheets/sheet6.xml" Id="R3b9a628238904112" /><Relationship Type="http://schemas.openxmlformats.org/officeDocument/2006/relationships/worksheet" Target="/xl/worksheets/sheet7.xml" Id="R1ff0ffaa7ad341d5" /><Relationship Type="http://schemas.openxmlformats.org/officeDocument/2006/relationships/worksheet" Target="/xl/worksheets/sheet8.xml" Id="R609d93b7e4cc40fd" /><Relationship Type="http://schemas.openxmlformats.org/officeDocument/2006/relationships/worksheet" Target="/xl/worksheets/sheet9.xml" Id="R65713b9dbd0241f0" /><Relationship Type="http://schemas.openxmlformats.org/officeDocument/2006/relationships/worksheet" Target="/xl/worksheets/sheet10.xml" Id="R9cfb428413464d11" /><Relationship Type="http://schemas.openxmlformats.org/officeDocument/2006/relationships/worksheet" Target="/xl/worksheets/sheet11.xml" Id="Recb5edaea78b4039" /><Relationship Type="http://schemas.openxmlformats.org/officeDocument/2006/relationships/worksheet" Target="/xl/worksheets/sheet12.xml" Id="R63acde0f49e64218" /><Relationship Type="http://schemas.openxmlformats.org/officeDocument/2006/relationships/worksheet" Target="/xl/worksheets/sheet13.xml" Id="R07fa476c26ca43df" /><Relationship Type="http://schemas.openxmlformats.org/officeDocument/2006/relationships/worksheet" Target="/xl/worksheets/sheet14.xml" Id="R0e9e0931375748a2" /><Relationship Type="http://schemas.openxmlformats.org/officeDocument/2006/relationships/worksheet" Target="/xl/worksheets/sheet15.xml" Id="R51af81abafee4a38" /><Relationship Type="http://schemas.openxmlformats.org/officeDocument/2006/relationships/worksheet" Target="/xl/worksheets/sheet16.xml" Id="Ra464019c81f14a27" /><Relationship Type="http://schemas.openxmlformats.org/officeDocument/2006/relationships/worksheet" Target="/xl/worksheets/sheet17.xml" Id="R41cee7da50da4009" /><Relationship Type="http://schemas.openxmlformats.org/officeDocument/2006/relationships/worksheet" Target="/xl/worksheets/sheet18.xml" Id="Rce4880d981804df1" /><Relationship Type="http://schemas.openxmlformats.org/officeDocument/2006/relationships/worksheet" Target="/xl/worksheets/sheet19.xml" Id="Rc2631256ffe54eaf" /><Relationship Type="http://schemas.openxmlformats.org/officeDocument/2006/relationships/worksheet" Target="/xl/worksheets/sheet20.xml" Id="Rc663f37ae8ed40f9" /><Relationship Type="http://schemas.openxmlformats.org/officeDocument/2006/relationships/worksheet" Target="/xl/worksheets/sheet21.xml" Id="R2ed190f87ebc4cd8" /><Relationship Type="http://schemas.openxmlformats.org/officeDocument/2006/relationships/worksheet" Target="/xl/worksheets/sheet22.xml" Id="R424eb674c6ea4d88" /><Relationship Type="http://schemas.openxmlformats.org/officeDocument/2006/relationships/worksheet" Target="/xl/worksheets/sheet23.xml" Id="R468bb581523f4def" /><Relationship Type="http://schemas.openxmlformats.org/officeDocument/2006/relationships/worksheet" Target="/xl/worksheets/sheet24.xml" Id="Rcfcabc9991df4c2a" /><Relationship Type="http://schemas.openxmlformats.org/officeDocument/2006/relationships/worksheet" Target="/xl/worksheets/sheet25.xml" Id="Rdf2f22faeb0f4c87" /><Relationship Type="http://schemas.openxmlformats.org/officeDocument/2006/relationships/worksheet" Target="/xl/worksheets/sheet26.xml" Id="R9574ef2fa87444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8543dbacb84b5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8543dbacb84b58"/>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c1285e442c24e8f" /></Relationships>
</file>

<file path=xl/worksheets/_rels/sheet2.xml.rels>&#65279;<?xml version="1.0" encoding="utf-8"?><Relationships xmlns="http://schemas.openxmlformats.org/package/2006/relationships"><Relationship Type="http://schemas.openxmlformats.org/officeDocument/2006/relationships/table" Target="/xl/tables/table2.xml" Id="R261e86acdf864fe5" /></Relationships>
</file>

<file path=xl/worksheets/_rels/sheet3.xml.rels>&#65279;<?xml version="1.0" encoding="utf-8"?><Relationships xmlns="http://schemas.openxmlformats.org/package/2006/relationships"><Relationship Type="http://schemas.openxmlformats.org/officeDocument/2006/relationships/drawing" Target="/xl/drawings/drawing1.xml" Id="Rda323acccf664cbf" /></Relationships>
</file>

<file path=xl/worksheets/_rels/sheet4.xml.rels>&#65279;<?xml version="1.0" encoding="utf-8"?><Relationships xmlns="http://schemas.openxmlformats.org/package/2006/relationships"><Relationship Type="http://schemas.openxmlformats.org/officeDocument/2006/relationships/table" Target="/xl/tables/table3.xml" Id="R6ce8adcfb9914733" /></Relationships>
</file>

<file path=xl/worksheets/_rels/sheet5.xml.rels>&#65279;<?xml version="1.0" encoding="utf-8"?><Relationships xmlns="http://schemas.openxmlformats.org/package/2006/relationships"><Relationship Type="http://schemas.openxmlformats.org/officeDocument/2006/relationships/table" Target="/xl/tables/table4.xml" Id="Rc47b670a1c7e43d4" /></Relationships>
</file>

<file path=xl/worksheets/_rels/sheet6.xml.rels>&#65279;<?xml version="1.0" encoding="utf-8"?><Relationships xmlns="http://schemas.openxmlformats.org/package/2006/relationships"><Relationship Type="http://schemas.openxmlformats.org/officeDocument/2006/relationships/table" Target="/xl/tables/table5.xml" Id="R19135cd70fab4d5a" /></Relationships>
</file>

<file path=xl/worksheets/_rels/sheet7.xml.rels>&#65279;<?xml version="1.0" encoding="utf-8"?><Relationships xmlns="http://schemas.openxmlformats.org/package/2006/relationships"><Relationship Type="http://schemas.openxmlformats.org/officeDocument/2006/relationships/table" Target="/xl/tables/table6.xml" Id="R0071e0f68078469d" /></Relationships>
</file>

<file path=xl/worksheets/_rels/sheet9.xml.rels>&#65279;<?xml version="1.0" encoding="utf-8"?><Relationships xmlns="http://schemas.openxmlformats.org/package/2006/relationships"><Relationship Type="http://schemas.openxmlformats.org/officeDocument/2006/relationships/table" Target="/xl/tables/table7.xml" Id="R8ce2cf26591f43b2" /></Relationships>
</file>

<file path=xl/worksheets/_rels/sheet10.xml.rels>&#65279;<?xml version="1.0" encoding="utf-8"?><Relationships xmlns="http://schemas.openxmlformats.org/package/2006/relationships"><Relationship Type="http://schemas.openxmlformats.org/officeDocument/2006/relationships/table" Target="/xl/tables/table8.xml" Id="R2ad582fe93204f84" /></Relationships>
</file>

<file path=xl/worksheets/_rels/sheet11.xml.rels>&#65279;<?xml version="1.0" encoding="utf-8"?><Relationships xmlns="http://schemas.openxmlformats.org/package/2006/relationships"><Relationship Type="http://schemas.openxmlformats.org/officeDocument/2006/relationships/table" Target="/xl/tables/table9.xml" Id="Rb6914b777cdd4afd" /></Relationships>
</file>

<file path=xl/worksheets/_rels/sheet13.xml.rels>&#65279;<?xml version="1.0" encoding="utf-8"?><Relationships xmlns="http://schemas.openxmlformats.org/package/2006/relationships"><Relationship Type="http://schemas.openxmlformats.org/officeDocument/2006/relationships/table" Target="/xl/tables/table10.xml" Id="Rebbf4c03cd3e42fb" /></Relationships>
</file>

<file path=xl/worksheets/_rels/sheet14.xml.rels>&#65279;<?xml version="1.0" encoding="utf-8"?><Relationships xmlns="http://schemas.openxmlformats.org/package/2006/relationships"><Relationship Type="http://schemas.openxmlformats.org/officeDocument/2006/relationships/table" Target="/xl/tables/table11.xml" Id="R1c085d54664c488b" /></Relationships>
</file>

<file path=xl/worksheets/_rels/sheet15.xml.rels>&#65279;<?xml version="1.0" encoding="utf-8"?><Relationships xmlns="http://schemas.openxmlformats.org/package/2006/relationships"><Relationship Type="http://schemas.openxmlformats.org/officeDocument/2006/relationships/table" Target="/xl/tables/table12.xml" Id="R671b3d12998c42db" /></Relationships>
</file>

<file path=xl/worksheets/_rels/sheet16.xml.rels>&#65279;<?xml version="1.0" encoding="utf-8"?><Relationships xmlns="http://schemas.openxmlformats.org/package/2006/relationships"><Relationship Type="http://schemas.openxmlformats.org/officeDocument/2006/relationships/table" Target="/xl/tables/table13.xml" Id="Re93d38bb48b548a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c1285e442c24e8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61e86acdf864fe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321</x:v>
      </x:c>
      <x:c r="D6" s="133" t="inlineStr">
        <x:is>
          <x:t xml:space="preserve">G0A — Corporate platform architecture ready</x:t>
        </x:is>
      </x:c>
      <x:c r="E6" s="32" t="str">
        <x:f>'03 Launch Gates'!D20</x:f>
        <x:v>Completed</x:v>
      </x:c>
      <x:c r="G6" t="inlineStr">
        <x:is>
          <x:t xml:space="preserve">UI Tasks Complete</x:t>
        </x:is>
      </x:c>
      <x:c r="H6" t="n">
        <x:f>SUM(B36:B46)</x:f>
        <x:v>99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0.8746594005449592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4</x:v>
      </x:c>
      <x:c r="C43" s="162" t="n">
        <x:f>COUNTIFS('01 Master Plan'!C$5:C$383,A43,'01 Master Plan'!H$5:H$383,"In Progress")</x:f>
        <x:v>0</x:v>
      </x:c>
      <x:c r="D43" s="162" t="n">
        <x:f>COUNTIFS('01 Master Plan'!C$5:C$383,A43,'01 Master Plan'!H$5:H$383,"Not Started")</x:f>
        <x:v>6</x:v>
      </x:c>
      <x:c r="E43" s="162" t="n">
        <x:f>COUNTIFS('01 Master Plan'!C$5:C$383,A43,'01 Master Plan'!H$5:H$383,"Blocked")</x:f>
        <x:v>0</x:v>
      </x:c>
      <x:c r="F43" s="162" t="n">
        <x:f>COUNTIFS('01 Master Plan'!C$5:C$383,A43,'01 Master Plan'!H$5:H$383,"Deferred")</x:f>
        <x:v>0</x:v>
      </x:c>
      <x:c r="G43" s="257" t="n">
        <x:f>IFERROR(B43/(B43+C43+D43+E43),0)</x:f>
        <x:v>0.4</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da323acccf664cb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ce8adcfb991473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47b670a1c7e43d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9135cd70fab4d5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071e0f68078469d"/>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ce2cf26591f43b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ad582fe93204f8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6914b777cdd4afd"/>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13G-04 PASS/CLOSED/PUBLISHED. Ask Nexus now has trust boundaries, caller-authorized context, deterministic suggested questions, and explicit user-invoked Guide This Page replay using existing ExecutiveCoachmark anchors with no recurrence or persistence. Next executable canonical task: 13G-05 Support safe deep-link navigation actions.</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bbf4c03cd3e42f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c085d54664c488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671b3d12998c42d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93d38bb48b548a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