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b175435b6c4ebb" /></Relationships>
</file>

<file path=xl/workbook.xml><?xml version="1.0" encoding="utf-8"?>
<x:workbook xmlns:x="http://schemas.openxmlformats.org/spreadsheetml/2006/main">
  <x:sheets>
    <x:sheet xmlns:r="http://schemas.openxmlformats.org/officeDocument/2006/relationships" name="01 Master Plan" sheetId="1" r:id="R523411ac972f4322"/>
    <x:sheet xmlns:r="http://schemas.openxmlformats.org/officeDocument/2006/relationships" name="03 Launch Gates" sheetId="2" r:id="Rc69bdd7cd7234587"/>
    <x:sheet xmlns:r="http://schemas.openxmlformats.org/officeDocument/2006/relationships" name="00 Dashboard" sheetId="3" r:id="R890aa0a9e2664627"/>
    <x:sheet xmlns:r="http://schemas.openxmlformats.org/officeDocument/2006/relationships" name="04 Cursor Tasks" sheetId="4" r:id="Rfbfc4a2bb0ad410f"/>
    <x:sheet xmlns:r="http://schemas.openxmlformats.org/officeDocument/2006/relationships" name="05 UAT Matrix" sheetId="5" r:id="R004d4c133c884cf5"/>
    <x:sheet xmlns:r="http://schemas.openxmlformats.org/officeDocument/2006/relationships" name="06 Security Matrix" sheetId="6" r:id="R5dafa64fe19046d6"/>
    <x:sheet xmlns:r="http://schemas.openxmlformats.org/officeDocument/2006/relationships" name="07 Risks" sheetId="7" r:id="Raafa1ff359f04144"/>
    <x:sheet xmlns:r="http://schemas.openxmlformats.org/officeDocument/2006/relationships" name="08 Architecture" sheetId="8" r:id="Rf800fce00b164243"/>
    <x:sheet xmlns:r="http://schemas.openxmlformats.org/officeDocument/2006/relationships" name="09 Release Checklist" sheetId="9" r:id="R3a585c8796ec4c49"/>
    <x:sheet xmlns:r="http://schemas.openxmlformats.org/officeDocument/2006/relationships" name="10 Change Log" sheetId="10" r:id="R915b29c3cae1443a"/>
    <x:sheet xmlns:r="http://schemas.openxmlformats.org/officeDocument/2006/relationships" name="11 Scope &amp; Roadmap" sheetId="11" r:id="Ra424d5120fa0491b"/>
    <x:sheet xmlns:r="http://schemas.openxmlformats.org/officeDocument/2006/relationships" name="12 How to Use" sheetId="12" r:id="Rf744cb23eead4c73"/>
    <x:sheet xmlns:r="http://schemas.openxmlformats.org/officeDocument/2006/relationships" name="13 UI Program" sheetId="13" r:id="R9854cfc82dbe4fd2"/>
    <x:sheet xmlns:r="http://schemas.openxmlformats.org/officeDocument/2006/relationships" name="14 UI Scorecard" sheetId="14" r:id="Ra006676c03a44d22"/>
    <x:sheet xmlns:r="http://schemas.openxmlformats.org/officeDocument/2006/relationships" name="15 Motion Guidance" sheetId="15" r:id="R213a7d27ae384490"/>
    <x:sheet xmlns:r="http://schemas.openxmlformats.org/officeDocument/2006/relationships" name="16 Design Standards" sheetId="16" r:id="Rae013fa47c2b4a2b"/>
    <x:sheet xmlns:r="http://schemas.openxmlformats.org/officeDocument/2006/relationships" name="17 Corporate Platform" sheetId="17" r:id="R25f392f1988440c7"/>
    <x:sheet xmlns:r="http://schemas.openxmlformats.org/officeDocument/2006/relationships" name="18 Analytics Reuse Map" sheetId="18" r:id="R8aa79246a4d1423b"/>
    <x:sheet xmlns:r="http://schemas.openxmlformats.org/officeDocument/2006/relationships" name="19 Executive Insights Discovery" sheetId="19" r:id="R6c2e4d48cf214c9d"/>
    <x:sheet xmlns:r="http://schemas.openxmlformats.org/officeDocument/2006/relationships" name="20 Procurement Insights Discovery" sheetId="20" r:id="R44f3e2155d4141de"/>
    <x:sheet xmlns:r="http://schemas.openxmlformats.org/officeDocument/2006/relationships" name="21 Commercial Insights Discovery" sheetId="21" r:id="R40a7155345794f91"/>
    <x:sheet xmlns:r="http://schemas.openxmlformats.org/officeDocument/2006/relationships" name="22 Project Insights Discovery" sheetId="22" r:id="Rc278c334f56f437f"/>
    <x:sheet xmlns:r="http://schemas.openxmlformats.org/officeDocument/2006/relationships" name="23 Performance Discovery" sheetId="23" r:id="R545de70a21de4856"/>
    <x:sheet xmlns:r="http://schemas.openxmlformats.org/officeDocument/2006/relationships" name="24 Risk Compliance Discovery" sheetId="24" r:id="Rbfb0f03ed7cc4cb8"/>
    <x:sheet xmlns:r="http://schemas.openxmlformats.org/officeDocument/2006/relationships" name="25 Commercial Handoff" sheetId="25" r:id="Rcb066d2fa184425d"/>
    <x:sheet xmlns:r="http://schemas.openxmlformats.org/officeDocument/2006/relationships" name="26 RFQ Governance" sheetId="26" r:id="R29af03ee1a3e4ff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27bf8a65d2345f5" /><Relationship Type="http://schemas.openxmlformats.org/officeDocument/2006/relationships/theme" Target="/xl/theme/theme1.xml" Id="R46c1530dcbba42ac" /><Relationship Type="http://schemas.openxmlformats.org/officeDocument/2006/relationships/sharedStrings" Target="/xl/sharedStrings.xml" Id="R18ebcdec11b94ed3" /><Relationship Type="http://schemas.openxmlformats.org/officeDocument/2006/relationships/worksheet" Target="/xl/worksheets/sheet1.xml" Id="R523411ac972f4322" /><Relationship Type="http://schemas.openxmlformats.org/officeDocument/2006/relationships/worksheet" Target="/xl/worksheets/sheet2.xml" Id="Rc69bdd7cd7234587" /><Relationship Type="http://schemas.openxmlformats.org/officeDocument/2006/relationships/worksheet" Target="/xl/worksheets/sheet3.xml" Id="R890aa0a9e2664627" /><Relationship Type="http://schemas.openxmlformats.org/officeDocument/2006/relationships/worksheet" Target="/xl/worksheets/sheet4.xml" Id="Rfbfc4a2bb0ad410f" /><Relationship Type="http://schemas.openxmlformats.org/officeDocument/2006/relationships/worksheet" Target="/xl/worksheets/sheet5.xml" Id="R004d4c133c884cf5" /><Relationship Type="http://schemas.openxmlformats.org/officeDocument/2006/relationships/worksheet" Target="/xl/worksheets/sheet6.xml" Id="R5dafa64fe19046d6" /><Relationship Type="http://schemas.openxmlformats.org/officeDocument/2006/relationships/worksheet" Target="/xl/worksheets/sheet7.xml" Id="Raafa1ff359f04144" /><Relationship Type="http://schemas.openxmlformats.org/officeDocument/2006/relationships/worksheet" Target="/xl/worksheets/sheet8.xml" Id="Rf800fce00b164243" /><Relationship Type="http://schemas.openxmlformats.org/officeDocument/2006/relationships/worksheet" Target="/xl/worksheets/sheet9.xml" Id="R3a585c8796ec4c49" /><Relationship Type="http://schemas.openxmlformats.org/officeDocument/2006/relationships/worksheet" Target="/xl/worksheets/sheet10.xml" Id="R915b29c3cae1443a" /><Relationship Type="http://schemas.openxmlformats.org/officeDocument/2006/relationships/worksheet" Target="/xl/worksheets/sheet11.xml" Id="Ra424d5120fa0491b" /><Relationship Type="http://schemas.openxmlformats.org/officeDocument/2006/relationships/worksheet" Target="/xl/worksheets/sheet12.xml" Id="Rf744cb23eead4c73" /><Relationship Type="http://schemas.openxmlformats.org/officeDocument/2006/relationships/worksheet" Target="/xl/worksheets/sheet13.xml" Id="R9854cfc82dbe4fd2" /><Relationship Type="http://schemas.openxmlformats.org/officeDocument/2006/relationships/worksheet" Target="/xl/worksheets/sheet14.xml" Id="Ra006676c03a44d22" /><Relationship Type="http://schemas.openxmlformats.org/officeDocument/2006/relationships/worksheet" Target="/xl/worksheets/sheet15.xml" Id="R213a7d27ae384490" /><Relationship Type="http://schemas.openxmlformats.org/officeDocument/2006/relationships/worksheet" Target="/xl/worksheets/sheet16.xml" Id="Rae013fa47c2b4a2b" /><Relationship Type="http://schemas.openxmlformats.org/officeDocument/2006/relationships/worksheet" Target="/xl/worksheets/sheet17.xml" Id="R25f392f1988440c7" /><Relationship Type="http://schemas.openxmlformats.org/officeDocument/2006/relationships/worksheet" Target="/xl/worksheets/sheet18.xml" Id="R8aa79246a4d1423b" /><Relationship Type="http://schemas.openxmlformats.org/officeDocument/2006/relationships/worksheet" Target="/xl/worksheets/sheet19.xml" Id="R6c2e4d48cf214c9d" /><Relationship Type="http://schemas.openxmlformats.org/officeDocument/2006/relationships/worksheet" Target="/xl/worksheets/sheet20.xml" Id="R44f3e2155d4141de" /><Relationship Type="http://schemas.openxmlformats.org/officeDocument/2006/relationships/worksheet" Target="/xl/worksheets/sheet21.xml" Id="R40a7155345794f91" /><Relationship Type="http://schemas.openxmlformats.org/officeDocument/2006/relationships/worksheet" Target="/xl/worksheets/sheet22.xml" Id="Rc278c334f56f437f" /><Relationship Type="http://schemas.openxmlformats.org/officeDocument/2006/relationships/worksheet" Target="/xl/worksheets/sheet23.xml" Id="R545de70a21de4856" /><Relationship Type="http://schemas.openxmlformats.org/officeDocument/2006/relationships/worksheet" Target="/xl/worksheets/sheet24.xml" Id="Rbfb0f03ed7cc4cb8" /><Relationship Type="http://schemas.openxmlformats.org/officeDocument/2006/relationships/worksheet" Target="/xl/worksheets/sheet25.xml" Id="Rcb066d2fa184425d" /><Relationship Type="http://schemas.openxmlformats.org/officeDocument/2006/relationships/worksheet" Target="/xl/worksheets/sheet26.xml" Id="R29af03ee1a3e4ffd" /></Relationships>
</file>

<file path=xl/drawings/_rels/drawing1.xml.rels>&#65279;<?xml version="1.0" encoding="utf-8"?><Relationships xmlns="http://schemas.openxmlformats.org/package/2006/relationships"><Relationship Type="http://schemas.openxmlformats.org/officeDocument/2006/relationships/chart" Target="/xl/drawings/charts/chart1.xml" Id="R0cf4844b62cf43f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cf4844b62cf43f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9220ffcaeae48cc" /></Relationships>
</file>

<file path=xl/worksheets/_rels/sheet2.xml.rels>&#65279;<?xml version="1.0" encoding="utf-8"?><Relationships xmlns="http://schemas.openxmlformats.org/package/2006/relationships"><Relationship Type="http://schemas.openxmlformats.org/officeDocument/2006/relationships/table" Target="/xl/tables/table2.xml" Id="R4e5fff15ab5d4b5e" /></Relationships>
</file>

<file path=xl/worksheets/_rels/sheet3.xml.rels>&#65279;<?xml version="1.0" encoding="utf-8"?><Relationships xmlns="http://schemas.openxmlformats.org/package/2006/relationships"><Relationship Type="http://schemas.openxmlformats.org/officeDocument/2006/relationships/drawing" Target="/xl/drawings/drawing1.xml" Id="R8092de25cc8f4af4" /></Relationships>
</file>

<file path=xl/worksheets/_rels/sheet4.xml.rels>&#65279;<?xml version="1.0" encoding="utf-8"?><Relationships xmlns="http://schemas.openxmlformats.org/package/2006/relationships"><Relationship Type="http://schemas.openxmlformats.org/officeDocument/2006/relationships/table" Target="/xl/tables/table3.xml" Id="R00e288b6ce134a01" /></Relationships>
</file>

<file path=xl/worksheets/_rels/sheet5.xml.rels>&#65279;<?xml version="1.0" encoding="utf-8"?><Relationships xmlns="http://schemas.openxmlformats.org/package/2006/relationships"><Relationship Type="http://schemas.openxmlformats.org/officeDocument/2006/relationships/table" Target="/xl/tables/table4.xml" Id="R160b9e61f2a74fb0" /></Relationships>
</file>

<file path=xl/worksheets/_rels/sheet6.xml.rels>&#65279;<?xml version="1.0" encoding="utf-8"?><Relationships xmlns="http://schemas.openxmlformats.org/package/2006/relationships"><Relationship Type="http://schemas.openxmlformats.org/officeDocument/2006/relationships/table" Target="/xl/tables/table5.xml" Id="R0677de3862ad41b2" /></Relationships>
</file>

<file path=xl/worksheets/_rels/sheet7.xml.rels>&#65279;<?xml version="1.0" encoding="utf-8"?><Relationships xmlns="http://schemas.openxmlformats.org/package/2006/relationships"><Relationship Type="http://schemas.openxmlformats.org/officeDocument/2006/relationships/table" Target="/xl/tables/table6.xml" Id="R7d136806cb524716" /></Relationships>
</file>

<file path=xl/worksheets/_rels/sheet9.xml.rels>&#65279;<?xml version="1.0" encoding="utf-8"?><Relationships xmlns="http://schemas.openxmlformats.org/package/2006/relationships"><Relationship Type="http://schemas.openxmlformats.org/officeDocument/2006/relationships/table" Target="/xl/tables/table7.xml" Id="Rdd82154fc48c4f57" /></Relationships>
</file>

<file path=xl/worksheets/_rels/sheet10.xml.rels>&#65279;<?xml version="1.0" encoding="utf-8"?><Relationships xmlns="http://schemas.openxmlformats.org/package/2006/relationships"><Relationship Type="http://schemas.openxmlformats.org/officeDocument/2006/relationships/table" Target="/xl/tables/table8.xml" Id="Re692b0dafff141d0" /></Relationships>
</file>

<file path=xl/worksheets/_rels/sheet11.xml.rels>&#65279;<?xml version="1.0" encoding="utf-8"?><Relationships xmlns="http://schemas.openxmlformats.org/package/2006/relationships"><Relationship Type="http://schemas.openxmlformats.org/officeDocument/2006/relationships/table" Target="/xl/tables/table9.xml" Id="Rb6ed24130d664ace" /></Relationships>
</file>

<file path=xl/worksheets/_rels/sheet13.xml.rels>&#65279;<?xml version="1.0" encoding="utf-8"?><Relationships xmlns="http://schemas.openxmlformats.org/package/2006/relationships"><Relationship Type="http://schemas.openxmlformats.org/officeDocument/2006/relationships/table" Target="/xl/tables/table10.xml" Id="R21b0080c5d48488a" /></Relationships>
</file>

<file path=xl/worksheets/_rels/sheet14.xml.rels>&#65279;<?xml version="1.0" encoding="utf-8"?><Relationships xmlns="http://schemas.openxmlformats.org/package/2006/relationships"><Relationship Type="http://schemas.openxmlformats.org/officeDocument/2006/relationships/table" Target="/xl/tables/table11.xml" Id="Raba456a37d874843" /></Relationships>
</file>

<file path=xl/worksheets/_rels/sheet15.xml.rels>&#65279;<?xml version="1.0" encoding="utf-8"?><Relationships xmlns="http://schemas.openxmlformats.org/package/2006/relationships"><Relationship Type="http://schemas.openxmlformats.org/officeDocument/2006/relationships/table" Target="/xl/tables/table12.xml" Id="R87efb25011c04813" /></Relationships>
</file>

<file path=xl/worksheets/_rels/sheet16.xml.rels>&#65279;<?xml version="1.0" encoding="utf-8"?><Relationships xmlns="http://schemas.openxmlformats.org/package/2006/relationships"><Relationship Type="http://schemas.openxmlformats.org/officeDocument/2006/relationships/table" Target="/xl/tables/table13.xml" Id="R1e547e50cf0348c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9220ffcaeae48c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e5fff15ab5d4b5e"/>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319</x:v>
      </x:c>
      <x:c r="D6" s="133" t="inlineStr">
        <x:is>
          <x:t xml:space="preserve">G0A — Corporate platform architecture ready</x:t>
        </x:is>
      </x:c>
      <x:c r="E6" s="32" t="str">
        <x:f>'03 Launch Gates'!D20</x:f>
        <x:v>Completed</x:v>
      </x:c>
      <x:c r="G6" t="inlineStr">
        <x:is>
          <x:t xml:space="preserve">UI Tasks Complete</x:t>
        </x:is>
      </x:c>
      <x:c r="H6" t="n">
        <x:f>SUM(B36:B46)</x:f>
        <x:v>97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0.8692098092643051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2</x:v>
      </x:c>
      <x:c r="C43" s="162" t="n">
        <x:f>COUNTIFS('01 Master Plan'!C$5:C$383,A43,'01 Master Plan'!H$5:H$383,"In Progress")</x:f>
        <x:v>0</x:v>
      </x:c>
      <x:c r="D43" s="162" t="n">
        <x:f>COUNTIFS('01 Master Plan'!C$5:C$383,A43,'01 Master Plan'!H$5:H$383,"Not Started")</x:f>
        <x:v>8</x:v>
      </x:c>
      <x:c r="E43" s="162" t="n">
        <x:f>COUNTIFS('01 Master Plan'!C$5:C$383,A43,'01 Master Plan'!H$5:H$383,"Blocked")</x:f>
        <x:v>0</x:v>
      </x:c>
      <x:c r="F43" s="162" t="n">
        <x:f>COUNTIFS('01 Master Plan'!C$5:C$383,A43,'01 Master Plan'!H$5:H$383,"Deferred")</x:f>
        <x:v>0</x:v>
      </x:c>
      <x:c r="G43" s="257" t="n">
        <x:f>IFERROR(B43/(B43+C43+D43+E43),0)</x:f>
        <x:v>0.2</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092de25cc8f4af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0e288b6ce134a0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160b9e61f2a74fb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677de3862ad41b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d136806cb52471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d82154fc48c4f5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692b0dafff141d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6ed24130d664ac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and 13G-02 PASS/CLOSED/PUBLISHED. Ask Nexus now has pure trust boundaries plus a caller-authorized context envelope with isolated company/project/RFQ domains and no hidden privilege elevation. Next executable canonical task: 13G-03 Add context-specific suggested questions.</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1b0080c5d48488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ba456a37d87484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7efb25011c0481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e547e50cf0348c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