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2de56921224274" /></Relationships>
</file>

<file path=xl/workbook.xml><?xml version="1.0" encoding="utf-8"?>
<x:workbook xmlns:x="http://schemas.openxmlformats.org/spreadsheetml/2006/main">
  <x:sheets>
    <x:sheet xmlns:r="http://schemas.openxmlformats.org/officeDocument/2006/relationships" name="01 Master Plan" sheetId="1" r:id="R58cc297565064fbd"/>
    <x:sheet xmlns:r="http://schemas.openxmlformats.org/officeDocument/2006/relationships" name="03 Launch Gates" sheetId="2" r:id="R87f0e1647c964ac5"/>
    <x:sheet xmlns:r="http://schemas.openxmlformats.org/officeDocument/2006/relationships" name="00 Dashboard" sheetId="3" r:id="Red24097912144336"/>
    <x:sheet xmlns:r="http://schemas.openxmlformats.org/officeDocument/2006/relationships" name="04 Cursor Tasks" sheetId="4" r:id="R6812387a378447d7"/>
    <x:sheet xmlns:r="http://schemas.openxmlformats.org/officeDocument/2006/relationships" name="05 UAT Matrix" sheetId="5" r:id="Rea8986b7e7fb42ff"/>
    <x:sheet xmlns:r="http://schemas.openxmlformats.org/officeDocument/2006/relationships" name="06 Security Matrix" sheetId="6" r:id="R670a32f99bff4d8a"/>
    <x:sheet xmlns:r="http://schemas.openxmlformats.org/officeDocument/2006/relationships" name="07 Risks" sheetId="7" r:id="R572fead0b811400e"/>
    <x:sheet xmlns:r="http://schemas.openxmlformats.org/officeDocument/2006/relationships" name="08 Architecture" sheetId="8" r:id="Rdae46725aebe43d6"/>
    <x:sheet xmlns:r="http://schemas.openxmlformats.org/officeDocument/2006/relationships" name="09 Release Checklist" sheetId="9" r:id="Rdd61fed5465849ff"/>
    <x:sheet xmlns:r="http://schemas.openxmlformats.org/officeDocument/2006/relationships" name="10 Change Log" sheetId="10" r:id="R642dec2d31414195"/>
    <x:sheet xmlns:r="http://schemas.openxmlformats.org/officeDocument/2006/relationships" name="11 Scope &amp; Roadmap" sheetId="11" r:id="Rc418f40b83234ecc"/>
    <x:sheet xmlns:r="http://schemas.openxmlformats.org/officeDocument/2006/relationships" name="12 How to Use" sheetId="12" r:id="R85de1e5224014066"/>
    <x:sheet xmlns:r="http://schemas.openxmlformats.org/officeDocument/2006/relationships" name="13 UI Program" sheetId="13" r:id="Rfaf79dfb7e0e4054"/>
    <x:sheet xmlns:r="http://schemas.openxmlformats.org/officeDocument/2006/relationships" name="14 UI Scorecard" sheetId="14" r:id="Rc9e2b5296e35446d"/>
    <x:sheet xmlns:r="http://schemas.openxmlformats.org/officeDocument/2006/relationships" name="15 Motion Guidance" sheetId="15" r:id="R64f40ff1dcbf46fa"/>
    <x:sheet xmlns:r="http://schemas.openxmlformats.org/officeDocument/2006/relationships" name="16 Design Standards" sheetId="16" r:id="R866fe31d3c0d4b64"/>
    <x:sheet xmlns:r="http://schemas.openxmlformats.org/officeDocument/2006/relationships" name="17 Corporate Platform" sheetId="17" r:id="R0e122da472dc4fe2"/>
    <x:sheet xmlns:r="http://schemas.openxmlformats.org/officeDocument/2006/relationships" name="18 Analytics Reuse Map" sheetId="18" r:id="R579a4d9908394af4"/>
    <x:sheet xmlns:r="http://schemas.openxmlformats.org/officeDocument/2006/relationships" name="19 Executive Insights Discovery" sheetId="19" r:id="R03cbb9be310e4c11"/>
    <x:sheet xmlns:r="http://schemas.openxmlformats.org/officeDocument/2006/relationships" name="20 Procurement Insights Discovery" sheetId="20" r:id="R41addd51ecc1439b"/>
    <x:sheet xmlns:r="http://schemas.openxmlformats.org/officeDocument/2006/relationships" name="21 Commercial Insights Discovery" sheetId="21" r:id="Rd1ae0782ae2443df"/>
    <x:sheet xmlns:r="http://schemas.openxmlformats.org/officeDocument/2006/relationships" name="22 Project Insights Discovery" sheetId="22" r:id="R594654f67ef14f1b"/>
    <x:sheet xmlns:r="http://schemas.openxmlformats.org/officeDocument/2006/relationships" name="23 Performance Discovery" sheetId="23" r:id="R3f841556114e453d"/>
    <x:sheet xmlns:r="http://schemas.openxmlformats.org/officeDocument/2006/relationships" name="24 Risk Compliance Discovery" sheetId="24" r:id="R8a2009b1fa264e8d"/>
    <x:sheet xmlns:r="http://schemas.openxmlformats.org/officeDocument/2006/relationships" name="25 Commercial Handoff" sheetId="25" r:id="R9ece9a5f2ed1476b"/>
    <x:sheet xmlns:r="http://schemas.openxmlformats.org/officeDocument/2006/relationships" name="26 RFQ Governance" sheetId="26" r:id="Rcd87a428af03489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ea9593396a94e49" /><Relationship Type="http://schemas.openxmlformats.org/officeDocument/2006/relationships/theme" Target="/xl/theme/theme1.xml" Id="Rc4abd6dae3f74bc2" /><Relationship Type="http://schemas.openxmlformats.org/officeDocument/2006/relationships/sharedStrings" Target="/xl/sharedStrings.xml" Id="Rbfc60492696b4ce7" /><Relationship Type="http://schemas.openxmlformats.org/officeDocument/2006/relationships/worksheet" Target="/xl/worksheets/sheet1.xml" Id="R58cc297565064fbd" /><Relationship Type="http://schemas.openxmlformats.org/officeDocument/2006/relationships/worksheet" Target="/xl/worksheets/sheet2.xml" Id="R87f0e1647c964ac5" /><Relationship Type="http://schemas.openxmlformats.org/officeDocument/2006/relationships/worksheet" Target="/xl/worksheets/sheet3.xml" Id="Red24097912144336" /><Relationship Type="http://schemas.openxmlformats.org/officeDocument/2006/relationships/worksheet" Target="/xl/worksheets/sheet4.xml" Id="R6812387a378447d7" /><Relationship Type="http://schemas.openxmlformats.org/officeDocument/2006/relationships/worksheet" Target="/xl/worksheets/sheet5.xml" Id="Rea8986b7e7fb42ff" /><Relationship Type="http://schemas.openxmlformats.org/officeDocument/2006/relationships/worksheet" Target="/xl/worksheets/sheet6.xml" Id="R670a32f99bff4d8a" /><Relationship Type="http://schemas.openxmlformats.org/officeDocument/2006/relationships/worksheet" Target="/xl/worksheets/sheet7.xml" Id="R572fead0b811400e" /><Relationship Type="http://schemas.openxmlformats.org/officeDocument/2006/relationships/worksheet" Target="/xl/worksheets/sheet8.xml" Id="Rdae46725aebe43d6" /><Relationship Type="http://schemas.openxmlformats.org/officeDocument/2006/relationships/worksheet" Target="/xl/worksheets/sheet9.xml" Id="Rdd61fed5465849ff" /><Relationship Type="http://schemas.openxmlformats.org/officeDocument/2006/relationships/worksheet" Target="/xl/worksheets/sheet10.xml" Id="R642dec2d31414195" /><Relationship Type="http://schemas.openxmlformats.org/officeDocument/2006/relationships/worksheet" Target="/xl/worksheets/sheet11.xml" Id="Rc418f40b83234ecc" /><Relationship Type="http://schemas.openxmlformats.org/officeDocument/2006/relationships/worksheet" Target="/xl/worksheets/sheet12.xml" Id="R85de1e5224014066" /><Relationship Type="http://schemas.openxmlformats.org/officeDocument/2006/relationships/worksheet" Target="/xl/worksheets/sheet13.xml" Id="Rfaf79dfb7e0e4054" /><Relationship Type="http://schemas.openxmlformats.org/officeDocument/2006/relationships/worksheet" Target="/xl/worksheets/sheet14.xml" Id="Rc9e2b5296e35446d" /><Relationship Type="http://schemas.openxmlformats.org/officeDocument/2006/relationships/worksheet" Target="/xl/worksheets/sheet15.xml" Id="R64f40ff1dcbf46fa" /><Relationship Type="http://schemas.openxmlformats.org/officeDocument/2006/relationships/worksheet" Target="/xl/worksheets/sheet16.xml" Id="R866fe31d3c0d4b64" /><Relationship Type="http://schemas.openxmlformats.org/officeDocument/2006/relationships/worksheet" Target="/xl/worksheets/sheet17.xml" Id="R0e122da472dc4fe2" /><Relationship Type="http://schemas.openxmlformats.org/officeDocument/2006/relationships/worksheet" Target="/xl/worksheets/sheet18.xml" Id="R579a4d9908394af4" /><Relationship Type="http://schemas.openxmlformats.org/officeDocument/2006/relationships/worksheet" Target="/xl/worksheets/sheet19.xml" Id="R03cbb9be310e4c11" /><Relationship Type="http://schemas.openxmlformats.org/officeDocument/2006/relationships/worksheet" Target="/xl/worksheets/sheet20.xml" Id="R41addd51ecc1439b" /><Relationship Type="http://schemas.openxmlformats.org/officeDocument/2006/relationships/worksheet" Target="/xl/worksheets/sheet21.xml" Id="Rd1ae0782ae2443df" /><Relationship Type="http://schemas.openxmlformats.org/officeDocument/2006/relationships/worksheet" Target="/xl/worksheets/sheet22.xml" Id="R594654f67ef14f1b" /><Relationship Type="http://schemas.openxmlformats.org/officeDocument/2006/relationships/worksheet" Target="/xl/worksheets/sheet23.xml" Id="R3f841556114e453d" /><Relationship Type="http://schemas.openxmlformats.org/officeDocument/2006/relationships/worksheet" Target="/xl/worksheets/sheet24.xml" Id="R8a2009b1fa264e8d" /><Relationship Type="http://schemas.openxmlformats.org/officeDocument/2006/relationships/worksheet" Target="/xl/worksheets/sheet25.xml" Id="R9ece9a5f2ed1476b" /><Relationship Type="http://schemas.openxmlformats.org/officeDocument/2006/relationships/worksheet" Target="/xl/worksheets/sheet26.xml" Id="Rcd87a428af034890" /></Relationships>
</file>

<file path=xl/drawings/_rels/drawing1.xml.rels>&#65279;<?xml version="1.0" encoding="utf-8"?><Relationships xmlns="http://schemas.openxmlformats.org/package/2006/relationships"><Relationship Type="http://schemas.openxmlformats.org/officeDocument/2006/relationships/chart" Target="/xl/drawings/charts/chart1.xml" Id="R4ac9437af84e47d8"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ac9437af84e47d8"/>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643a02a8066464b" /></Relationships>
</file>

<file path=xl/worksheets/_rels/sheet2.xml.rels>&#65279;<?xml version="1.0" encoding="utf-8"?><Relationships xmlns="http://schemas.openxmlformats.org/package/2006/relationships"><Relationship Type="http://schemas.openxmlformats.org/officeDocument/2006/relationships/table" Target="/xl/tables/table2.xml" Id="Rd9071b350ff84644" /></Relationships>
</file>

<file path=xl/worksheets/_rels/sheet3.xml.rels>&#65279;<?xml version="1.0" encoding="utf-8"?><Relationships xmlns="http://schemas.openxmlformats.org/package/2006/relationships"><Relationship Type="http://schemas.openxmlformats.org/officeDocument/2006/relationships/drawing" Target="/xl/drawings/drawing1.xml" Id="Ra91f31f4438a49f5" /></Relationships>
</file>

<file path=xl/worksheets/_rels/sheet4.xml.rels>&#65279;<?xml version="1.0" encoding="utf-8"?><Relationships xmlns="http://schemas.openxmlformats.org/package/2006/relationships"><Relationship Type="http://schemas.openxmlformats.org/officeDocument/2006/relationships/table" Target="/xl/tables/table3.xml" Id="Rb9721b3e10d84cc0" /></Relationships>
</file>

<file path=xl/worksheets/_rels/sheet5.xml.rels>&#65279;<?xml version="1.0" encoding="utf-8"?><Relationships xmlns="http://schemas.openxmlformats.org/package/2006/relationships"><Relationship Type="http://schemas.openxmlformats.org/officeDocument/2006/relationships/table" Target="/xl/tables/table4.xml" Id="Ra90fbac6da5549b0" /></Relationships>
</file>

<file path=xl/worksheets/_rels/sheet6.xml.rels>&#65279;<?xml version="1.0" encoding="utf-8"?><Relationships xmlns="http://schemas.openxmlformats.org/package/2006/relationships"><Relationship Type="http://schemas.openxmlformats.org/officeDocument/2006/relationships/table" Target="/xl/tables/table5.xml" Id="R200541958a5d418c" /></Relationships>
</file>

<file path=xl/worksheets/_rels/sheet7.xml.rels>&#65279;<?xml version="1.0" encoding="utf-8"?><Relationships xmlns="http://schemas.openxmlformats.org/package/2006/relationships"><Relationship Type="http://schemas.openxmlformats.org/officeDocument/2006/relationships/table" Target="/xl/tables/table6.xml" Id="R13454164cf5e41a3" /></Relationships>
</file>

<file path=xl/worksheets/_rels/sheet9.xml.rels>&#65279;<?xml version="1.0" encoding="utf-8"?><Relationships xmlns="http://schemas.openxmlformats.org/package/2006/relationships"><Relationship Type="http://schemas.openxmlformats.org/officeDocument/2006/relationships/table" Target="/xl/tables/table7.xml" Id="R9b883bc016074ce2" /></Relationships>
</file>

<file path=xl/worksheets/_rels/sheet10.xml.rels>&#65279;<?xml version="1.0" encoding="utf-8"?><Relationships xmlns="http://schemas.openxmlformats.org/package/2006/relationships"><Relationship Type="http://schemas.openxmlformats.org/officeDocument/2006/relationships/table" Target="/xl/tables/table8.xml" Id="R0f412295acd247f2" /></Relationships>
</file>

<file path=xl/worksheets/_rels/sheet11.xml.rels>&#65279;<?xml version="1.0" encoding="utf-8"?><Relationships xmlns="http://schemas.openxmlformats.org/package/2006/relationships"><Relationship Type="http://schemas.openxmlformats.org/officeDocument/2006/relationships/table" Target="/xl/tables/table9.xml" Id="R32611852e95e4a41" /></Relationships>
</file>

<file path=xl/worksheets/_rels/sheet13.xml.rels>&#65279;<?xml version="1.0" encoding="utf-8"?><Relationships xmlns="http://schemas.openxmlformats.org/package/2006/relationships"><Relationship Type="http://schemas.openxmlformats.org/officeDocument/2006/relationships/table" Target="/xl/tables/table10.xml" Id="Rfaf74e0b9d36450d" /></Relationships>
</file>

<file path=xl/worksheets/_rels/sheet14.xml.rels>&#65279;<?xml version="1.0" encoding="utf-8"?><Relationships xmlns="http://schemas.openxmlformats.org/package/2006/relationships"><Relationship Type="http://schemas.openxmlformats.org/officeDocument/2006/relationships/table" Target="/xl/tables/table11.xml" Id="Rd6f6f9ba5459451f" /></Relationships>
</file>

<file path=xl/worksheets/_rels/sheet15.xml.rels>&#65279;<?xml version="1.0" encoding="utf-8"?><Relationships xmlns="http://schemas.openxmlformats.org/package/2006/relationships"><Relationship Type="http://schemas.openxmlformats.org/officeDocument/2006/relationships/table" Target="/xl/tables/table12.xml" Id="Re42d5508d4de45d8" /></Relationships>
</file>

<file path=xl/worksheets/_rels/sheet16.xml.rels>&#65279;<?xml version="1.0" encoding="utf-8"?><Relationships xmlns="http://schemas.openxmlformats.org/package/2006/relationships"><Relationship Type="http://schemas.openxmlformats.org/officeDocument/2006/relationships/table" Target="/xl/tables/table13.xml" Id="R0cf657342c044d9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643a02a8066464b"/>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9071b350ff8464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290</x:v>
      </x:c>
      <x:c r="D6" s="133" t="inlineStr">
        <x:is>
          <x:t xml:space="preserve">G0A — Corporate platform architecture ready</x:t>
        </x:is>
      </x:c>
      <x:c r="E6" s="32" t="str">
        <x:f>'03 Launch Gates'!D20</x:f>
        <x:v>Completed</x:v>
      </x:c>
      <x:c r="G6" t="inlineStr">
        <x:is>
          <x:t xml:space="preserve">UI Tasks Complete</x:t>
        </x:is>
      </x:c>
      <x:c r="H6" t="n">
        <x:f>SUM(B36:B46)</x:f>
        <x:v>68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2</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0.7901907356948229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0.8218181818181818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4</x:v>
      </x:c>
      <x:c r="C40" s="162" t="n">
        <x:f>COUNTIFS('01 Master Plan'!C$5:C$383,A40,'01 Master Plan'!H$5:H$383,"In Progress")</x:f>
        <x:v>0</x:v>
      </x:c>
      <x:c r="D40" s="162" t="n">
        <x:f>COUNTIFS('01 Master Plan'!C$5:C$383,A40,'01 Master Plan'!H$5:H$383,"Not Started")</x:f>
        <x:v>4</x:v>
      </x:c>
      <x:c r="E40" s="162" t="n">
        <x:f>COUNTIFS('01 Master Plan'!C$5:C$383,A40,'01 Master Plan'!H$5:H$383,"Blocked")</x:f>
        <x:v>2</x:v>
      </x:c>
      <x:c r="F40" s="162" t="n">
        <x:f>COUNTIFS('01 Master Plan'!C$5:C$383,A40,'01 Master Plan'!H$5:H$383,"Deferred")</x:f>
        <x:v>0</x:v>
      </x:c>
      <x:c r="G40" s="257" t="n">
        <x:f>IFERROR(B40/(B40+C40+D40+E40),0)</x:f>
        <x:v>0.4</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91f31f4438a49f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9721b3e10d84cc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90fbac6da5549b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00541958a5d418c"/>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3454164cf5e41a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b883bc016074ce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f412295acd247f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2611852e95e4a4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through 13D-03 and 13D-06 PASS/CLOSED. 13D-04 remains BLOCKED pending a stable Ask Nexus/Search destination. 13D-05 remains BLOCKED pending a safe caller-owned lifecycle mapping. Authenticated enterprise footer is standardized with truthful version/environment metadata and no invented trust destinations. Next executable canonical task: 13D-07 Implement sidebar/header responsive behavior.</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af74e0b9d36450d"/>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6f6f9ba5459451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42d5508d4de45d8"/>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cf657342c044d9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