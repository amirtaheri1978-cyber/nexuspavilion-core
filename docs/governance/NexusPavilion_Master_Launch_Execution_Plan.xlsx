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f9d9b0659224ecc" /></Relationships>
</file>

<file path=xl/workbook.xml><?xml version="1.0" encoding="utf-8"?>
<x:workbook xmlns:x="http://schemas.openxmlformats.org/spreadsheetml/2006/main">
  <x:sheets>
    <x:sheet xmlns:r="http://schemas.openxmlformats.org/officeDocument/2006/relationships" name="01 Master Plan" sheetId="1" r:id="Rc69e53a9918d4aee"/>
    <x:sheet xmlns:r="http://schemas.openxmlformats.org/officeDocument/2006/relationships" name="03 Launch Gates" sheetId="2" r:id="Rd6a627460a164f2b"/>
    <x:sheet xmlns:r="http://schemas.openxmlformats.org/officeDocument/2006/relationships" name="00 Dashboard" sheetId="3" r:id="R0b1926067a884ea2"/>
    <x:sheet xmlns:r="http://schemas.openxmlformats.org/officeDocument/2006/relationships" name="04 Cursor Tasks" sheetId="4" r:id="R1e7c31be23bf4e30"/>
    <x:sheet xmlns:r="http://schemas.openxmlformats.org/officeDocument/2006/relationships" name="05 UAT Matrix" sheetId="5" r:id="Re3081e10d3964a5e"/>
    <x:sheet xmlns:r="http://schemas.openxmlformats.org/officeDocument/2006/relationships" name="06 Security Matrix" sheetId="6" r:id="Rd16704745a55404d"/>
    <x:sheet xmlns:r="http://schemas.openxmlformats.org/officeDocument/2006/relationships" name="07 Risks" sheetId="7" r:id="R78b0a3dc4f9a48bf"/>
    <x:sheet xmlns:r="http://schemas.openxmlformats.org/officeDocument/2006/relationships" name="08 Architecture" sheetId="8" r:id="Rca759db0063c46f4"/>
    <x:sheet xmlns:r="http://schemas.openxmlformats.org/officeDocument/2006/relationships" name="09 Release Checklist" sheetId="9" r:id="R239bcfe650d7492f"/>
    <x:sheet xmlns:r="http://schemas.openxmlformats.org/officeDocument/2006/relationships" name="10 Change Log" sheetId="10" r:id="R8e74d125b0744a8a"/>
    <x:sheet xmlns:r="http://schemas.openxmlformats.org/officeDocument/2006/relationships" name="11 Scope &amp; Roadmap" sheetId="11" r:id="R38d59edc288447c8"/>
    <x:sheet xmlns:r="http://schemas.openxmlformats.org/officeDocument/2006/relationships" name="12 How to Use" sheetId="12" r:id="R0debf7a25da94fa4"/>
    <x:sheet xmlns:r="http://schemas.openxmlformats.org/officeDocument/2006/relationships" name="13 UI Program" sheetId="13" r:id="R5d3d1d417f28430e"/>
    <x:sheet xmlns:r="http://schemas.openxmlformats.org/officeDocument/2006/relationships" name="14 UI Scorecard" sheetId="14" r:id="Re8333ce031a04b8d"/>
    <x:sheet xmlns:r="http://schemas.openxmlformats.org/officeDocument/2006/relationships" name="15 Motion Guidance" sheetId="15" r:id="Rb613ebae629645d7"/>
    <x:sheet xmlns:r="http://schemas.openxmlformats.org/officeDocument/2006/relationships" name="16 Design Standards" sheetId="16" r:id="Rb46eb24ecc5b4470"/>
    <x:sheet xmlns:r="http://schemas.openxmlformats.org/officeDocument/2006/relationships" name="17 Corporate Platform" sheetId="17" r:id="Reb898952a55d48d9"/>
    <x:sheet xmlns:r="http://schemas.openxmlformats.org/officeDocument/2006/relationships" name="18 Analytics Reuse Map" sheetId="18" r:id="R45e5b2dc5f9749cb"/>
    <x:sheet xmlns:r="http://schemas.openxmlformats.org/officeDocument/2006/relationships" name="19 Executive Insights Discovery" sheetId="19" r:id="R4860a122771942fd"/>
    <x:sheet xmlns:r="http://schemas.openxmlformats.org/officeDocument/2006/relationships" name="20 Procurement Insights Discovery" sheetId="20" r:id="Rb1a34f03495a4a88"/>
    <x:sheet xmlns:r="http://schemas.openxmlformats.org/officeDocument/2006/relationships" name="21 Commercial Insights Discovery" sheetId="21" r:id="Rc701ac33c0344a82"/>
    <x:sheet xmlns:r="http://schemas.openxmlformats.org/officeDocument/2006/relationships" name="22 Project Insights Discovery" sheetId="22" r:id="Rb8d78753400146cc"/>
    <x:sheet xmlns:r="http://schemas.openxmlformats.org/officeDocument/2006/relationships" name="23 Performance Discovery" sheetId="23" r:id="Rcb3b6703fd9b4288"/>
    <x:sheet xmlns:r="http://schemas.openxmlformats.org/officeDocument/2006/relationships" name="24 Risk Compliance Discovery" sheetId="24" r:id="Rb626573c6f4449fd"/>
    <x:sheet xmlns:r="http://schemas.openxmlformats.org/officeDocument/2006/relationships" name="25 Commercial Handoff" sheetId="25" r:id="Rf2e0bf698bc74432"/>
    <x:sheet xmlns:r="http://schemas.openxmlformats.org/officeDocument/2006/relationships" name="26 RFQ Governance" sheetId="26" r:id="Rc7aa2436d2f0429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802f52c81824484" /><Relationship Type="http://schemas.openxmlformats.org/officeDocument/2006/relationships/theme" Target="/xl/theme/theme1.xml" Id="Re66d68aa457c4652" /><Relationship Type="http://schemas.openxmlformats.org/officeDocument/2006/relationships/sharedStrings" Target="/xl/sharedStrings.xml" Id="R73516fd6691e4e70" /><Relationship Type="http://schemas.openxmlformats.org/officeDocument/2006/relationships/worksheet" Target="/xl/worksheets/sheet1.xml" Id="Rc69e53a9918d4aee" /><Relationship Type="http://schemas.openxmlformats.org/officeDocument/2006/relationships/worksheet" Target="/xl/worksheets/sheet2.xml" Id="Rd6a627460a164f2b" /><Relationship Type="http://schemas.openxmlformats.org/officeDocument/2006/relationships/worksheet" Target="/xl/worksheets/sheet3.xml" Id="R0b1926067a884ea2" /><Relationship Type="http://schemas.openxmlformats.org/officeDocument/2006/relationships/worksheet" Target="/xl/worksheets/sheet4.xml" Id="R1e7c31be23bf4e30" /><Relationship Type="http://schemas.openxmlformats.org/officeDocument/2006/relationships/worksheet" Target="/xl/worksheets/sheet5.xml" Id="Re3081e10d3964a5e" /><Relationship Type="http://schemas.openxmlformats.org/officeDocument/2006/relationships/worksheet" Target="/xl/worksheets/sheet6.xml" Id="Rd16704745a55404d" /><Relationship Type="http://schemas.openxmlformats.org/officeDocument/2006/relationships/worksheet" Target="/xl/worksheets/sheet7.xml" Id="R78b0a3dc4f9a48bf" /><Relationship Type="http://schemas.openxmlformats.org/officeDocument/2006/relationships/worksheet" Target="/xl/worksheets/sheet8.xml" Id="Rca759db0063c46f4" /><Relationship Type="http://schemas.openxmlformats.org/officeDocument/2006/relationships/worksheet" Target="/xl/worksheets/sheet9.xml" Id="R239bcfe650d7492f" /><Relationship Type="http://schemas.openxmlformats.org/officeDocument/2006/relationships/worksheet" Target="/xl/worksheets/sheet10.xml" Id="R8e74d125b0744a8a" /><Relationship Type="http://schemas.openxmlformats.org/officeDocument/2006/relationships/worksheet" Target="/xl/worksheets/sheet11.xml" Id="R38d59edc288447c8" /><Relationship Type="http://schemas.openxmlformats.org/officeDocument/2006/relationships/worksheet" Target="/xl/worksheets/sheet12.xml" Id="R0debf7a25da94fa4" /><Relationship Type="http://schemas.openxmlformats.org/officeDocument/2006/relationships/worksheet" Target="/xl/worksheets/sheet13.xml" Id="R5d3d1d417f28430e" /><Relationship Type="http://schemas.openxmlformats.org/officeDocument/2006/relationships/worksheet" Target="/xl/worksheets/sheet14.xml" Id="Re8333ce031a04b8d" /><Relationship Type="http://schemas.openxmlformats.org/officeDocument/2006/relationships/worksheet" Target="/xl/worksheets/sheet15.xml" Id="Rb613ebae629645d7" /><Relationship Type="http://schemas.openxmlformats.org/officeDocument/2006/relationships/worksheet" Target="/xl/worksheets/sheet16.xml" Id="Rb46eb24ecc5b4470" /><Relationship Type="http://schemas.openxmlformats.org/officeDocument/2006/relationships/worksheet" Target="/xl/worksheets/sheet17.xml" Id="Reb898952a55d48d9" /><Relationship Type="http://schemas.openxmlformats.org/officeDocument/2006/relationships/worksheet" Target="/xl/worksheets/sheet18.xml" Id="R45e5b2dc5f9749cb" /><Relationship Type="http://schemas.openxmlformats.org/officeDocument/2006/relationships/worksheet" Target="/xl/worksheets/sheet19.xml" Id="R4860a122771942fd" /><Relationship Type="http://schemas.openxmlformats.org/officeDocument/2006/relationships/worksheet" Target="/xl/worksheets/sheet20.xml" Id="Rb1a34f03495a4a88" /><Relationship Type="http://schemas.openxmlformats.org/officeDocument/2006/relationships/worksheet" Target="/xl/worksheets/sheet21.xml" Id="Rc701ac33c0344a82" /><Relationship Type="http://schemas.openxmlformats.org/officeDocument/2006/relationships/worksheet" Target="/xl/worksheets/sheet22.xml" Id="Rb8d78753400146cc" /><Relationship Type="http://schemas.openxmlformats.org/officeDocument/2006/relationships/worksheet" Target="/xl/worksheets/sheet23.xml" Id="Rcb3b6703fd9b4288" /><Relationship Type="http://schemas.openxmlformats.org/officeDocument/2006/relationships/worksheet" Target="/xl/worksheets/sheet24.xml" Id="Rb626573c6f4449fd" /><Relationship Type="http://schemas.openxmlformats.org/officeDocument/2006/relationships/worksheet" Target="/xl/worksheets/sheet25.xml" Id="Rf2e0bf698bc74432" /><Relationship Type="http://schemas.openxmlformats.org/officeDocument/2006/relationships/worksheet" Target="/xl/worksheets/sheet26.xml" Id="Rc7aa2436d2f042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b9e8ec2c12f3496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9e8ec2c12f3496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3fc11f369ff4f62" /></Relationships>
</file>

<file path=xl/worksheets/_rels/sheet2.xml.rels>&#65279;<?xml version="1.0" encoding="utf-8"?><Relationships xmlns="http://schemas.openxmlformats.org/package/2006/relationships"><Relationship Type="http://schemas.openxmlformats.org/officeDocument/2006/relationships/table" Target="/xl/tables/table2.xml" Id="Rd6f9e8d2c7de4d38" /></Relationships>
</file>

<file path=xl/worksheets/_rels/sheet3.xml.rels>&#65279;<?xml version="1.0" encoding="utf-8"?><Relationships xmlns="http://schemas.openxmlformats.org/package/2006/relationships"><Relationship Type="http://schemas.openxmlformats.org/officeDocument/2006/relationships/drawing" Target="/xl/drawings/drawing1.xml" Id="R11f0d95fbb2a49b9" /></Relationships>
</file>

<file path=xl/worksheets/_rels/sheet4.xml.rels>&#65279;<?xml version="1.0" encoding="utf-8"?><Relationships xmlns="http://schemas.openxmlformats.org/package/2006/relationships"><Relationship Type="http://schemas.openxmlformats.org/officeDocument/2006/relationships/table" Target="/xl/tables/table3.xml" Id="R3fa1a190b4e5463e" /></Relationships>
</file>

<file path=xl/worksheets/_rels/sheet5.xml.rels>&#65279;<?xml version="1.0" encoding="utf-8"?><Relationships xmlns="http://schemas.openxmlformats.org/package/2006/relationships"><Relationship Type="http://schemas.openxmlformats.org/officeDocument/2006/relationships/table" Target="/xl/tables/table4.xml" Id="Rf37db94c6157483c" /></Relationships>
</file>

<file path=xl/worksheets/_rels/sheet6.xml.rels>&#65279;<?xml version="1.0" encoding="utf-8"?><Relationships xmlns="http://schemas.openxmlformats.org/package/2006/relationships"><Relationship Type="http://schemas.openxmlformats.org/officeDocument/2006/relationships/table" Target="/xl/tables/table5.xml" Id="Rcbfd38f57c004767" /></Relationships>
</file>

<file path=xl/worksheets/_rels/sheet7.xml.rels>&#65279;<?xml version="1.0" encoding="utf-8"?><Relationships xmlns="http://schemas.openxmlformats.org/package/2006/relationships"><Relationship Type="http://schemas.openxmlformats.org/officeDocument/2006/relationships/table" Target="/xl/tables/table6.xml" Id="R3efc20d64ef84c2a" /></Relationships>
</file>

<file path=xl/worksheets/_rels/sheet9.xml.rels>&#65279;<?xml version="1.0" encoding="utf-8"?><Relationships xmlns="http://schemas.openxmlformats.org/package/2006/relationships"><Relationship Type="http://schemas.openxmlformats.org/officeDocument/2006/relationships/table" Target="/xl/tables/table7.xml" Id="R4ef7438cd22040a5" /></Relationships>
</file>

<file path=xl/worksheets/_rels/sheet10.xml.rels>&#65279;<?xml version="1.0" encoding="utf-8"?><Relationships xmlns="http://schemas.openxmlformats.org/package/2006/relationships"><Relationship Type="http://schemas.openxmlformats.org/officeDocument/2006/relationships/table" Target="/xl/tables/table8.xml" Id="R90e9959c9e1b4f4e" /></Relationships>
</file>

<file path=xl/worksheets/_rels/sheet11.xml.rels>&#65279;<?xml version="1.0" encoding="utf-8"?><Relationships xmlns="http://schemas.openxmlformats.org/package/2006/relationships"><Relationship Type="http://schemas.openxmlformats.org/officeDocument/2006/relationships/table" Target="/xl/tables/table9.xml" Id="R3dbddc3af3bf47b1" /></Relationships>
</file>

<file path=xl/worksheets/_rels/sheet13.xml.rels>&#65279;<?xml version="1.0" encoding="utf-8"?><Relationships xmlns="http://schemas.openxmlformats.org/package/2006/relationships"><Relationship Type="http://schemas.openxmlformats.org/officeDocument/2006/relationships/table" Target="/xl/tables/table10.xml" Id="R3e2ddbf78b7a4945" /></Relationships>
</file>

<file path=xl/worksheets/_rels/sheet14.xml.rels>&#65279;<?xml version="1.0" encoding="utf-8"?><Relationships xmlns="http://schemas.openxmlformats.org/package/2006/relationships"><Relationship Type="http://schemas.openxmlformats.org/officeDocument/2006/relationships/table" Target="/xl/tables/table11.xml" Id="Ra577b1ee9cca4f64" /></Relationships>
</file>

<file path=xl/worksheets/_rels/sheet15.xml.rels>&#65279;<?xml version="1.0" encoding="utf-8"?><Relationships xmlns="http://schemas.openxmlformats.org/package/2006/relationships"><Relationship Type="http://schemas.openxmlformats.org/officeDocument/2006/relationships/table" Target="/xl/tables/table12.xml" Id="R2a1c5614fe9e4002" /></Relationships>
</file>

<file path=xl/worksheets/_rels/sheet16.xml.rels>&#65279;<?xml version="1.0" encoding="utf-8"?><Relationships xmlns="http://schemas.openxmlformats.org/package/2006/relationships"><Relationship Type="http://schemas.openxmlformats.org/officeDocument/2006/relationships/table" Target="/xl/tables/table13.xml" Id="Rff532b47d91d451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In Progress</x:v>
      </x:c>
      <x:c r="I233" s="133" t="str">
        <x:v>Project Owner / Product / Engineering</x:v>
      </x:c>
      <x:c r="J233" s="133"/>
      <x:c r="K233" s="133" t="str">
        <x:v>Cursor UI 01</x:v>
      </x:c>
      <x:c r="L233" s="133"/>
      <x:c r="M233" s="133" t="str">
        <x:v>PARTIAL / ACCESS-BLOCKED — Visual baseline audit completed for 3 of 23 canonical scorecard pages using localhost: Project Portfolio 5.6, NexusPavilion Inc. Corporate Home 8.3, Intelligent Procurement Product Landing 6.3. 20 pages remain UNVERIFIED because authenticated/product routes could not be rendered in the audit browser: several protected routes redirected to /login and /login, /signup, /directory, /company and /company/settings returned empty documents in that browser context. Unverified pages are not scored as zero.</x:v>
      </x:c>
      <x:c r="N233" s="249"/>
      <x:c r="O233" s="249" t="n">
        <x:v>46295</x:v>
      </x:c>
      <x:c r="P233" s="135" t="str">
        <x:v>Do NOT accept 13A-09 as complete: the canonical task requires baseline scores for every core page. Preserve the three completed scores and do not re-audit them. Also preserve canonical Critical? classifications from sheet 14 UI Scorecard; the audit's alternate criticality classification is non-canonical. Next action is a narrowly scoped authenticated visual access gate, then score only the still-unverified pages in small batches. No redesign or product-data manipulation.</x:v>
      </x:c>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3fc11f369ff4f62"/>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6f9e8d2c7de4d3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255</x:v>
      </x:c>
      <x:c r="D6" s="133" t="inlineStr">
        <x:is>
          <x:t xml:space="preserve">G0A — Corporate platform architecture ready</x:t>
        </x:is>
      </x:c>
      <x:c r="E6" s="32" t="str">
        <x:f>'03 Launch Gates'!D20</x:f>
        <x:v>Completed</x:v>
      </x:c>
      <x:c r="G6" t="inlineStr">
        <x:is>
          <x:t xml:space="preserve">UI Tasks Complete</x:t>
        </x:is>
      </x:c>
      <x:c r="H6" t="n">
        <x:f>SUM(B36:B46)</x:f>
        <x:v>33</x:v>
      </x:c>
    </x:row>
    <x:row r="7">
      <x:c r="A7" s="50" t="inlineStr">
        <x:is>
          <x:t xml:space="preserve">In Progress</x:t>
        </x:is>
      </x:c>
      <x:c r="B7" s="56" t="n">
        <x:f>COUNTIF('01 Master Plan'!H5:H383,"In Progress")</x:f>
        <x:v>1</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0.6948228882833788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0.7127272727272728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8</x:v>
      </x:c>
      <x:c r="C36" s="133" t="n">
        <x:f>COUNTIFS('01 Master Plan'!C$5:C$383,A36,'01 Master Plan'!H$5:H$383,"In Progress")</x:f>
        <x:v>1</x:v>
      </x:c>
      <x:c r="D36" s="133" t="n">
        <x:f>COUNTIFS('01 Master Plan'!C$5:C$383,A36,'01 Master Plan'!H$5:H$383,"Not Started")</x:f>
        <x:v>1</x:v>
      </x:c>
      <x:c r="E36" s="133" t="n">
        <x:f>COUNTIFS('01 Master Plan'!C$5:C$383,A36,'01 Master Plan'!H$5:H$383,"Blocked")</x:f>
        <x:v>0</x:v>
      </x:c>
      <x:c r="F36" s="133" t="n">
        <x:f>COUNTIFS('01 Master Plan'!C$5:C$383,A36,'01 Master Plan'!H$5:H$383,"Deferred")</x:f>
        <x:v>0</x:v>
      </x:c>
      <x:c r="G36" s="255" t="n">
        <x:f>IFERROR(B36/(B36+C36+D36+E36),0)</x:f>
        <x:v>0.8</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11f0d95fbb2a49b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fa1a190b4e5463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37db94c6157483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bfd38f57c00476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3efc20d64ef84c2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ef7438cd22040a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0e9959c9e1b4f4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dbddc3af3bf47b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e2ddbf78b7a494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577b1ee9cca4f64"/>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a1c5614fe9e400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f532b47d91d451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