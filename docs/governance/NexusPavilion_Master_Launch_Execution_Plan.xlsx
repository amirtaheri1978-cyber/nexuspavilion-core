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802ab85e7b840f2" /></Relationships>
</file>

<file path=xl/workbook.xml><?xml version="1.0" encoding="utf-8"?>
<x:workbook xmlns:x="http://schemas.openxmlformats.org/spreadsheetml/2006/main">
  <x:sheets>
    <x:sheet xmlns:r="http://schemas.openxmlformats.org/officeDocument/2006/relationships" name="01 Master Plan" sheetId="1" r:id="R3fec444a5a8441f5"/>
    <x:sheet xmlns:r="http://schemas.openxmlformats.org/officeDocument/2006/relationships" name="03 Launch Gates" sheetId="2" r:id="Rd28685ffdd83427a"/>
    <x:sheet xmlns:r="http://schemas.openxmlformats.org/officeDocument/2006/relationships" name="00 Dashboard" sheetId="3" r:id="R1bc806e243174ba9"/>
    <x:sheet xmlns:r="http://schemas.openxmlformats.org/officeDocument/2006/relationships" name="04 Cursor Tasks" sheetId="4" r:id="Rf6d0505533574162"/>
    <x:sheet xmlns:r="http://schemas.openxmlformats.org/officeDocument/2006/relationships" name="05 UAT Matrix" sheetId="5" r:id="Rdd764ed3a42d43fc"/>
    <x:sheet xmlns:r="http://schemas.openxmlformats.org/officeDocument/2006/relationships" name="06 Security Matrix" sheetId="6" r:id="Rc2fcd74ad5884906"/>
    <x:sheet xmlns:r="http://schemas.openxmlformats.org/officeDocument/2006/relationships" name="07 Risks" sheetId="7" r:id="R1dd3d1fe9af7426e"/>
    <x:sheet xmlns:r="http://schemas.openxmlformats.org/officeDocument/2006/relationships" name="08 Architecture" sheetId="8" r:id="R1498755c4ace45cb"/>
    <x:sheet xmlns:r="http://schemas.openxmlformats.org/officeDocument/2006/relationships" name="09 Release Checklist" sheetId="9" r:id="Rb32e6cbfba844352"/>
    <x:sheet xmlns:r="http://schemas.openxmlformats.org/officeDocument/2006/relationships" name="10 Change Log" sheetId="10" r:id="Rc4ce2edc192e4799"/>
    <x:sheet xmlns:r="http://schemas.openxmlformats.org/officeDocument/2006/relationships" name="11 Scope &amp; Roadmap" sheetId="11" r:id="R544aa381ba024296"/>
    <x:sheet xmlns:r="http://schemas.openxmlformats.org/officeDocument/2006/relationships" name="12 How to Use" sheetId="12" r:id="Rabf6135a9ae74ed1"/>
    <x:sheet xmlns:r="http://schemas.openxmlformats.org/officeDocument/2006/relationships" name="13 UI Program" sheetId="13" r:id="R43885ce7466742a1"/>
    <x:sheet xmlns:r="http://schemas.openxmlformats.org/officeDocument/2006/relationships" name="14 UI Scorecard" sheetId="14" r:id="Rbaf44f49f6d94aca"/>
    <x:sheet xmlns:r="http://schemas.openxmlformats.org/officeDocument/2006/relationships" name="15 Motion Guidance" sheetId="15" r:id="Rd504c7a759044fa0"/>
    <x:sheet xmlns:r="http://schemas.openxmlformats.org/officeDocument/2006/relationships" name="16 Design Standards" sheetId="16" r:id="Ra7536fd0f6804de4"/>
    <x:sheet xmlns:r="http://schemas.openxmlformats.org/officeDocument/2006/relationships" name="17 Corporate Platform" sheetId="17" r:id="R14b2e78403e14f55"/>
    <x:sheet xmlns:r="http://schemas.openxmlformats.org/officeDocument/2006/relationships" name="18 Analytics Reuse Map" sheetId="18" r:id="Rb3e49d00d0f449f5"/>
    <x:sheet xmlns:r="http://schemas.openxmlformats.org/officeDocument/2006/relationships" name="19 Executive Insights Discovery" sheetId="19" r:id="R0c6840ae2901455f"/>
    <x:sheet xmlns:r="http://schemas.openxmlformats.org/officeDocument/2006/relationships" name="20 Procurement Insights Discovery" sheetId="20" r:id="R57a53183fda94ca4"/>
    <x:sheet xmlns:r="http://schemas.openxmlformats.org/officeDocument/2006/relationships" name="21 Commercial Insights Discovery" sheetId="21" r:id="Rda57a66574c14c97"/>
    <x:sheet xmlns:r="http://schemas.openxmlformats.org/officeDocument/2006/relationships" name="22 Project Insights Discovery" sheetId="22" r:id="R2e1426d87abb4290"/>
    <x:sheet xmlns:r="http://schemas.openxmlformats.org/officeDocument/2006/relationships" name="23 Performance Discovery" sheetId="23" r:id="R846265d01ed241ce"/>
    <x:sheet xmlns:r="http://schemas.openxmlformats.org/officeDocument/2006/relationships" name="24 Risk Compliance Discovery" sheetId="24" r:id="Rb4c00a426d304933"/>
    <x:sheet xmlns:r="http://schemas.openxmlformats.org/officeDocument/2006/relationships" name="25 Commercial Handoff" sheetId="25" r:id="R6d099d806c4240ce"/>
    <x:sheet xmlns:r="http://schemas.openxmlformats.org/officeDocument/2006/relationships" name="26 RFQ Governance" sheetId="26" r:id="R1fb14ec4b1684f6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351352cd9984ad2" /><Relationship Type="http://schemas.openxmlformats.org/officeDocument/2006/relationships/theme" Target="/xl/theme/theme1.xml" Id="R812cf0f74a5a4af0" /><Relationship Type="http://schemas.openxmlformats.org/officeDocument/2006/relationships/sharedStrings" Target="/xl/sharedStrings.xml" Id="R0234776b7e364867" /><Relationship Type="http://schemas.openxmlformats.org/officeDocument/2006/relationships/worksheet" Target="/xl/worksheets/sheet1.xml" Id="R3fec444a5a8441f5" /><Relationship Type="http://schemas.openxmlformats.org/officeDocument/2006/relationships/worksheet" Target="/xl/worksheets/sheet2.xml" Id="Rd28685ffdd83427a" /><Relationship Type="http://schemas.openxmlformats.org/officeDocument/2006/relationships/worksheet" Target="/xl/worksheets/sheet3.xml" Id="R1bc806e243174ba9" /><Relationship Type="http://schemas.openxmlformats.org/officeDocument/2006/relationships/worksheet" Target="/xl/worksheets/sheet4.xml" Id="Rf6d0505533574162" /><Relationship Type="http://schemas.openxmlformats.org/officeDocument/2006/relationships/worksheet" Target="/xl/worksheets/sheet5.xml" Id="Rdd764ed3a42d43fc" /><Relationship Type="http://schemas.openxmlformats.org/officeDocument/2006/relationships/worksheet" Target="/xl/worksheets/sheet6.xml" Id="Rc2fcd74ad5884906" /><Relationship Type="http://schemas.openxmlformats.org/officeDocument/2006/relationships/worksheet" Target="/xl/worksheets/sheet7.xml" Id="R1dd3d1fe9af7426e" /><Relationship Type="http://schemas.openxmlformats.org/officeDocument/2006/relationships/worksheet" Target="/xl/worksheets/sheet8.xml" Id="R1498755c4ace45cb" /><Relationship Type="http://schemas.openxmlformats.org/officeDocument/2006/relationships/worksheet" Target="/xl/worksheets/sheet9.xml" Id="Rb32e6cbfba844352" /><Relationship Type="http://schemas.openxmlformats.org/officeDocument/2006/relationships/worksheet" Target="/xl/worksheets/sheet10.xml" Id="Rc4ce2edc192e4799" /><Relationship Type="http://schemas.openxmlformats.org/officeDocument/2006/relationships/worksheet" Target="/xl/worksheets/sheet11.xml" Id="R544aa381ba024296" /><Relationship Type="http://schemas.openxmlformats.org/officeDocument/2006/relationships/worksheet" Target="/xl/worksheets/sheet12.xml" Id="Rabf6135a9ae74ed1" /><Relationship Type="http://schemas.openxmlformats.org/officeDocument/2006/relationships/worksheet" Target="/xl/worksheets/sheet13.xml" Id="R43885ce7466742a1" /><Relationship Type="http://schemas.openxmlformats.org/officeDocument/2006/relationships/worksheet" Target="/xl/worksheets/sheet14.xml" Id="Rbaf44f49f6d94aca" /><Relationship Type="http://schemas.openxmlformats.org/officeDocument/2006/relationships/worksheet" Target="/xl/worksheets/sheet15.xml" Id="Rd504c7a759044fa0" /><Relationship Type="http://schemas.openxmlformats.org/officeDocument/2006/relationships/worksheet" Target="/xl/worksheets/sheet16.xml" Id="Ra7536fd0f6804de4" /><Relationship Type="http://schemas.openxmlformats.org/officeDocument/2006/relationships/worksheet" Target="/xl/worksheets/sheet17.xml" Id="R14b2e78403e14f55" /><Relationship Type="http://schemas.openxmlformats.org/officeDocument/2006/relationships/worksheet" Target="/xl/worksheets/sheet18.xml" Id="Rb3e49d00d0f449f5" /><Relationship Type="http://schemas.openxmlformats.org/officeDocument/2006/relationships/worksheet" Target="/xl/worksheets/sheet19.xml" Id="R0c6840ae2901455f" /><Relationship Type="http://schemas.openxmlformats.org/officeDocument/2006/relationships/worksheet" Target="/xl/worksheets/sheet20.xml" Id="R57a53183fda94ca4" /><Relationship Type="http://schemas.openxmlformats.org/officeDocument/2006/relationships/worksheet" Target="/xl/worksheets/sheet21.xml" Id="Rda57a66574c14c97" /><Relationship Type="http://schemas.openxmlformats.org/officeDocument/2006/relationships/worksheet" Target="/xl/worksheets/sheet22.xml" Id="R2e1426d87abb4290" /><Relationship Type="http://schemas.openxmlformats.org/officeDocument/2006/relationships/worksheet" Target="/xl/worksheets/sheet23.xml" Id="R846265d01ed241ce" /><Relationship Type="http://schemas.openxmlformats.org/officeDocument/2006/relationships/worksheet" Target="/xl/worksheets/sheet24.xml" Id="Rb4c00a426d304933" /><Relationship Type="http://schemas.openxmlformats.org/officeDocument/2006/relationships/worksheet" Target="/xl/worksheets/sheet25.xml" Id="R6d099d806c4240ce" /><Relationship Type="http://schemas.openxmlformats.org/officeDocument/2006/relationships/worksheet" Target="/xl/worksheets/sheet26.xml" Id="R1fb14ec4b1684f62" /></Relationships>
</file>

<file path=xl/drawings/_rels/drawing1.xml.rels>&#65279;<?xml version="1.0" encoding="utf-8"?><Relationships xmlns="http://schemas.openxmlformats.org/package/2006/relationships"><Relationship Type="http://schemas.openxmlformats.org/officeDocument/2006/relationships/chart" Target="/xl/drawings/charts/chart1.xml" Id="Rb12484203834420e"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12484203834420e"/>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8ae0579dc334215" /></Relationships>
</file>

<file path=xl/worksheets/_rels/sheet2.xml.rels>&#65279;<?xml version="1.0" encoding="utf-8"?><Relationships xmlns="http://schemas.openxmlformats.org/package/2006/relationships"><Relationship Type="http://schemas.openxmlformats.org/officeDocument/2006/relationships/table" Target="/xl/tables/table2.xml" Id="Rc7ddd3e20a1044d2" /></Relationships>
</file>

<file path=xl/worksheets/_rels/sheet3.xml.rels>&#65279;<?xml version="1.0" encoding="utf-8"?><Relationships xmlns="http://schemas.openxmlformats.org/package/2006/relationships"><Relationship Type="http://schemas.openxmlformats.org/officeDocument/2006/relationships/drawing" Target="/xl/drawings/drawing1.xml" Id="Rf45e53223eef44df" /></Relationships>
</file>

<file path=xl/worksheets/_rels/sheet4.xml.rels>&#65279;<?xml version="1.0" encoding="utf-8"?><Relationships xmlns="http://schemas.openxmlformats.org/package/2006/relationships"><Relationship Type="http://schemas.openxmlformats.org/officeDocument/2006/relationships/table" Target="/xl/tables/table3.xml" Id="Rd6fa645433204ff9" /></Relationships>
</file>

<file path=xl/worksheets/_rels/sheet5.xml.rels>&#65279;<?xml version="1.0" encoding="utf-8"?><Relationships xmlns="http://schemas.openxmlformats.org/package/2006/relationships"><Relationship Type="http://schemas.openxmlformats.org/officeDocument/2006/relationships/table" Target="/xl/tables/table4.xml" Id="R381327fcf5374e1d" /></Relationships>
</file>

<file path=xl/worksheets/_rels/sheet6.xml.rels>&#65279;<?xml version="1.0" encoding="utf-8"?><Relationships xmlns="http://schemas.openxmlformats.org/package/2006/relationships"><Relationship Type="http://schemas.openxmlformats.org/officeDocument/2006/relationships/table" Target="/xl/tables/table5.xml" Id="R5ba37924b948427f" /></Relationships>
</file>

<file path=xl/worksheets/_rels/sheet7.xml.rels>&#65279;<?xml version="1.0" encoding="utf-8"?><Relationships xmlns="http://schemas.openxmlformats.org/package/2006/relationships"><Relationship Type="http://schemas.openxmlformats.org/officeDocument/2006/relationships/table" Target="/xl/tables/table6.xml" Id="Rc34d82dca1494e06" /></Relationships>
</file>

<file path=xl/worksheets/_rels/sheet9.xml.rels>&#65279;<?xml version="1.0" encoding="utf-8"?><Relationships xmlns="http://schemas.openxmlformats.org/package/2006/relationships"><Relationship Type="http://schemas.openxmlformats.org/officeDocument/2006/relationships/table" Target="/xl/tables/table7.xml" Id="R80a8ebf1049e4220" /></Relationships>
</file>

<file path=xl/worksheets/_rels/sheet10.xml.rels>&#65279;<?xml version="1.0" encoding="utf-8"?><Relationships xmlns="http://schemas.openxmlformats.org/package/2006/relationships"><Relationship Type="http://schemas.openxmlformats.org/officeDocument/2006/relationships/table" Target="/xl/tables/table8.xml" Id="R508ff9905e5841d0" /></Relationships>
</file>

<file path=xl/worksheets/_rels/sheet11.xml.rels>&#65279;<?xml version="1.0" encoding="utf-8"?><Relationships xmlns="http://schemas.openxmlformats.org/package/2006/relationships"><Relationship Type="http://schemas.openxmlformats.org/officeDocument/2006/relationships/table" Target="/xl/tables/table9.xml" Id="R12c9c043883f4ff2" /></Relationships>
</file>

<file path=xl/worksheets/_rels/sheet13.xml.rels>&#65279;<?xml version="1.0" encoding="utf-8"?><Relationships xmlns="http://schemas.openxmlformats.org/package/2006/relationships"><Relationship Type="http://schemas.openxmlformats.org/officeDocument/2006/relationships/table" Target="/xl/tables/table10.xml" Id="R66e0742c8b954508" /></Relationships>
</file>

<file path=xl/worksheets/_rels/sheet14.xml.rels>&#65279;<?xml version="1.0" encoding="utf-8"?><Relationships xmlns="http://schemas.openxmlformats.org/package/2006/relationships"><Relationship Type="http://schemas.openxmlformats.org/officeDocument/2006/relationships/table" Target="/xl/tables/table11.xml" Id="R81cf9cca1c504e57" /></Relationships>
</file>

<file path=xl/worksheets/_rels/sheet15.xml.rels>&#65279;<?xml version="1.0" encoding="utf-8"?><Relationships xmlns="http://schemas.openxmlformats.org/package/2006/relationships"><Relationship Type="http://schemas.openxmlformats.org/officeDocument/2006/relationships/table" Target="/xl/tables/table12.xml" Id="R90c369e7dce0415f" /></Relationships>
</file>

<file path=xl/worksheets/_rels/sheet16.xml.rels>&#65279;<?xml version="1.0" encoding="utf-8"?><Relationships xmlns="http://schemas.openxmlformats.org/package/2006/relationships"><Relationship Type="http://schemas.openxmlformats.org/officeDocument/2006/relationships/table" Target="/xl/tables/table13.xml" Id="R89ca20d31e1c4001"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e8ae0579dc334215"/>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c7ddd3e20a1044d2"/>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302</x:v>
      </x:c>
      <x:c r="D6" s="133" t="inlineStr">
        <x:is>
          <x:t xml:space="preserve">G0A — Corporate platform architecture ready</x:t>
        </x:is>
      </x:c>
      <x:c r="E6" s="32" t="str">
        <x:f>'03 Launch Gates'!D20</x:f>
        <x:v>Completed</x:v>
      </x:c>
      <x:c r="G6" t="inlineStr">
        <x:is>
          <x:t xml:space="preserve">UI Tasks Complete</x:t>
        </x:is>
      </x:c>
      <x:c r="H6" t="n">
        <x:f>SUM(B36:B46)</x:f>
        <x:v>80</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0.8228882833787466</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0.8545454545454545</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8</x:v>
      </x:c>
      <x:c r="C41" s="133" t="n">
        <x:f>COUNTIFS('01 Master Plan'!C$5:C$383,A41,'01 Master Plan'!H$5:H$383,"In Progress")</x:f>
        <x:v>0</x:v>
      </x:c>
      <x:c r="D41" s="133" t="n">
        <x:f>COUNTIFS('01 Master Plan'!C$5:C$383,A41,'01 Master Plan'!H$5:H$383,"Not Started")</x:f>
        <x:v>1</x:v>
      </x:c>
      <x:c r="E41" s="133" t="n">
        <x:f>COUNTIFS('01 Master Plan'!C$5:C$383,A41,'01 Master Plan'!H$5:H$383,"Blocked")</x:f>
        <x:v>4</x:v>
      </x:c>
      <x:c r="F41" s="133" t="n">
        <x:f>COUNTIFS('01 Master Plan'!C$5:C$383,A41,'01 Master Plan'!H$5:H$383,"Deferred")</x:f>
        <x:v>0</x:v>
      </x:c>
      <x:c r="G41" s="255" t="n">
        <x:f>IFERROR(B41/(B41+C41+D41+E41),0)</x:f>
        <x:v>0.6153846153846154</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f45e53223eef44df"/>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d6fa645433204ff9"/>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381327fcf5374e1d"/>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5ba37924b948427f"/>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c34d82dca1494e06"/>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80a8ebf1049e4220"/>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508ff9905e5841d0"/>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12c9c043883f4ff2"/>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U4 / Phase 13E IN PROGRESS — 13E-01, 13E-04, 13E-05, 13E-06, 13E-09, 13E-10, 13E-11 and 13E-12 PASS/CLOSED. 13E-02, 13E-03, 13E-07 and 13E-08 remain BLOCKED/Open because their current flows auto-navigate and expose no stable completion surface without changing navigation/state semantics. 13D-04 and 13D-05 remain BLOCKED/Open under their prior criteria. 13E-12 published a testable performance budget: opacity/transform-first core motion, non-interactive overlays, one-shot behavior, and no layout-heavy animated properties, with existing token values and reduced-motion preserved. Next executable canonical task: 13E-13 Reduced-motion QA for all milestone/attention patterns.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In Progress</x:v>
      </x:c>
      <x:c r="J9" s="133" t="str">
        <x:v>U4 / Phase 13E IN PROGRESS — 13E-01, 13E-04, 13E-05, 13E-06, 13E-09, 13E-10, 13E-11 and 13E-12 PASS/CLOSED. 13E-02, 13E-03, 13E-07 and 13E-08 remain BLOCKED/Open because their current flows auto-navigate and expose no stable completion surface without changing navigation/state semantics. 13D-04 and 13D-05 remain BLOCKED/Open under their prior criteria. 13E-12 published a testable performance budget: opacity/transform-first core motion, non-interactive overlays, one-shot behavior, and no layout-heavy animated properties, with existing token values and reduced-motion preserved. Next executable canonical task: 13E-13 Reduced-motion QA for all milestone/attention patterns.</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66e0742c8b954508"/>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81cf9cca1c504e57"/>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0c369e7dce0415f"/>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89ca20d31e1c4001"/>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