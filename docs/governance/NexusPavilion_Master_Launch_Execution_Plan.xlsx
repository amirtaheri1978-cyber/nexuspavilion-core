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998b7e9dc0342b2" /></Relationships>
</file>

<file path=xl/workbook.xml><?xml version="1.0" encoding="utf-8"?>
<x:workbook xmlns:x="http://schemas.openxmlformats.org/spreadsheetml/2006/main">
  <x:sheets>
    <x:sheet xmlns:r="http://schemas.openxmlformats.org/officeDocument/2006/relationships" name="01 Master Plan" sheetId="1" r:id="Race8b603940747dc"/>
    <x:sheet xmlns:r="http://schemas.openxmlformats.org/officeDocument/2006/relationships" name="03 Launch Gates" sheetId="2" r:id="R71da4f205ffe4288"/>
    <x:sheet xmlns:r="http://schemas.openxmlformats.org/officeDocument/2006/relationships" name="00 Dashboard" sheetId="3" r:id="R8bc496f5c31e4f5c"/>
    <x:sheet xmlns:r="http://schemas.openxmlformats.org/officeDocument/2006/relationships" name="04 Cursor Tasks" sheetId="4" r:id="R92800342c06942f0"/>
    <x:sheet xmlns:r="http://schemas.openxmlformats.org/officeDocument/2006/relationships" name="05 UAT Matrix" sheetId="5" r:id="Ra658439d41c34332"/>
    <x:sheet xmlns:r="http://schemas.openxmlformats.org/officeDocument/2006/relationships" name="06 Security Matrix" sheetId="6" r:id="R2a52c95d6bec470a"/>
    <x:sheet xmlns:r="http://schemas.openxmlformats.org/officeDocument/2006/relationships" name="07 Risks" sheetId="7" r:id="R30ad9a83e686479d"/>
    <x:sheet xmlns:r="http://schemas.openxmlformats.org/officeDocument/2006/relationships" name="08 Architecture" sheetId="8" r:id="R8b4414c3bedf41b0"/>
    <x:sheet xmlns:r="http://schemas.openxmlformats.org/officeDocument/2006/relationships" name="09 Release Checklist" sheetId="9" r:id="R25184b9ddb624492"/>
    <x:sheet xmlns:r="http://schemas.openxmlformats.org/officeDocument/2006/relationships" name="10 Change Log" sheetId="10" r:id="R90ae846a4a1944b3"/>
    <x:sheet xmlns:r="http://schemas.openxmlformats.org/officeDocument/2006/relationships" name="11 Scope &amp; Roadmap" sheetId="11" r:id="R8e0efa0921e04cb0"/>
    <x:sheet xmlns:r="http://schemas.openxmlformats.org/officeDocument/2006/relationships" name="12 How to Use" sheetId="12" r:id="R4f07e2b88f604a9c"/>
    <x:sheet xmlns:r="http://schemas.openxmlformats.org/officeDocument/2006/relationships" name="13 UI Program" sheetId="13" r:id="R3006135610c44f30"/>
    <x:sheet xmlns:r="http://schemas.openxmlformats.org/officeDocument/2006/relationships" name="14 UI Scorecard" sheetId="14" r:id="Rf3598e4156124b78"/>
    <x:sheet xmlns:r="http://schemas.openxmlformats.org/officeDocument/2006/relationships" name="15 Motion Guidance" sheetId="15" r:id="R29d7efcb26484e26"/>
    <x:sheet xmlns:r="http://schemas.openxmlformats.org/officeDocument/2006/relationships" name="16 Design Standards" sheetId="16" r:id="Rc28c7403244d4cda"/>
    <x:sheet xmlns:r="http://schemas.openxmlformats.org/officeDocument/2006/relationships" name="17 Corporate Platform" sheetId="17" r:id="Rc353d05331bd494d"/>
    <x:sheet xmlns:r="http://schemas.openxmlformats.org/officeDocument/2006/relationships" name="18 Analytics Reuse Map" sheetId="18" r:id="Rfb959bb6a05e4942"/>
    <x:sheet xmlns:r="http://schemas.openxmlformats.org/officeDocument/2006/relationships" name="19 Executive Insights Discovery" sheetId="19" r:id="Rd6f32bce8e4f49c2"/>
    <x:sheet xmlns:r="http://schemas.openxmlformats.org/officeDocument/2006/relationships" name="20 Procurement Insights Discovery" sheetId="20" r:id="Raefd62cc235440c3"/>
    <x:sheet xmlns:r="http://schemas.openxmlformats.org/officeDocument/2006/relationships" name="21 Commercial Insights Discovery" sheetId="21" r:id="R4250387dc76f4894"/>
    <x:sheet xmlns:r="http://schemas.openxmlformats.org/officeDocument/2006/relationships" name="22 Project Insights Discovery" sheetId="22" r:id="R1a958eba23e241da"/>
    <x:sheet xmlns:r="http://schemas.openxmlformats.org/officeDocument/2006/relationships" name="23 Performance Discovery" sheetId="23" r:id="Rf823fa3a5b0e4973"/>
    <x:sheet xmlns:r="http://schemas.openxmlformats.org/officeDocument/2006/relationships" name="24 Risk Compliance Discovery" sheetId="24" r:id="Raec7db54209a4575"/>
    <x:sheet xmlns:r="http://schemas.openxmlformats.org/officeDocument/2006/relationships" name="25 Commercial Handoff" sheetId="25" r:id="R357c866802df4038"/>
    <x:sheet xmlns:r="http://schemas.openxmlformats.org/officeDocument/2006/relationships" name="26 RFQ Governance" sheetId="26" r:id="Rd49971f176c14c6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5bcc9ffd04643f4" /><Relationship Type="http://schemas.openxmlformats.org/officeDocument/2006/relationships/theme" Target="/xl/theme/theme1.xml" Id="Re1eb0b13776a4659" /><Relationship Type="http://schemas.openxmlformats.org/officeDocument/2006/relationships/sharedStrings" Target="/xl/sharedStrings.xml" Id="Rff7bc955f92b4c9b" /><Relationship Type="http://schemas.openxmlformats.org/officeDocument/2006/relationships/worksheet" Target="/xl/worksheets/sheet1.xml" Id="Race8b603940747dc" /><Relationship Type="http://schemas.openxmlformats.org/officeDocument/2006/relationships/worksheet" Target="/xl/worksheets/sheet2.xml" Id="R71da4f205ffe4288" /><Relationship Type="http://schemas.openxmlformats.org/officeDocument/2006/relationships/worksheet" Target="/xl/worksheets/sheet3.xml" Id="R8bc496f5c31e4f5c" /><Relationship Type="http://schemas.openxmlformats.org/officeDocument/2006/relationships/worksheet" Target="/xl/worksheets/sheet4.xml" Id="R92800342c06942f0" /><Relationship Type="http://schemas.openxmlformats.org/officeDocument/2006/relationships/worksheet" Target="/xl/worksheets/sheet5.xml" Id="Ra658439d41c34332" /><Relationship Type="http://schemas.openxmlformats.org/officeDocument/2006/relationships/worksheet" Target="/xl/worksheets/sheet6.xml" Id="R2a52c95d6bec470a" /><Relationship Type="http://schemas.openxmlformats.org/officeDocument/2006/relationships/worksheet" Target="/xl/worksheets/sheet7.xml" Id="R30ad9a83e686479d" /><Relationship Type="http://schemas.openxmlformats.org/officeDocument/2006/relationships/worksheet" Target="/xl/worksheets/sheet8.xml" Id="R8b4414c3bedf41b0" /><Relationship Type="http://schemas.openxmlformats.org/officeDocument/2006/relationships/worksheet" Target="/xl/worksheets/sheet9.xml" Id="R25184b9ddb624492" /><Relationship Type="http://schemas.openxmlformats.org/officeDocument/2006/relationships/worksheet" Target="/xl/worksheets/sheet10.xml" Id="R90ae846a4a1944b3" /><Relationship Type="http://schemas.openxmlformats.org/officeDocument/2006/relationships/worksheet" Target="/xl/worksheets/sheet11.xml" Id="R8e0efa0921e04cb0" /><Relationship Type="http://schemas.openxmlformats.org/officeDocument/2006/relationships/worksheet" Target="/xl/worksheets/sheet12.xml" Id="R4f07e2b88f604a9c" /><Relationship Type="http://schemas.openxmlformats.org/officeDocument/2006/relationships/worksheet" Target="/xl/worksheets/sheet13.xml" Id="R3006135610c44f30" /><Relationship Type="http://schemas.openxmlformats.org/officeDocument/2006/relationships/worksheet" Target="/xl/worksheets/sheet14.xml" Id="Rf3598e4156124b78" /><Relationship Type="http://schemas.openxmlformats.org/officeDocument/2006/relationships/worksheet" Target="/xl/worksheets/sheet15.xml" Id="R29d7efcb26484e26" /><Relationship Type="http://schemas.openxmlformats.org/officeDocument/2006/relationships/worksheet" Target="/xl/worksheets/sheet16.xml" Id="Rc28c7403244d4cda" /><Relationship Type="http://schemas.openxmlformats.org/officeDocument/2006/relationships/worksheet" Target="/xl/worksheets/sheet17.xml" Id="Rc353d05331bd494d" /><Relationship Type="http://schemas.openxmlformats.org/officeDocument/2006/relationships/worksheet" Target="/xl/worksheets/sheet18.xml" Id="Rfb959bb6a05e4942" /><Relationship Type="http://schemas.openxmlformats.org/officeDocument/2006/relationships/worksheet" Target="/xl/worksheets/sheet19.xml" Id="Rd6f32bce8e4f49c2" /><Relationship Type="http://schemas.openxmlformats.org/officeDocument/2006/relationships/worksheet" Target="/xl/worksheets/sheet20.xml" Id="Raefd62cc235440c3" /><Relationship Type="http://schemas.openxmlformats.org/officeDocument/2006/relationships/worksheet" Target="/xl/worksheets/sheet21.xml" Id="R4250387dc76f4894" /><Relationship Type="http://schemas.openxmlformats.org/officeDocument/2006/relationships/worksheet" Target="/xl/worksheets/sheet22.xml" Id="R1a958eba23e241da" /><Relationship Type="http://schemas.openxmlformats.org/officeDocument/2006/relationships/worksheet" Target="/xl/worksheets/sheet23.xml" Id="Rf823fa3a5b0e4973" /><Relationship Type="http://schemas.openxmlformats.org/officeDocument/2006/relationships/worksheet" Target="/xl/worksheets/sheet24.xml" Id="Raec7db54209a4575" /><Relationship Type="http://schemas.openxmlformats.org/officeDocument/2006/relationships/worksheet" Target="/xl/worksheets/sheet25.xml" Id="R357c866802df4038" /><Relationship Type="http://schemas.openxmlformats.org/officeDocument/2006/relationships/worksheet" Target="/xl/worksheets/sheet26.xml" Id="Rd49971f176c14c6f" /></Relationships>
</file>

<file path=xl/drawings/_rels/drawing1.xml.rels>&#65279;<?xml version="1.0" encoding="utf-8"?><Relationships xmlns="http://schemas.openxmlformats.org/package/2006/relationships"><Relationship Type="http://schemas.openxmlformats.org/officeDocument/2006/relationships/chart" Target="/xl/drawings/charts/chart1.xml" Id="R10b23a77f8504abb"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0b23a77f8504abb"/>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1d220315e454298" /></Relationships>
</file>

<file path=xl/worksheets/_rels/sheet2.xml.rels>&#65279;<?xml version="1.0" encoding="utf-8"?><Relationships xmlns="http://schemas.openxmlformats.org/package/2006/relationships"><Relationship Type="http://schemas.openxmlformats.org/officeDocument/2006/relationships/table" Target="/xl/tables/table2.xml" Id="Ra80fe36fb5114811" /></Relationships>
</file>

<file path=xl/worksheets/_rels/sheet3.xml.rels>&#65279;<?xml version="1.0" encoding="utf-8"?><Relationships xmlns="http://schemas.openxmlformats.org/package/2006/relationships"><Relationship Type="http://schemas.openxmlformats.org/officeDocument/2006/relationships/drawing" Target="/xl/drawings/drawing1.xml" Id="Rb69bf93ee8c546b5" /></Relationships>
</file>

<file path=xl/worksheets/_rels/sheet4.xml.rels>&#65279;<?xml version="1.0" encoding="utf-8"?><Relationships xmlns="http://schemas.openxmlformats.org/package/2006/relationships"><Relationship Type="http://schemas.openxmlformats.org/officeDocument/2006/relationships/table" Target="/xl/tables/table3.xml" Id="R03be77497651471f" /></Relationships>
</file>

<file path=xl/worksheets/_rels/sheet5.xml.rels>&#65279;<?xml version="1.0" encoding="utf-8"?><Relationships xmlns="http://schemas.openxmlformats.org/package/2006/relationships"><Relationship Type="http://schemas.openxmlformats.org/officeDocument/2006/relationships/table" Target="/xl/tables/table4.xml" Id="R93ce08bb3b1d4a09" /></Relationships>
</file>

<file path=xl/worksheets/_rels/sheet6.xml.rels>&#65279;<?xml version="1.0" encoding="utf-8"?><Relationships xmlns="http://schemas.openxmlformats.org/package/2006/relationships"><Relationship Type="http://schemas.openxmlformats.org/officeDocument/2006/relationships/table" Target="/xl/tables/table5.xml" Id="R42b313e8659749cd" /></Relationships>
</file>

<file path=xl/worksheets/_rels/sheet7.xml.rels>&#65279;<?xml version="1.0" encoding="utf-8"?><Relationships xmlns="http://schemas.openxmlformats.org/package/2006/relationships"><Relationship Type="http://schemas.openxmlformats.org/officeDocument/2006/relationships/table" Target="/xl/tables/table6.xml" Id="R6e49b65db8b04187" /></Relationships>
</file>

<file path=xl/worksheets/_rels/sheet9.xml.rels>&#65279;<?xml version="1.0" encoding="utf-8"?><Relationships xmlns="http://schemas.openxmlformats.org/package/2006/relationships"><Relationship Type="http://schemas.openxmlformats.org/officeDocument/2006/relationships/table" Target="/xl/tables/table7.xml" Id="R486f880232ab41d5" /></Relationships>
</file>

<file path=xl/worksheets/_rels/sheet10.xml.rels>&#65279;<?xml version="1.0" encoding="utf-8"?><Relationships xmlns="http://schemas.openxmlformats.org/package/2006/relationships"><Relationship Type="http://schemas.openxmlformats.org/officeDocument/2006/relationships/table" Target="/xl/tables/table8.xml" Id="Rc9aa018608714661" /></Relationships>
</file>

<file path=xl/worksheets/_rels/sheet11.xml.rels>&#65279;<?xml version="1.0" encoding="utf-8"?><Relationships xmlns="http://schemas.openxmlformats.org/package/2006/relationships"><Relationship Type="http://schemas.openxmlformats.org/officeDocument/2006/relationships/table" Target="/xl/tables/table9.xml" Id="Rf9f21fe0360746f1" /></Relationships>
</file>

<file path=xl/worksheets/_rels/sheet13.xml.rels>&#65279;<?xml version="1.0" encoding="utf-8"?><Relationships xmlns="http://schemas.openxmlformats.org/package/2006/relationships"><Relationship Type="http://schemas.openxmlformats.org/officeDocument/2006/relationships/table" Target="/xl/tables/table10.xml" Id="Refcbd92359ac4215" /></Relationships>
</file>

<file path=xl/worksheets/_rels/sheet14.xml.rels>&#65279;<?xml version="1.0" encoding="utf-8"?><Relationships xmlns="http://schemas.openxmlformats.org/package/2006/relationships"><Relationship Type="http://schemas.openxmlformats.org/officeDocument/2006/relationships/table" Target="/xl/tables/table11.xml" Id="R205f93220e854757" /></Relationships>
</file>

<file path=xl/worksheets/_rels/sheet15.xml.rels>&#65279;<?xml version="1.0" encoding="utf-8"?><Relationships xmlns="http://schemas.openxmlformats.org/package/2006/relationships"><Relationship Type="http://schemas.openxmlformats.org/officeDocument/2006/relationships/table" Target="/xl/tables/table12.xml" Id="Rd1ca463ef7d44bd2" /></Relationships>
</file>

<file path=xl/worksheets/_rels/sheet16.xml.rels>&#65279;<?xml version="1.0" encoding="utf-8"?><Relationships xmlns="http://schemas.openxmlformats.org/package/2006/relationships"><Relationship Type="http://schemas.openxmlformats.org/officeDocument/2006/relationships/table" Target="/xl/tables/table13.xml" Id="R1436b1c843af4daf"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1d220315e45429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a80fe36fb511481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254</x:v>
      </x:c>
      <x:c r="D6" s="133" t="inlineStr">
        <x:is>
          <x:t xml:space="preserve">G0A — Corporate platform architecture ready</x:t>
        </x:is>
      </x:c>
      <x:c r="E6" s="32" t="str">
        <x:f>'03 Launch Gates'!D20</x:f>
        <x:v>Completed</x:v>
      </x:c>
      <x:c r="G6" t="inlineStr">
        <x:is>
          <x:t xml:space="preserve">UI Tasks Complete</x:t>
        </x:is>
      </x:c>
      <x:c r="H6" t="n">
        <x:f>SUM(B36:B46)</x:f>
        <x:v>32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0.6920980926430518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0.7090909090909091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7</x:v>
      </x:c>
      <x:c r="C36" s="133" t="n">
        <x:f>COUNTIFS('01 Master Plan'!C$5:C$383,A36,'01 Master Plan'!H$5:H$383,"In Progress")</x:f>
        <x:v>0</x:v>
      </x:c>
      <x:c r="D36" s="133" t="n">
        <x:f>COUNTIFS('01 Master Plan'!C$5:C$383,A36,'01 Master Plan'!H$5:H$383,"Not Started")</x:f>
        <x:v>3</x:v>
      </x:c>
      <x:c r="E36" s="133" t="n">
        <x:f>COUNTIFS('01 Master Plan'!C$5:C$383,A36,'01 Master Plan'!H$5:H$383,"Blocked")</x:f>
        <x:v>0</x:v>
      </x:c>
      <x:c r="F36" s="133" t="n">
        <x:f>COUNTIFS('01 Master Plan'!C$5:C$383,A36,'01 Master Plan'!H$5:H$383,"Deferred")</x:f>
        <x:v>0</x:v>
      </x:c>
      <x:c r="G36" s="255" t="n">
        <x:f>IFERROR(B36/(B36+C36+D36+E36),0)</x:f>
        <x:v>0.7</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69bf93ee8c546b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03be77497651471f"/>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93ce08bb3b1d4a0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42b313e8659749c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e49b65db8b0418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86f880232ab41d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c9aa018608714661"/>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9f21fe0360746f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fcbd92359ac421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05f93220e854757"/>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d1ca463ef7d44bd2"/>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1436b1c843af4daf"/>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