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2d9bb1f3b9a4c39" /></Relationships>
</file>

<file path=xl/workbook.xml><?xml version="1.0" encoding="utf-8"?>
<x:workbook xmlns:x="http://schemas.openxmlformats.org/spreadsheetml/2006/main">
  <x:sheets>
    <x:sheet xmlns:r="http://schemas.openxmlformats.org/officeDocument/2006/relationships" name="01 Master Plan" sheetId="1" r:id="R0875115661b94b37"/>
    <x:sheet xmlns:r="http://schemas.openxmlformats.org/officeDocument/2006/relationships" name="03 Launch Gates" sheetId="2" r:id="R1cbb4c02b1fb4599"/>
    <x:sheet xmlns:r="http://schemas.openxmlformats.org/officeDocument/2006/relationships" name="00 Dashboard" sheetId="3" r:id="Ra3bc9a0de39546f2"/>
    <x:sheet xmlns:r="http://schemas.openxmlformats.org/officeDocument/2006/relationships" name="04 Cursor Tasks" sheetId="4" r:id="R09382d5dda6e46e1"/>
    <x:sheet xmlns:r="http://schemas.openxmlformats.org/officeDocument/2006/relationships" name="05 UAT Matrix" sheetId="5" r:id="R69c7c01d0077468f"/>
    <x:sheet xmlns:r="http://schemas.openxmlformats.org/officeDocument/2006/relationships" name="06 Security Matrix" sheetId="6" r:id="R68f1c058760b473f"/>
    <x:sheet xmlns:r="http://schemas.openxmlformats.org/officeDocument/2006/relationships" name="07 Risks" sheetId="7" r:id="R40ddc4281b564eb4"/>
    <x:sheet xmlns:r="http://schemas.openxmlformats.org/officeDocument/2006/relationships" name="08 Architecture" sheetId="8" r:id="Rb6d1256903cb40dc"/>
    <x:sheet xmlns:r="http://schemas.openxmlformats.org/officeDocument/2006/relationships" name="09 Release Checklist" sheetId="9" r:id="R2d2cfa10d21744a5"/>
    <x:sheet xmlns:r="http://schemas.openxmlformats.org/officeDocument/2006/relationships" name="10 Change Log" sheetId="10" r:id="R4bf56331e68847c3"/>
    <x:sheet xmlns:r="http://schemas.openxmlformats.org/officeDocument/2006/relationships" name="11 Scope &amp; Roadmap" sheetId="11" r:id="R4b93d742e9544838"/>
    <x:sheet xmlns:r="http://schemas.openxmlformats.org/officeDocument/2006/relationships" name="12 How to Use" sheetId="12" r:id="R795c91d22d894b89"/>
    <x:sheet xmlns:r="http://schemas.openxmlformats.org/officeDocument/2006/relationships" name="13 UI Program" sheetId="13" r:id="R446287411e774ebd"/>
    <x:sheet xmlns:r="http://schemas.openxmlformats.org/officeDocument/2006/relationships" name="14 UI Scorecard" sheetId="14" r:id="R6e4216edbeba47f0"/>
    <x:sheet xmlns:r="http://schemas.openxmlformats.org/officeDocument/2006/relationships" name="15 Motion Guidance" sheetId="15" r:id="R8c16f907283d4665"/>
    <x:sheet xmlns:r="http://schemas.openxmlformats.org/officeDocument/2006/relationships" name="16 Design Standards" sheetId="16" r:id="R32a231417d1b44dc"/>
    <x:sheet xmlns:r="http://schemas.openxmlformats.org/officeDocument/2006/relationships" name="17 Corporate Platform" sheetId="17" r:id="Re38273654b174eb8"/>
    <x:sheet xmlns:r="http://schemas.openxmlformats.org/officeDocument/2006/relationships" name="18 Analytics Reuse Map" sheetId="18" r:id="R8eba8b811c6d4f4b"/>
    <x:sheet xmlns:r="http://schemas.openxmlformats.org/officeDocument/2006/relationships" name="19 Executive Insights Discovery" sheetId="19" r:id="R6f5293a5263346a3"/>
    <x:sheet xmlns:r="http://schemas.openxmlformats.org/officeDocument/2006/relationships" name="20 Procurement Insights Discovery" sheetId="20" r:id="Re7820cad512b4bd2"/>
    <x:sheet xmlns:r="http://schemas.openxmlformats.org/officeDocument/2006/relationships" name="21 Commercial Insights Discovery" sheetId="21" r:id="R87c9ea7980f841ec"/>
    <x:sheet xmlns:r="http://schemas.openxmlformats.org/officeDocument/2006/relationships" name="22 Project Insights Discovery" sheetId="22" r:id="R60206df8db7c4e58"/>
    <x:sheet xmlns:r="http://schemas.openxmlformats.org/officeDocument/2006/relationships" name="23 Performance Discovery" sheetId="23" r:id="Rdc15788fd3a04086"/>
    <x:sheet xmlns:r="http://schemas.openxmlformats.org/officeDocument/2006/relationships" name="24 Risk Compliance Discovery" sheetId="24" r:id="R8aee3562ea8f4a98"/>
    <x:sheet xmlns:r="http://schemas.openxmlformats.org/officeDocument/2006/relationships" name="25 Commercial Handoff" sheetId="25" r:id="Rfe047c89922c4f72"/>
    <x:sheet xmlns:r="http://schemas.openxmlformats.org/officeDocument/2006/relationships" name="26 RFQ Governance" sheetId="26" r:id="R0e9273e33afb4e7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85450a591e64a7e" /><Relationship Type="http://schemas.openxmlformats.org/officeDocument/2006/relationships/theme" Target="/xl/theme/theme1.xml" Id="Rbb98c607c1024dc5" /><Relationship Type="http://schemas.openxmlformats.org/officeDocument/2006/relationships/sharedStrings" Target="/xl/sharedStrings.xml" Id="Rd26682bb619d4582" /><Relationship Type="http://schemas.openxmlformats.org/officeDocument/2006/relationships/worksheet" Target="/xl/worksheets/sheet1.xml" Id="R0875115661b94b37" /><Relationship Type="http://schemas.openxmlformats.org/officeDocument/2006/relationships/worksheet" Target="/xl/worksheets/sheet2.xml" Id="R1cbb4c02b1fb4599" /><Relationship Type="http://schemas.openxmlformats.org/officeDocument/2006/relationships/worksheet" Target="/xl/worksheets/sheet3.xml" Id="Ra3bc9a0de39546f2" /><Relationship Type="http://schemas.openxmlformats.org/officeDocument/2006/relationships/worksheet" Target="/xl/worksheets/sheet4.xml" Id="R09382d5dda6e46e1" /><Relationship Type="http://schemas.openxmlformats.org/officeDocument/2006/relationships/worksheet" Target="/xl/worksheets/sheet5.xml" Id="R69c7c01d0077468f" /><Relationship Type="http://schemas.openxmlformats.org/officeDocument/2006/relationships/worksheet" Target="/xl/worksheets/sheet6.xml" Id="R68f1c058760b473f" /><Relationship Type="http://schemas.openxmlformats.org/officeDocument/2006/relationships/worksheet" Target="/xl/worksheets/sheet7.xml" Id="R40ddc4281b564eb4" /><Relationship Type="http://schemas.openxmlformats.org/officeDocument/2006/relationships/worksheet" Target="/xl/worksheets/sheet8.xml" Id="Rb6d1256903cb40dc" /><Relationship Type="http://schemas.openxmlformats.org/officeDocument/2006/relationships/worksheet" Target="/xl/worksheets/sheet9.xml" Id="R2d2cfa10d21744a5" /><Relationship Type="http://schemas.openxmlformats.org/officeDocument/2006/relationships/worksheet" Target="/xl/worksheets/sheet10.xml" Id="R4bf56331e68847c3" /><Relationship Type="http://schemas.openxmlformats.org/officeDocument/2006/relationships/worksheet" Target="/xl/worksheets/sheet11.xml" Id="R4b93d742e9544838" /><Relationship Type="http://schemas.openxmlformats.org/officeDocument/2006/relationships/worksheet" Target="/xl/worksheets/sheet12.xml" Id="R795c91d22d894b89" /><Relationship Type="http://schemas.openxmlformats.org/officeDocument/2006/relationships/worksheet" Target="/xl/worksheets/sheet13.xml" Id="R446287411e774ebd" /><Relationship Type="http://schemas.openxmlformats.org/officeDocument/2006/relationships/worksheet" Target="/xl/worksheets/sheet14.xml" Id="R6e4216edbeba47f0" /><Relationship Type="http://schemas.openxmlformats.org/officeDocument/2006/relationships/worksheet" Target="/xl/worksheets/sheet15.xml" Id="R8c16f907283d4665" /><Relationship Type="http://schemas.openxmlformats.org/officeDocument/2006/relationships/worksheet" Target="/xl/worksheets/sheet16.xml" Id="R32a231417d1b44dc" /><Relationship Type="http://schemas.openxmlformats.org/officeDocument/2006/relationships/worksheet" Target="/xl/worksheets/sheet17.xml" Id="Re38273654b174eb8" /><Relationship Type="http://schemas.openxmlformats.org/officeDocument/2006/relationships/worksheet" Target="/xl/worksheets/sheet18.xml" Id="R8eba8b811c6d4f4b" /><Relationship Type="http://schemas.openxmlformats.org/officeDocument/2006/relationships/worksheet" Target="/xl/worksheets/sheet19.xml" Id="R6f5293a5263346a3" /><Relationship Type="http://schemas.openxmlformats.org/officeDocument/2006/relationships/worksheet" Target="/xl/worksheets/sheet20.xml" Id="Re7820cad512b4bd2" /><Relationship Type="http://schemas.openxmlformats.org/officeDocument/2006/relationships/worksheet" Target="/xl/worksheets/sheet21.xml" Id="R87c9ea7980f841ec" /><Relationship Type="http://schemas.openxmlformats.org/officeDocument/2006/relationships/worksheet" Target="/xl/worksheets/sheet22.xml" Id="R60206df8db7c4e58" /><Relationship Type="http://schemas.openxmlformats.org/officeDocument/2006/relationships/worksheet" Target="/xl/worksheets/sheet23.xml" Id="Rdc15788fd3a04086" /><Relationship Type="http://schemas.openxmlformats.org/officeDocument/2006/relationships/worksheet" Target="/xl/worksheets/sheet24.xml" Id="R8aee3562ea8f4a98" /><Relationship Type="http://schemas.openxmlformats.org/officeDocument/2006/relationships/worksheet" Target="/xl/worksheets/sheet25.xml" Id="Rfe047c89922c4f72" /><Relationship Type="http://schemas.openxmlformats.org/officeDocument/2006/relationships/worksheet" Target="/xl/worksheets/sheet26.xml" Id="R0e9273e33afb4e78" /></Relationships>
</file>

<file path=xl/drawings/_rels/drawing1.xml.rels>&#65279;<?xml version="1.0" encoding="utf-8"?><Relationships xmlns="http://schemas.openxmlformats.org/package/2006/relationships"><Relationship Type="http://schemas.openxmlformats.org/officeDocument/2006/relationships/chart" Target="/xl/drawings/charts/chart1.xml" Id="R6cf387016bba489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cf387016bba489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7111c08f4d748c7" /></Relationships>
</file>

<file path=xl/worksheets/_rels/sheet2.xml.rels>&#65279;<?xml version="1.0" encoding="utf-8"?><Relationships xmlns="http://schemas.openxmlformats.org/package/2006/relationships"><Relationship Type="http://schemas.openxmlformats.org/officeDocument/2006/relationships/table" Target="/xl/tables/table2.xml" Id="R684fd05e0c7b4bad" /></Relationships>
</file>

<file path=xl/worksheets/_rels/sheet3.xml.rels>&#65279;<?xml version="1.0" encoding="utf-8"?><Relationships xmlns="http://schemas.openxmlformats.org/package/2006/relationships"><Relationship Type="http://schemas.openxmlformats.org/officeDocument/2006/relationships/drawing" Target="/xl/drawings/drawing1.xml" Id="Rcc24b68153744c3a" /></Relationships>
</file>

<file path=xl/worksheets/_rels/sheet4.xml.rels>&#65279;<?xml version="1.0" encoding="utf-8"?><Relationships xmlns="http://schemas.openxmlformats.org/package/2006/relationships"><Relationship Type="http://schemas.openxmlformats.org/officeDocument/2006/relationships/table" Target="/xl/tables/table3.xml" Id="Rf40b6fa5d75c49fe" /></Relationships>
</file>

<file path=xl/worksheets/_rels/sheet5.xml.rels>&#65279;<?xml version="1.0" encoding="utf-8"?><Relationships xmlns="http://schemas.openxmlformats.org/package/2006/relationships"><Relationship Type="http://schemas.openxmlformats.org/officeDocument/2006/relationships/table" Target="/xl/tables/table4.xml" Id="Ra38ca449417449a3" /></Relationships>
</file>

<file path=xl/worksheets/_rels/sheet6.xml.rels>&#65279;<?xml version="1.0" encoding="utf-8"?><Relationships xmlns="http://schemas.openxmlformats.org/package/2006/relationships"><Relationship Type="http://schemas.openxmlformats.org/officeDocument/2006/relationships/table" Target="/xl/tables/table5.xml" Id="R1532ce5d917441c1" /></Relationships>
</file>

<file path=xl/worksheets/_rels/sheet7.xml.rels>&#65279;<?xml version="1.0" encoding="utf-8"?><Relationships xmlns="http://schemas.openxmlformats.org/package/2006/relationships"><Relationship Type="http://schemas.openxmlformats.org/officeDocument/2006/relationships/table" Target="/xl/tables/table6.xml" Id="Rea722af767964963" /></Relationships>
</file>

<file path=xl/worksheets/_rels/sheet9.xml.rels>&#65279;<?xml version="1.0" encoding="utf-8"?><Relationships xmlns="http://schemas.openxmlformats.org/package/2006/relationships"><Relationship Type="http://schemas.openxmlformats.org/officeDocument/2006/relationships/table" Target="/xl/tables/table7.xml" Id="R7dd400a5305c4c29" /></Relationships>
</file>

<file path=xl/worksheets/_rels/sheet10.xml.rels>&#65279;<?xml version="1.0" encoding="utf-8"?><Relationships xmlns="http://schemas.openxmlformats.org/package/2006/relationships"><Relationship Type="http://schemas.openxmlformats.org/officeDocument/2006/relationships/table" Target="/xl/tables/table8.xml" Id="R1a760bd77fcd42c9" /></Relationships>
</file>

<file path=xl/worksheets/_rels/sheet11.xml.rels>&#65279;<?xml version="1.0" encoding="utf-8"?><Relationships xmlns="http://schemas.openxmlformats.org/package/2006/relationships"><Relationship Type="http://schemas.openxmlformats.org/officeDocument/2006/relationships/table" Target="/xl/tables/table9.xml" Id="R028f213b51b2470b" /></Relationships>
</file>

<file path=xl/worksheets/_rels/sheet13.xml.rels>&#65279;<?xml version="1.0" encoding="utf-8"?><Relationships xmlns="http://schemas.openxmlformats.org/package/2006/relationships"><Relationship Type="http://schemas.openxmlformats.org/officeDocument/2006/relationships/table" Target="/xl/tables/table10.xml" Id="Rfa34220071ee417b" /></Relationships>
</file>

<file path=xl/worksheets/_rels/sheet14.xml.rels>&#65279;<?xml version="1.0" encoding="utf-8"?><Relationships xmlns="http://schemas.openxmlformats.org/package/2006/relationships"><Relationship Type="http://schemas.openxmlformats.org/officeDocument/2006/relationships/table" Target="/xl/tables/table11.xml" Id="Rcd23af0e853b408e" /></Relationships>
</file>

<file path=xl/worksheets/_rels/sheet15.xml.rels>&#65279;<?xml version="1.0" encoding="utf-8"?><Relationships xmlns="http://schemas.openxmlformats.org/package/2006/relationships"><Relationship Type="http://schemas.openxmlformats.org/officeDocument/2006/relationships/table" Target="/xl/tables/table12.xml" Id="R412a630932074ed1" /></Relationships>
</file>

<file path=xl/worksheets/_rels/sheet16.xml.rels>&#65279;<?xml version="1.0" encoding="utf-8"?><Relationships xmlns="http://schemas.openxmlformats.org/package/2006/relationships"><Relationship Type="http://schemas.openxmlformats.org/officeDocument/2006/relationships/table" Target="/xl/tables/table13.xml" Id="R305df37efb7e4685"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7111c08f4d748c7"/>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684fd05e0c7b4ba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332</x:v>
      </x:c>
      <x:c r="D6" s="133" t="inlineStr">
        <x:is>
          <x:t xml:space="preserve">G0A — Corporate platform architecture ready</x:t>
        </x:is>
      </x:c>
      <x:c r="E6" s="32" t="str">
        <x:f>'03 Launch Gates'!D20</x:f>
        <x:v>Completed</x:v>
      </x:c>
      <x:c r="G6" t="inlineStr">
        <x:is>
          <x:t xml:space="preserve">UI Tasks Complete</x:t>
        </x:is>
      </x:c>
      <x:c r="H6" t="n">
        <x:f>SUM(B36:B46)</x:f>
        <x:v>110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0.9046321525885559</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0.9272727272727272</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5</x:v>
      </x:c>
      <x:c r="C44" s="28" t="n">
        <x:f>COUNTIFS('01 Master Plan'!C$5:C$383,A44,'01 Master Plan'!H$5:H$383,"In Progress")</x:f>
        <x:v>0</x:v>
      </x:c>
      <x:c r="D44" s="28" t="n">
        <x:f>COUNTIFS('01 Master Plan'!C$5:C$383,A44,'01 Master Plan'!H$5:H$383,"Not Started")</x:f>
        <x:v>15</x:v>
      </x:c>
      <x:c r="E44" s="28" t="n">
        <x:f>COUNTIFS('01 Master Plan'!C$5:C$383,A44,'01 Master Plan'!H$5:H$383,"Blocked")</x:f>
        <x:v>0</x:v>
      </x:c>
      <x:c r="F44" s="28" t="n">
        <x:f>COUNTIFS('01 Master Plan'!C$5:C$383,A44,'01 Master Plan'!H$5:H$383,"Deferred")</x:f>
        <x:v>0</x:v>
      </x:c>
      <x:c r="G44" s="258" t="n">
        <x:f>IFERROR(B44/(B44+C44+D44+E44),0)</x:f>
        <x:v>0.25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cc24b68153744c3a"/>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f40b6fa5d75c49fe"/>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38ca449417449a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1532ce5d917441c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ea722af767964963"/>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dd400a5305c4c2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a760bd77fcd42c9"/>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028f213b51b2470b"/>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13H-05 PASS/CLOSED/PUBLISHED. Executive Overview, Procurement Center, RFQ Drafting &amp; Configuration, Market Engagement &amp; Publishing, and Issuer RFI/Addenda Management now use the shared Executive Design System while preserving procurement, confidentiality, governance, invitation, publication and acknowledgement semantics. The prerequisite governed package-change handoff cluster was stabilized separately at commit 466b0ee1c8845a2e930a23c816a9a618814ebfd6 and then 13H-05 resumed. Next executable canonical task: 13H-06 Upgrade Response Evaluation &amp; Award.</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fa34220071ee417b"/>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cd23af0e853b408e"/>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12a630932074ed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05df37efb7e4685"/>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