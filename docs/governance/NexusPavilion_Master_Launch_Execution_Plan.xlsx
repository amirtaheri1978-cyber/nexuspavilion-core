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eca9f2554845a6" /></Relationships>
</file>

<file path=xl/workbook.xml><?xml version="1.0" encoding="utf-8"?>
<x:workbook xmlns:x="http://schemas.openxmlformats.org/spreadsheetml/2006/main">
  <x:sheets>
    <x:sheet xmlns:r="http://schemas.openxmlformats.org/officeDocument/2006/relationships" name="01 Master Plan" sheetId="1" r:id="R156f9a0ace24476a"/>
    <x:sheet xmlns:r="http://schemas.openxmlformats.org/officeDocument/2006/relationships" name="03 Launch Gates" sheetId="2" r:id="R1fe0c0b8a9b24cb4"/>
    <x:sheet xmlns:r="http://schemas.openxmlformats.org/officeDocument/2006/relationships" name="00 Dashboard" sheetId="3" r:id="Rd199e3895194439e"/>
    <x:sheet xmlns:r="http://schemas.openxmlformats.org/officeDocument/2006/relationships" name="04 Cursor Tasks" sheetId="4" r:id="R01181f9dbcc644fc"/>
    <x:sheet xmlns:r="http://schemas.openxmlformats.org/officeDocument/2006/relationships" name="05 UAT Matrix" sheetId="5" r:id="Rf10631cdefda483a"/>
    <x:sheet xmlns:r="http://schemas.openxmlformats.org/officeDocument/2006/relationships" name="06 Security Matrix" sheetId="6" r:id="R9243acfae00a4e71"/>
    <x:sheet xmlns:r="http://schemas.openxmlformats.org/officeDocument/2006/relationships" name="07 Risks" sheetId="7" r:id="R38de9eba3d52435d"/>
    <x:sheet xmlns:r="http://schemas.openxmlformats.org/officeDocument/2006/relationships" name="08 Architecture" sheetId="8" r:id="R2788b3ecd1f84925"/>
    <x:sheet xmlns:r="http://schemas.openxmlformats.org/officeDocument/2006/relationships" name="09 Release Checklist" sheetId="9" r:id="R8ac17789ee374c79"/>
    <x:sheet xmlns:r="http://schemas.openxmlformats.org/officeDocument/2006/relationships" name="10 Change Log" sheetId="10" r:id="R3ff171588c0a4944"/>
    <x:sheet xmlns:r="http://schemas.openxmlformats.org/officeDocument/2006/relationships" name="11 Scope &amp; Roadmap" sheetId="11" r:id="Re78b241f2c8047d8"/>
    <x:sheet xmlns:r="http://schemas.openxmlformats.org/officeDocument/2006/relationships" name="12 How to Use" sheetId="12" r:id="R5184755340fb4f44"/>
    <x:sheet xmlns:r="http://schemas.openxmlformats.org/officeDocument/2006/relationships" name="13 UI Program" sheetId="13" r:id="R838897b8c0e44bd7"/>
    <x:sheet xmlns:r="http://schemas.openxmlformats.org/officeDocument/2006/relationships" name="14 UI Scorecard" sheetId="14" r:id="R34cb46587c074274"/>
    <x:sheet xmlns:r="http://schemas.openxmlformats.org/officeDocument/2006/relationships" name="15 Motion Guidance" sheetId="15" r:id="R00c254d9a6f549e6"/>
    <x:sheet xmlns:r="http://schemas.openxmlformats.org/officeDocument/2006/relationships" name="16 Design Standards" sheetId="16" r:id="R104ae5a71444499e"/>
    <x:sheet xmlns:r="http://schemas.openxmlformats.org/officeDocument/2006/relationships" name="17 Corporate Platform" sheetId="17" r:id="Rc31359fc4040428d"/>
    <x:sheet xmlns:r="http://schemas.openxmlformats.org/officeDocument/2006/relationships" name="18 Analytics Reuse Map" sheetId="18" r:id="Ra4aa8a318a2b4789"/>
    <x:sheet xmlns:r="http://schemas.openxmlformats.org/officeDocument/2006/relationships" name="19 Executive Insights Discovery" sheetId="19" r:id="R7f3c57f73fa5405c"/>
    <x:sheet xmlns:r="http://schemas.openxmlformats.org/officeDocument/2006/relationships" name="20 Procurement Insights Discovery" sheetId="20" r:id="R296597710b07496e"/>
    <x:sheet xmlns:r="http://schemas.openxmlformats.org/officeDocument/2006/relationships" name="21 Commercial Insights Discovery" sheetId="21" r:id="R50025d9e2c904cf6"/>
    <x:sheet xmlns:r="http://schemas.openxmlformats.org/officeDocument/2006/relationships" name="22 Project Insights Discovery" sheetId="22" r:id="Rc75de2ff718a4e3e"/>
    <x:sheet xmlns:r="http://schemas.openxmlformats.org/officeDocument/2006/relationships" name="23 Performance Discovery" sheetId="23" r:id="Rcefd4ade909b405d"/>
    <x:sheet xmlns:r="http://schemas.openxmlformats.org/officeDocument/2006/relationships" name="24 Risk Compliance Discovery" sheetId="24" r:id="R66697c4bdb114fda"/>
    <x:sheet xmlns:r="http://schemas.openxmlformats.org/officeDocument/2006/relationships" name="25 Commercial Handoff" sheetId="25" r:id="R7bee02bf90a24093"/>
    <x:sheet xmlns:r="http://schemas.openxmlformats.org/officeDocument/2006/relationships" name="26 RFQ Governance" sheetId="26" r:id="R06bb1477e60545a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09fd119c9e04380" /><Relationship Type="http://schemas.openxmlformats.org/officeDocument/2006/relationships/theme" Target="/xl/theme/theme1.xml" Id="R8ac410a3f3a74661" /><Relationship Type="http://schemas.openxmlformats.org/officeDocument/2006/relationships/sharedStrings" Target="/xl/sharedStrings.xml" Id="Rd1b2f6b84e4b4d5c" /><Relationship Type="http://schemas.openxmlformats.org/officeDocument/2006/relationships/worksheet" Target="/xl/worksheets/sheet1.xml" Id="R156f9a0ace24476a" /><Relationship Type="http://schemas.openxmlformats.org/officeDocument/2006/relationships/worksheet" Target="/xl/worksheets/sheet2.xml" Id="R1fe0c0b8a9b24cb4" /><Relationship Type="http://schemas.openxmlformats.org/officeDocument/2006/relationships/worksheet" Target="/xl/worksheets/sheet3.xml" Id="Rd199e3895194439e" /><Relationship Type="http://schemas.openxmlformats.org/officeDocument/2006/relationships/worksheet" Target="/xl/worksheets/sheet4.xml" Id="R01181f9dbcc644fc" /><Relationship Type="http://schemas.openxmlformats.org/officeDocument/2006/relationships/worksheet" Target="/xl/worksheets/sheet5.xml" Id="Rf10631cdefda483a" /><Relationship Type="http://schemas.openxmlformats.org/officeDocument/2006/relationships/worksheet" Target="/xl/worksheets/sheet6.xml" Id="R9243acfae00a4e71" /><Relationship Type="http://schemas.openxmlformats.org/officeDocument/2006/relationships/worksheet" Target="/xl/worksheets/sheet7.xml" Id="R38de9eba3d52435d" /><Relationship Type="http://schemas.openxmlformats.org/officeDocument/2006/relationships/worksheet" Target="/xl/worksheets/sheet8.xml" Id="R2788b3ecd1f84925" /><Relationship Type="http://schemas.openxmlformats.org/officeDocument/2006/relationships/worksheet" Target="/xl/worksheets/sheet9.xml" Id="R8ac17789ee374c79" /><Relationship Type="http://schemas.openxmlformats.org/officeDocument/2006/relationships/worksheet" Target="/xl/worksheets/sheet10.xml" Id="R3ff171588c0a4944" /><Relationship Type="http://schemas.openxmlformats.org/officeDocument/2006/relationships/worksheet" Target="/xl/worksheets/sheet11.xml" Id="Re78b241f2c8047d8" /><Relationship Type="http://schemas.openxmlformats.org/officeDocument/2006/relationships/worksheet" Target="/xl/worksheets/sheet12.xml" Id="R5184755340fb4f44" /><Relationship Type="http://schemas.openxmlformats.org/officeDocument/2006/relationships/worksheet" Target="/xl/worksheets/sheet13.xml" Id="R838897b8c0e44bd7" /><Relationship Type="http://schemas.openxmlformats.org/officeDocument/2006/relationships/worksheet" Target="/xl/worksheets/sheet14.xml" Id="R34cb46587c074274" /><Relationship Type="http://schemas.openxmlformats.org/officeDocument/2006/relationships/worksheet" Target="/xl/worksheets/sheet15.xml" Id="R00c254d9a6f549e6" /><Relationship Type="http://schemas.openxmlformats.org/officeDocument/2006/relationships/worksheet" Target="/xl/worksheets/sheet16.xml" Id="R104ae5a71444499e" /><Relationship Type="http://schemas.openxmlformats.org/officeDocument/2006/relationships/worksheet" Target="/xl/worksheets/sheet17.xml" Id="Rc31359fc4040428d" /><Relationship Type="http://schemas.openxmlformats.org/officeDocument/2006/relationships/worksheet" Target="/xl/worksheets/sheet18.xml" Id="Ra4aa8a318a2b4789" /><Relationship Type="http://schemas.openxmlformats.org/officeDocument/2006/relationships/worksheet" Target="/xl/worksheets/sheet19.xml" Id="R7f3c57f73fa5405c" /><Relationship Type="http://schemas.openxmlformats.org/officeDocument/2006/relationships/worksheet" Target="/xl/worksheets/sheet20.xml" Id="R296597710b07496e" /><Relationship Type="http://schemas.openxmlformats.org/officeDocument/2006/relationships/worksheet" Target="/xl/worksheets/sheet21.xml" Id="R50025d9e2c904cf6" /><Relationship Type="http://schemas.openxmlformats.org/officeDocument/2006/relationships/worksheet" Target="/xl/worksheets/sheet22.xml" Id="Rc75de2ff718a4e3e" /><Relationship Type="http://schemas.openxmlformats.org/officeDocument/2006/relationships/worksheet" Target="/xl/worksheets/sheet23.xml" Id="Rcefd4ade909b405d" /><Relationship Type="http://schemas.openxmlformats.org/officeDocument/2006/relationships/worksheet" Target="/xl/worksheets/sheet24.xml" Id="R66697c4bdb114fda" /><Relationship Type="http://schemas.openxmlformats.org/officeDocument/2006/relationships/worksheet" Target="/xl/worksheets/sheet25.xml" Id="R7bee02bf90a24093" /><Relationship Type="http://schemas.openxmlformats.org/officeDocument/2006/relationships/worksheet" Target="/xl/worksheets/sheet26.xml" Id="R06bb1477e60545aa" /></Relationships>
</file>

<file path=xl/drawings/_rels/drawing1.xml.rels>&#65279;<?xml version="1.0" encoding="utf-8"?><Relationships xmlns="http://schemas.openxmlformats.org/package/2006/relationships"><Relationship Type="http://schemas.openxmlformats.org/officeDocument/2006/relationships/chart" Target="/xl/drawings/charts/chart1.xml" Id="R46020fe4fdde494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6020fe4fdde494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0698350175b4a78" /></Relationships>
</file>

<file path=xl/worksheets/_rels/sheet2.xml.rels>&#65279;<?xml version="1.0" encoding="utf-8"?><Relationships xmlns="http://schemas.openxmlformats.org/package/2006/relationships"><Relationship Type="http://schemas.openxmlformats.org/officeDocument/2006/relationships/table" Target="/xl/tables/table2.xml" Id="R45d98eb4775c4dd2" /></Relationships>
</file>

<file path=xl/worksheets/_rels/sheet3.xml.rels>&#65279;<?xml version="1.0" encoding="utf-8"?><Relationships xmlns="http://schemas.openxmlformats.org/package/2006/relationships"><Relationship Type="http://schemas.openxmlformats.org/officeDocument/2006/relationships/drawing" Target="/xl/drawings/drawing1.xml" Id="R23ca9dbb3b944309" /></Relationships>
</file>

<file path=xl/worksheets/_rels/sheet4.xml.rels>&#65279;<?xml version="1.0" encoding="utf-8"?><Relationships xmlns="http://schemas.openxmlformats.org/package/2006/relationships"><Relationship Type="http://schemas.openxmlformats.org/officeDocument/2006/relationships/table" Target="/xl/tables/table3.xml" Id="Rafc747ac1d8b4b35" /></Relationships>
</file>

<file path=xl/worksheets/_rels/sheet5.xml.rels>&#65279;<?xml version="1.0" encoding="utf-8"?><Relationships xmlns="http://schemas.openxmlformats.org/package/2006/relationships"><Relationship Type="http://schemas.openxmlformats.org/officeDocument/2006/relationships/table" Target="/xl/tables/table4.xml" Id="R664b0c2b77ef4566" /></Relationships>
</file>

<file path=xl/worksheets/_rels/sheet6.xml.rels>&#65279;<?xml version="1.0" encoding="utf-8"?><Relationships xmlns="http://schemas.openxmlformats.org/package/2006/relationships"><Relationship Type="http://schemas.openxmlformats.org/officeDocument/2006/relationships/table" Target="/xl/tables/table5.xml" Id="R56d6e1677ef64d23" /></Relationships>
</file>

<file path=xl/worksheets/_rels/sheet7.xml.rels>&#65279;<?xml version="1.0" encoding="utf-8"?><Relationships xmlns="http://schemas.openxmlformats.org/package/2006/relationships"><Relationship Type="http://schemas.openxmlformats.org/officeDocument/2006/relationships/table" Target="/xl/tables/table6.xml" Id="Rb77767d894f343c7" /></Relationships>
</file>

<file path=xl/worksheets/_rels/sheet9.xml.rels>&#65279;<?xml version="1.0" encoding="utf-8"?><Relationships xmlns="http://schemas.openxmlformats.org/package/2006/relationships"><Relationship Type="http://schemas.openxmlformats.org/officeDocument/2006/relationships/table" Target="/xl/tables/table7.xml" Id="R2bcd631582c044f6" /></Relationships>
</file>

<file path=xl/worksheets/_rels/sheet10.xml.rels>&#65279;<?xml version="1.0" encoding="utf-8"?><Relationships xmlns="http://schemas.openxmlformats.org/package/2006/relationships"><Relationship Type="http://schemas.openxmlformats.org/officeDocument/2006/relationships/table" Target="/xl/tables/table8.xml" Id="Rfd5cb39703934d88" /></Relationships>
</file>

<file path=xl/worksheets/_rels/sheet11.xml.rels>&#65279;<?xml version="1.0" encoding="utf-8"?><Relationships xmlns="http://schemas.openxmlformats.org/package/2006/relationships"><Relationship Type="http://schemas.openxmlformats.org/officeDocument/2006/relationships/table" Target="/xl/tables/table9.xml" Id="Raa00e21edc114f50" /></Relationships>
</file>

<file path=xl/worksheets/_rels/sheet13.xml.rels>&#65279;<?xml version="1.0" encoding="utf-8"?><Relationships xmlns="http://schemas.openxmlformats.org/package/2006/relationships"><Relationship Type="http://schemas.openxmlformats.org/officeDocument/2006/relationships/table" Target="/xl/tables/table10.xml" Id="R33a67fad853a407c" /></Relationships>
</file>

<file path=xl/worksheets/_rels/sheet14.xml.rels>&#65279;<?xml version="1.0" encoding="utf-8"?><Relationships xmlns="http://schemas.openxmlformats.org/package/2006/relationships"><Relationship Type="http://schemas.openxmlformats.org/officeDocument/2006/relationships/table" Target="/xl/tables/table11.xml" Id="Rc9410a30efa54d48" /></Relationships>
</file>

<file path=xl/worksheets/_rels/sheet15.xml.rels>&#65279;<?xml version="1.0" encoding="utf-8"?><Relationships xmlns="http://schemas.openxmlformats.org/package/2006/relationships"><Relationship Type="http://schemas.openxmlformats.org/officeDocument/2006/relationships/table" Target="/xl/tables/table12.xml" Id="R2b8628ab4ff84904" /></Relationships>
</file>

<file path=xl/worksheets/_rels/sheet16.xml.rels>&#65279;<?xml version="1.0" encoding="utf-8"?><Relationships xmlns="http://schemas.openxmlformats.org/package/2006/relationships"><Relationship Type="http://schemas.openxmlformats.org/officeDocument/2006/relationships/table" Target="/xl/tables/table13.xml" Id="R560fd74283774f7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0698350175b4a7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5d98eb4775c4dd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291</x:v>
      </x:c>
      <x:c r="D6" s="133" t="inlineStr">
        <x:is>
          <x:t xml:space="preserve">G0A — Corporate platform architecture ready</x:t>
        </x:is>
      </x:c>
      <x:c r="E6" s="32" t="str">
        <x:f>'03 Launch Gates'!D20</x:f>
        <x:v>Completed</x:v>
      </x:c>
      <x:c r="G6" t="inlineStr">
        <x:is>
          <x:t xml:space="preserve">UI Tasks Complete</x:t>
        </x:is>
      </x:c>
      <x:c r="H6" t="n">
        <x:f>SUM(B36:B46)</x:f>
        <x:v>69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0.7929155313351499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5</x:v>
      </x:c>
      <x:c r="C40" s="162" t="n">
        <x:f>COUNTIFS('01 Master Plan'!C$5:C$383,A40,'01 Master Plan'!H$5:H$383,"In Progress")</x:f>
        <x:v>0</x:v>
      </x:c>
      <x:c r="D40" s="162" t="n">
        <x:f>COUNTIFS('01 Master Plan'!C$5:C$383,A40,'01 Master Plan'!H$5:H$383,"Not Started")</x:f>
        <x:v>3</x:v>
      </x:c>
      <x:c r="E40" s="162" t="n">
        <x:f>COUNTIFS('01 Master Plan'!C$5:C$383,A40,'01 Master Plan'!H$5:H$383,"Blocked")</x:f>
        <x:v>2</x:v>
      </x:c>
      <x:c r="F40" s="162" t="n">
        <x:f>COUNTIFS('01 Master Plan'!C$5:C$383,A40,'01 Master Plan'!H$5:H$383,"Deferred")</x:f>
        <x:v>0</x:v>
      </x:c>
      <x:c r="G40" s="257" t="n">
        <x:f>IFERROR(B40/(B40+C40+D40+E40),0)</x:f>
        <x:v>0.5</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3ca9dbb3b94430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fc747ac1d8b4b3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64b0c2b77ef456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6d6e1677ef64d2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77767d894f343c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bcd631582c044f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d5cb39703934d88"/>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a00e21edc114f5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and 13D-06 through 13D-07 PASS/CLOSED. 13D-04 remains BLOCKED pending a stable Ask Nexus/Search destination. 13D-05 remains BLOCKED pending a safe caller-owned lifecycle mapping. Responsive shell behavior is hardened across Sidebar, AppTopbar and AppPageContext without navigation/auth/business changes. Next executable canonical task: 13D-08 Verify shell keyboard/focus/reduced-motion behavior.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3a67fad853a407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9410a30efa54d4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b8628ab4ff84904"/>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60fd74283774f7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