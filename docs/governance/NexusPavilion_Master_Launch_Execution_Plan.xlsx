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def976409d49ad" /></Relationships>
</file>

<file path=xl/workbook.xml><?xml version="1.0" encoding="utf-8"?>
<x:workbook xmlns:x="http://schemas.openxmlformats.org/spreadsheetml/2006/main">
  <x:sheets>
    <x:sheet xmlns:r="http://schemas.openxmlformats.org/officeDocument/2006/relationships" name="01 Master Plan" sheetId="1" r:id="Rf2dc5d81b10b496b"/>
    <x:sheet xmlns:r="http://schemas.openxmlformats.org/officeDocument/2006/relationships" name="03 Launch Gates" sheetId="2" r:id="R7f7cdec2c1c74b3d"/>
    <x:sheet xmlns:r="http://schemas.openxmlformats.org/officeDocument/2006/relationships" name="00 Dashboard" sheetId="3" r:id="R0d066ac075f84636"/>
    <x:sheet xmlns:r="http://schemas.openxmlformats.org/officeDocument/2006/relationships" name="04 Cursor Tasks" sheetId="4" r:id="Rbfaf822b702e4054"/>
    <x:sheet xmlns:r="http://schemas.openxmlformats.org/officeDocument/2006/relationships" name="05 UAT Matrix" sheetId="5" r:id="R10de6282914f45d8"/>
    <x:sheet xmlns:r="http://schemas.openxmlformats.org/officeDocument/2006/relationships" name="06 Security Matrix" sheetId="6" r:id="R2219b1edbcdb486b"/>
    <x:sheet xmlns:r="http://schemas.openxmlformats.org/officeDocument/2006/relationships" name="07 Risks" sheetId="7" r:id="R130076ca2dc94265"/>
    <x:sheet xmlns:r="http://schemas.openxmlformats.org/officeDocument/2006/relationships" name="08 Architecture" sheetId="8" r:id="Ra13a9afc0fbb4164"/>
    <x:sheet xmlns:r="http://schemas.openxmlformats.org/officeDocument/2006/relationships" name="09 Release Checklist" sheetId="9" r:id="R4b995fdcebe04fa8"/>
    <x:sheet xmlns:r="http://schemas.openxmlformats.org/officeDocument/2006/relationships" name="10 Change Log" sheetId="10" r:id="R148806627cf648fc"/>
    <x:sheet xmlns:r="http://schemas.openxmlformats.org/officeDocument/2006/relationships" name="11 Scope &amp; Roadmap" sheetId="11" r:id="R40775f6569914819"/>
    <x:sheet xmlns:r="http://schemas.openxmlformats.org/officeDocument/2006/relationships" name="12 How to Use" sheetId="12" r:id="Rc6de495f7f5e4b5f"/>
    <x:sheet xmlns:r="http://schemas.openxmlformats.org/officeDocument/2006/relationships" name="13 UI Program" sheetId="13" r:id="R3635f6b65a1142c4"/>
    <x:sheet xmlns:r="http://schemas.openxmlformats.org/officeDocument/2006/relationships" name="14 UI Scorecard" sheetId="14" r:id="R3c00bba23bd149a7"/>
    <x:sheet xmlns:r="http://schemas.openxmlformats.org/officeDocument/2006/relationships" name="15 Motion Guidance" sheetId="15" r:id="R334ec1d9b8f446c2"/>
    <x:sheet xmlns:r="http://schemas.openxmlformats.org/officeDocument/2006/relationships" name="16 Design Standards" sheetId="16" r:id="R04f9babad9f343c3"/>
    <x:sheet xmlns:r="http://schemas.openxmlformats.org/officeDocument/2006/relationships" name="17 Corporate Platform" sheetId="17" r:id="R6281dd864c774466"/>
    <x:sheet xmlns:r="http://schemas.openxmlformats.org/officeDocument/2006/relationships" name="18 Analytics Reuse Map" sheetId="18" r:id="R8f089ac05fea4182"/>
    <x:sheet xmlns:r="http://schemas.openxmlformats.org/officeDocument/2006/relationships" name="19 Executive Insights Discovery" sheetId="19" r:id="Rcd28c801a5224ec5"/>
    <x:sheet xmlns:r="http://schemas.openxmlformats.org/officeDocument/2006/relationships" name="20 Procurement Insights Discovery" sheetId="20" r:id="Rad56d6450e364758"/>
    <x:sheet xmlns:r="http://schemas.openxmlformats.org/officeDocument/2006/relationships" name="21 Commercial Insights Discovery" sheetId="21" r:id="R6547306cb57440b5"/>
    <x:sheet xmlns:r="http://schemas.openxmlformats.org/officeDocument/2006/relationships" name="22 Project Insights Discovery" sheetId="22" r:id="R6b9ad1f0fada4448"/>
    <x:sheet xmlns:r="http://schemas.openxmlformats.org/officeDocument/2006/relationships" name="23 Performance Discovery" sheetId="23" r:id="Re3c2458ecd694526"/>
    <x:sheet xmlns:r="http://schemas.openxmlformats.org/officeDocument/2006/relationships" name="24 Risk Compliance Discovery" sheetId="24" r:id="Refae1373729e415e"/>
    <x:sheet xmlns:r="http://schemas.openxmlformats.org/officeDocument/2006/relationships" name="25 Commercial Handoff" sheetId="25" r:id="R77af27daf38749ce"/>
    <x:sheet xmlns:r="http://schemas.openxmlformats.org/officeDocument/2006/relationships" name="26 RFQ Governance" sheetId="26" r:id="R99dfbfc8386a42a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0ce9a0946fa4e24" /><Relationship Type="http://schemas.openxmlformats.org/officeDocument/2006/relationships/theme" Target="/xl/theme/theme1.xml" Id="R3620b12e418f4383" /><Relationship Type="http://schemas.openxmlformats.org/officeDocument/2006/relationships/sharedStrings" Target="/xl/sharedStrings.xml" Id="Rf7d5b684c4e04f15" /><Relationship Type="http://schemas.openxmlformats.org/officeDocument/2006/relationships/worksheet" Target="/xl/worksheets/sheet1.xml" Id="Rf2dc5d81b10b496b" /><Relationship Type="http://schemas.openxmlformats.org/officeDocument/2006/relationships/worksheet" Target="/xl/worksheets/sheet2.xml" Id="R7f7cdec2c1c74b3d" /><Relationship Type="http://schemas.openxmlformats.org/officeDocument/2006/relationships/worksheet" Target="/xl/worksheets/sheet3.xml" Id="R0d066ac075f84636" /><Relationship Type="http://schemas.openxmlformats.org/officeDocument/2006/relationships/worksheet" Target="/xl/worksheets/sheet4.xml" Id="Rbfaf822b702e4054" /><Relationship Type="http://schemas.openxmlformats.org/officeDocument/2006/relationships/worksheet" Target="/xl/worksheets/sheet5.xml" Id="R10de6282914f45d8" /><Relationship Type="http://schemas.openxmlformats.org/officeDocument/2006/relationships/worksheet" Target="/xl/worksheets/sheet6.xml" Id="R2219b1edbcdb486b" /><Relationship Type="http://schemas.openxmlformats.org/officeDocument/2006/relationships/worksheet" Target="/xl/worksheets/sheet7.xml" Id="R130076ca2dc94265" /><Relationship Type="http://schemas.openxmlformats.org/officeDocument/2006/relationships/worksheet" Target="/xl/worksheets/sheet8.xml" Id="Ra13a9afc0fbb4164" /><Relationship Type="http://schemas.openxmlformats.org/officeDocument/2006/relationships/worksheet" Target="/xl/worksheets/sheet9.xml" Id="R4b995fdcebe04fa8" /><Relationship Type="http://schemas.openxmlformats.org/officeDocument/2006/relationships/worksheet" Target="/xl/worksheets/sheet10.xml" Id="R148806627cf648fc" /><Relationship Type="http://schemas.openxmlformats.org/officeDocument/2006/relationships/worksheet" Target="/xl/worksheets/sheet11.xml" Id="R40775f6569914819" /><Relationship Type="http://schemas.openxmlformats.org/officeDocument/2006/relationships/worksheet" Target="/xl/worksheets/sheet12.xml" Id="Rc6de495f7f5e4b5f" /><Relationship Type="http://schemas.openxmlformats.org/officeDocument/2006/relationships/worksheet" Target="/xl/worksheets/sheet13.xml" Id="R3635f6b65a1142c4" /><Relationship Type="http://schemas.openxmlformats.org/officeDocument/2006/relationships/worksheet" Target="/xl/worksheets/sheet14.xml" Id="R3c00bba23bd149a7" /><Relationship Type="http://schemas.openxmlformats.org/officeDocument/2006/relationships/worksheet" Target="/xl/worksheets/sheet15.xml" Id="R334ec1d9b8f446c2" /><Relationship Type="http://schemas.openxmlformats.org/officeDocument/2006/relationships/worksheet" Target="/xl/worksheets/sheet16.xml" Id="R04f9babad9f343c3" /><Relationship Type="http://schemas.openxmlformats.org/officeDocument/2006/relationships/worksheet" Target="/xl/worksheets/sheet17.xml" Id="R6281dd864c774466" /><Relationship Type="http://schemas.openxmlformats.org/officeDocument/2006/relationships/worksheet" Target="/xl/worksheets/sheet18.xml" Id="R8f089ac05fea4182" /><Relationship Type="http://schemas.openxmlformats.org/officeDocument/2006/relationships/worksheet" Target="/xl/worksheets/sheet19.xml" Id="Rcd28c801a5224ec5" /><Relationship Type="http://schemas.openxmlformats.org/officeDocument/2006/relationships/worksheet" Target="/xl/worksheets/sheet20.xml" Id="Rad56d6450e364758" /><Relationship Type="http://schemas.openxmlformats.org/officeDocument/2006/relationships/worksheet" Target="/xl/worksheets/sheet21.xml" Id="R6547306cb57440b5" /><Relationship Type="http://schemas.openxmlformats.org/officeDocument/2006/relationships/worksheet" Target="/xl/worksheets/sheet22.xml" Id="R6b9ad1f0fada4448" /><Relationship Type="http://schemas.openxmlformats.org/officeDocument/2006/relationships/worksheet" Target="/xl/worksheets/sheet23.xml" Id="Re3c2458ecd694526" /><Relationship Type="http://schemas.openxmlformats.org/officeDocument/2006/relationships/worksheet" Target="/xl/worksheets/sheet24.xml" Id="Refae1373729e415e" /><Relationship Type="http://schemas.openxmlformats.org/officeDocument/2006/relationships/worksheet" Target="/xl/worksheets/sheet25.xml" Id="R77af27daf38749ce" /><Relationship Type="http://schemas.openxmlformats.org/officeDocument/2006/relationships/worksheet" Target="/xl/worksheets/sheet26.xml" Id="R99dfbfc8386a42a5" /></Relationships>
</file>

<file path=xl/drawings/_rels/drawing1.xml.rels>&#65279;<?xml version="1.0" encoding="utf-8"?><Relationships xmlns="http://schemas.openxmlformats.org/package/2006/relationships"><Relationship Type="http://schemas.openxmlformats.org/officeDocument/2006/relationships/chart" Target="/xl/drawings/charts/chart1.xml" Id="Ra356bdcc0083452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56bdcc0083452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fc1105e93794ad6" /></Relationships>
</file>

<file path=xl/worksheets/_rels/sheet2.xml.rels>&#65279;<?xml version="1.0" encoding="utf-8"?><Relationships xmlns="http://schemas.openxmlformats.org/package/2006/relationships"><Relationship Type="http://schemas.openxmlformats.org/officeDocument/2006/relationships/table" Target="/xl/tables/table2.xml" Id="Ra18c544b042345fb" /></Relationships>
</file>

<file path=xl/worksheets/_rels/sheet3.xml.rels>&#65279;<?xml version="1.0" encoding="utf-8"?><Relationships xmlns="http://schemas.openxmlformats.org/package/2006/relationships"><Relationship Type="http://schemas.openxmlformats.org/officeDocument/2006/relationships/drawing" Target="/xl/drawings/drawing1.xml" Id="Rb567fecff0794936" /></Relationships>
</file>

<file path=xl/worksheets/_rels/sheet4.xml.rels>&#65279;<?xml version="1.0" encoding="utf-8"?><Relationships xmlns="http://schemas.openxmlformats.org/package/2006/relationships"><Relationship Type="http://schemas.openxmlformats.org/officeDocument/2006/relationships/table" Target="/xl/tables/table3.xml" Id="R20d2d8300d3a4ce8" /></Relationships>
</file>

<file path=xl/worksheets/_rels/sheet5.xml.rels>&#65279;<?xml version="1.0" encoding="utf-8"?><Relationships xmlns="http://schemas.openxmlformats.org/package/2006/relationships"><Relationship Type="http://schemas.openxmlformats.org/officeDocument/2006/relationships/table" Target="/xl/tables/table4.xml" Id="R974cbe31219544c0" /></Relationships>
</file>

<file path=xl/worksheets/_rels/sheet6.xml.rels>&#65279;<?xml version="1.0" encoding="utf-8"?><Relationships xmlns="http://schemas.openxmlformats.org/package/2006/relationships"><Relationship Type="http://schemas.openxmlformats.org/officeDocument/2006/relationships/table" Target="/xl/tables/table5.xml" Id="R6e28a41e74444dbb" /></Relationships>
</file>

<file path=xl/worksheets/_rels/sheet7.xml.rels>&#65279;<?xml version="1.0" encoding="utf-8"?><Relationships xmlns="http://schemas.openxmlformats.org/package/2006/relationships"><Relationship Type="http://schemas.openxmlformats.org/officeDocument/2006/relationships/table" Target="/xl/tables/table6.xml" Id="R46ecb986c2d647db" /></Relationships>
</file>

<file path=xl/worksheets/_rels/sheet9.xml.rels>&#65279;<?xml version="1.0" encoding="utf-8"?><Relationships xmlns="http://schemas.openxmlformats.org/package/2006/relationships"><Relationship Type="http://schemas.openxmlformats.org/officeDocument/2006/relationships/table" Target="/xl/tables/table7.xml" Id="Ra78bd3ed3ce14da9" /></Relationships>
</file>

<file path=xl/worksheets/_rels/sheet10.xml.rels>&#65279;<?xml version="1.0" encoding="utf-8"?><Relationships xmlns="http://schemas.openxmlformats.org/package/2006/relationships"><Relationship Type="http://schemas.openxmlformats.org/officeDocument/2006/relationships/table" Target="/xl/tables/table8.xml" Id="R4940b08609434171" /></Relationships>
</file>

<file path=xl/worksheets/_rels/sheet11.xml.rels>&#65279;<?xml version="1.0" encoding="utf-8"?><Relationships xmlns="http://schemas.openxmlformats.org/package/2006/relationships"><Relationship Type="http://schemas.openxmlformats.org/officeDocument/2006/relationships/table" Target="/xl/tables/table9.xml" Id="R885be396c2f44d84" /></Relationships>
</file>

<file path=xl/worksheets/_rels/sheet13.xml.rels>&#65279;<?xml version="1.0" encoding="utf-8"?><Relationships xmlns="http://schemas.openxmlformats.org/package/2006/relationships"><Relationship Type="http://schemas.openxmlformats.org/officeDocument/2006/relationships/table" Target="/xl/tables/table10.xml" Id="R674f40436aa54d13" /></Relationships>
</file>

<file path=xl/worksheets/_rels/sheet14.xml.rels>&#65279;<?xml version="1.0" encoding="utf-8"?><Relationships xmlns="http://schemas.openxmlformats.org/package/2006/relationships"><Relationship Type="http://schemas.openxmlformats.org/officeDocument/2006/relationships/table" Target="/xl/tables/table11.xml" Id="R346c8ceae45b4d10" /></Relationships>
</file>

<file path=xl/worksheets/_rels/sheet15.xml.rels>&#65279;<?xml version="1.0" encoding="utf-8"?><Relationships xmlns="http://schemas.openxmlformats.org/package/2006/relationships"><Relationship Type="http://schemas.openxmlformats.org/officeDocument/2006/relationships/table" Target="/xl/tables/table12.xml" Id="Rb12df185ef954507" /></Relationships>
</file>

<file path=xl/worksheets/_rels/sheet16.xml.rels>&#65279;<?xml version="1.0" encoding="utf-8"?><Relationships xmlns="http://schemas.openxmlformats.org/package/2006/relationships"><Relationship Type="http://schemas.openxmlformats.org/officeDocument/2006/relationships/table" Target="/xl/tables/table13.xml" Id="R666551c86de14ab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fc1105e93794ad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a18c544b042345f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289</x:v>
      </x:c>
      <x:c r="D6" s="133" t="inlineStr">
        <x:is>
          <x:t xml:space="preserve">G0A — Corporate platform architecture ready</x:t>
        </x:is>
      </x:c>
      <x:c r="E6" s="32" t="str">
        <x:f>'03 Launch Gates'!D20</x:f>
        <x:v>Completed</x:v>
      </x:c>
      <x:c r="G6" t="inlineStr">
        <x:is>
          <x:t xml:space="preserve">UI Tasks Complete</x:t>
        </x:is>
      </x:c>
      <x:c r="H6" t="n">
        <x:f>SUM(B36:B46)</x:f>
        <x:v>67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2</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0.7874659400544959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3</x:v>
      </x:c>
      <x:c r="C40" s="162" t="n">
        <x:f>COUNTIFS('01 Master Plan'!C$5:C$383,A40,'01 Master Plan'!H$5:H$383,"In Progress")</x:f>
        <x:v>0</x:v>
      </x:c>
      <x:c r="D40" s="162" t="n">
        <x:f>COUNTIFS('01 Master Plan'!C$5:C$383,A40,'01 Master Plan'!H$5:H$383,"Not Started")</x:f>
        <x:v>5</x:v>
      </x:c>
      <x:c r="E40" s="162" t="n">
        <x:f>COUNTIFS('01 Master Plan'!C$5:C$383,A40,'01 Master Plan'!H$5:H$383,"Blocked")</x:f>
        <x:v>2</x:v>
      </x:c>
      <x:c r="F40" s="162" t="n">
        <x:f>COUNTIFS('01 Master Plan'!C$5:C$383,A40,'01 Master Plan'!H$5:H$383,"Deferred")</x:f>
        <x:v>0</x:v>
      </x:c>
      <x:c r="G40" s="257" t="n">
        <x:f>IFERROR(B40/(B40+C40+D40+E40),0)</x:f>
        <x:v>0.3</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567fecff079493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0d2d8300d3a4ce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74cbe31219544c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e28a41e74444db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6ecb986c2d647d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78bd3ed3ce14da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940b08609434171"/>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885be396c2f44d8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PASS/CLOSED. 13D-04 BLOCKED pending a stable Ask Nexus/Search destination. 13D-05 BLOCKED because no safe caller-owned issuer/respondent lifecycle mapping currently matches ExecutiveWorkflowStepper semantics without inventing stage state or losing lock/watch meaning. Next executable canonical task: 13D-06 Implement compact authenticated enterprise footer.</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74f40436aa54d1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46c8ceae45b4d1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12df185ef95450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66551c86de14ab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