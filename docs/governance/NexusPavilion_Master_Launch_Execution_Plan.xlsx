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a1724d2144e4f07" /></Relationships>
</file>

<file path=xl/workbook.xml><?xml version="1.0" encoding="utf-8"?>
<x:workbook xmlns:x="http://schemas.openxmlformats.org/spreadsheetml/2006/main">
  <x:sheets>
    <x:sheet xmlns:r="http://schemas.openxmlformats.org/officeDocument/2006/relationships" name="01 Master Plan" sheetId="1" r:id="R3a15b325440743f6"/>
    <x:sheet xmlns:r="http://schemas.openxmlformats.org/officeDocument/2006/relationships" name="03 Launch Gates" sheetId="2" r:id="Rdbbb98e1674946e0"/>
    <x:sheet xmlns:r="http://schemas.openxmlformats.org/officeDocument/2006/relationships" name="00 Dashboard" sheetId="3" r:id="R8b72156353464cb9"/>
    <x:sheet xmlns:r="http://schemas.openxmlformats.org/officeDocument/2006/relationships" name="04 Cursor Tasks" sheetId="4" r:id="Rc093fe43a4de4f8e"/>
    <x:sheet xmlns:r="http://schemas.openxmlformats.org/officeDocument/2006/relationships" name="05 UAT Matrix" sheetId="5" r:id="R54b6f67aea1a4cab"/>
    <x:sheet xmlns:r="http://schemas.openxmlformats.org/officeDocument/2006/relationships" name="06 Security Matrix" sheetId="6" r:id="Ra01699ef85b247f8"/>
    <x:sheet xmlns:r="http://schemas.openxmlformats.org/officeDocument/2006/relationships" name="07 Risks" sheetId="7" r:id="R9d251edefc904430"/>
    <x:sheet xmlns:r="http://schemas.openxmlformats.org/officeDocument/2006/relationships" name="08 Architecture" sheetId="8" r:id="Rf9c6f63b60b44a48"/>
    <x:sheet xmlns:r="http://schemas.openxmlformats.org/officeDocument/2006/relationships" name="09 Release Checklist" sheetId="9" r:id="R0d5191fcadbf493b"/>
    <x:sheet xmlns:r="http://schemas.openxmlformats.org/officeDocument/2006/relationships" name="10 Change Log" sheetId="10" r:id="R0ef79e0a8a8e42be"/>
    <x:sheet xmlns:r="http://schemas.openxmlformats.org/officeDocument/2006/relationships" name="11 Scope &amp; Roadmap" sheetId="11" r:id="Re195433202dd4026"/>
    <x:sheet xmlns:r="http://schemas.openxmlformats.org/officeDocument/2006/relationships" name="12 How to Use" sheetId="12" r:id="Re431e49cbd6d4052"/>
    <x:sheet xmlns:r="http://schemas.openxmlformats.org/officeDocument/2006/relationships" name="13 UI Program" sheetId="13" r:id="R44c62392f7914771"/>
    <x:sheet xmlns:r="http://schemas.openxmlformats.org/officeDocument/2006/relationships" name="14 UI Scorecard" sheetId="14" r:id="R7e79de2874ac48c2"/>
    <x:sheet xmlns:r="http://schemas.openxmlformats.org/officeDocument/2006/relationships" name="15 Motion Guidance" sheetId="15" r:id="R5929a8717c644139"/>
    <x:sheet xmlns:r="http://schemas.openxmlformats.org/officeDocument/2006/relationships" name="16 Design Standards" sheetId="16" r:id="Rcc31bc5a6bc645f2"/>
    <x:sheet xmlns:r="http://schemas.openxmlformats.org/officeDocument/2006/relationships" name="17 Corporate Platform" sheetId="17" r:id="R2fa71321e28e4961"/>
    <x:sheet xmlns:r="http://schemas.openxmlformats.org/officeDocument/2006/relationships" name="18 Analytics Reuse Map" sheetId="18" r:id="R4ec294130d114a95"/>
    <x:sheet xmlns:r="http://schemas.openxmlformats.org/officeDocument/2006/relationships" name="19 Executive Insights Discovery" sheetId="19" r:id="Rca939db60d514331"/>
    <x:sheet xmlns:r="http://schemas.openxmlformats.org/officeDocument/2006/relationships" name="20 Procurement Insights Discovery" sheetId="20" r:id="R57dcce7c008f42d0"/>
    <x:sheet xmlns:r="http://schemas.openxmlformats.org/officeDocument/2006/relationships" name="21 Commercial Insights Discovery" sheetId="21" r:id="R28a5e85dd70849d1"/>
    <x:sheet xmlns:r="http://schemas.openxmlformats.org/officeDocument/2006/relationships" name="22 Project Insights Discovery" sheetId="22" r:id="R13ee15be8a444b26"/>
    <x:sheet xmlns:r="http://schemas.openxmlformats.org/officeDocument/2006/relationships" name="23 Performance Discovery" sheetId="23" r:id="Ref0c46cfede5426b"/>
    <x:sheet xmlns:r="http://schemas.openxmlformats.org/officeDocument/2006/relationships" name="24 Risk Compliance Discovery" sheetId="24" r:id="R201951a50f7f4448"/>
    <x:sheet xmlns:r="http://schemas.openxmlformats.org/officeDocument/2006/relationships" name="25 Commercial Handoff" sheetId="25" r:id="Rc0f3132e3e6f4a7f"/>
    <x:sheet xmlns:r="http://schemas.openxmlformats.org/officeDocument/2006/relationships" name="26 RFQ Governance" sheetId="26" r:id="R6edf94f8405f47d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a3a976109e2411b" /><Relationship Type="http://schemas.openxmlformats.org/officeDocument/2006/relationships/theme" Target="/xl/theme/theme1.xml" Id="R071fc303b7054af6" /><Relationship Type="http://schemas.openxmlformats.org/officeDocument/2006/relationships/sharedStrings" Target="/xl/sharedStrings.xml" Id="Rb2ccaaf0ff784b5e" /><Relationship Type="http://schemas.openxmlformats.org/officeDocument/2006/relationships/worksheet" Target="/xl/worksheets/sheet1.xml" Id="R3a15b325440743f6" /><Relationship Type="http://schemas.openxmlformats.org/officeDocument/2006/relationships/worksheet" Target="/xl/worksheets/sheet2.xml" Id="Rdbbb98e1674946e0" /><Relationship Type="http://schemas.openxmlformats.org/officeDocument/2006/relationships/worksheet" Target="/xl/worksheets/sheet3.xml" Id="R8b72156353464cb9" /><Relationship Type="http://schemas.openxmlformats.org/officeDocument/2006/relationships/worksheet" Target="/xl/worksheets/sheet4.xml" Id="Rc093fe43a4de4f8e" /><Relationship Type="http://schemas.openxmlformats.org/officeDocument/2006/relationships/worksheet" Target="/xl/worksheets/sheet5.xml" Id="R54b6f67aea1a4cab" /><Relationship Type="http://schemas.openxmlformats.org/officeDocument/2006/relationships/worksheet" Target="/xl/worksheets/sheet6.xml" Id="Ra01699ef85b247f8" /><Relationship Type="http://schemas.openxmlformats.org/officeDocument/2006/relationships/worksheet" Target="/xl/worksheets/sheet7.xml" Id="R9d251edefc904430" /><Relationship Type="http://schemas.openxmlformats.org/officeDocument/2006/relationships/worksheet" Target="/xl/worksheets/sheet8.xml" Id="Rf9c6f63b60b44a48" /><Relationship Type="http://schemas.openxmlformats.org/officeDocument/2006/relationships/worksheet" Target="/xl/worksheets/sheet9.xml" Id="R0d5191fcadbf493b" /><Relationship Type="http://schemas.openxmlformats.org/officeDocument/2006/relationships/worksheet" Target="/xl/worksheets/sheet10.xml" Id="R0ef79e0a8a8e42be" /><Relationship Type="http://schemas.openxmlformats.org/officeDocument/2006/relationships/worksheet" Target="/xl/worksheets/sheet11.xml" Id="Re195433202dd4026" /><Relationship Type="http://schemas.openxmlformats.org/officeDocument/2006/relationships/worksheet" Target="/xl/worksheets/sheet12.xml" Id="Re431e49cbd6d4052" /><Relationship Type="http://schemas.openxmlformats.org/officeDocument/2006/relationships/worksheet" Target="/xl/worksheets/sheet13.xml" Id="R44c62392f7914771" /><Relationship Type="http://schemas.openxmlformats.org/officeDocument/2006/relationships/worksheet" Target="/xl/worksheets/sheet14.xml" Id="R7e79de2874ac48c2" /><Relationship Type="http://schemas.openxmlformats.org/officeDocument/2006/relationships/worksheet" Target="/xl/worksheets/sheet15.xml" Id="R5929a8717c644139" /><Relationship Type="http://schemas.openxmlformats.org/officeDocument/2006/relationships/worksheet" Target="/xl/worksheets/sheet16.xml" Id="Rcc31bc5a6bc645f2" /><Relationship Type="http://schemas.openxmlformats.org/officeDocument/2006/relationships/worksheet" Target="/xl/worksheets/sheet17.xml" Id="R2fa71321e28e4961" /><Relationship Type="http://schemas.openxmlformats.org/officeDocument/2006/relationships/worksheet" Target="/xl/worksheets/sheet18.xml" Id="R4ec294130d114a95" /><Relationship Type="http://schemas.openxmlformats.org/officeDocument/2006/relationships/worksheet" Target="/xl/worksheets/sheet19.xml" Id="Rca939db60d514331" /><Relationship Type="http://schemas.openxmlformats.org/officeDocument/2006/relationships/worksheet" Target="/xl/worksheets/sheet20.xml" Id="R57dcce7c008f42d0" /><Relationship Type="http://schemas.openxmlformats.org/officeDocument/2006/relationships/worksheet" Target="/xl/worksheets/sheet21.xml" Id="R28a5e85dd70849d1" /><Relationship Type="http://schemas.openxmlformats.org/officeDocument/2006/relationships/worksheet" Target="/xl/worksheets/sheet22.xml" Id="R13ee15be8a444b26" /><Relationship Type="http://schemas.openxmlformats.org/officeDocument/2006/relationships/worksheet" Target="/xl/worksheets/sheet23.xml" Id="Ref0c46cfede5426b" /><Relationship Type="http://schemas.openxmlformats.org/officeDocument/2006/relationships/worksheet" Target="/xl/worksheets/sheet24.xml" Id="R201951a50f7f4448" /><Relationship Type="http://schemas.openxmlformats.org/officeDocument/2006/relationships/worksheet" Target="/xl/worksheets/sheet25.xml" Id="Rc0f3132e3e6f4a7f" /><Relationship Type="http://schemas.openxmlformats.org/officeDocument/2006/relationships/worksheet" Target="/xl/worksheets/sheet26.xml" Id="R6edf94f8405f47da" /></Relationships>
</file>

<file path=xl/drawings/_rels/drawing1.xml.rels>&#65279;<?xml version="1.0" encoding="utf-8"?><Relationships xmlns="http://schemas.openxmlformats.org/package/2006/relationships"><Relationship Type="http://schemas.openxmlformats.org/officeDocument/2006/relationships/chart" Target="/xl/drawings/charts/chart1.xml" Id="R79ead8ae85104158"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9ead8ae85104158"/>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488da3e35284965" /></Relationships>
</file>

<file path=xl/worksheets/_rels/sheet2.xml.rels>&#65279;<?xml version="1.0" encoding="utf-8"?><Relationships xmlns="http://schemas.openxmlformats.org/package/2006/relationships"><Relationship Type="http://schemas.openxmlformats.org/officeDocument/2006/relationships/table" Target="/xl/tables/table2.xml" Id="R548a07c7dd254af7" /></Relationships>
</file>

<file path=xl/worksheets/_rels/sheet3.xml.rels>&#65279;<?xml version="1.0" encoding="utf-8"?><Relationships xmlns="http://schemas.openxmlformats.org/package/2006/relationships"><Relationship Type="http://schemas.openxmlformats.org/officeDocument/2006/relationships/drawing" Target="/xl/drawings/drawing1.xml" Id="Ra7cf14670f394e67" /></Relationships>
</file>

<file path=xl/worksheets/_rels/sheet4.xml.rels>&#65279;<?xml version="1.0" encoding="utf-8"?><Relationships xmlns="http://schemas.openxmlformats.org/package/2006/relationships"><Relationship Type="http://schemas.openxmlformats.org/officeDocument/2006/relationships/table" Target="/xl/tables/table3.xml" Id="R897ca94ce3ad47d8" /></Relationships>
</file>

<file path=xl/worksheets/_rels/sheet5.xml.rels>&#65279;<?xml version="1.0" encoding="utf-8"?><Relationships xmlns="http://schemas.openxmlformats.org/package/2006/relationships"><Relationship Type="http://schemas.openxmlformats.org/officeDocument/2006/relationships/table" Target="/xl/tables/table4.xml" Id="R0e01a18cfa1e4ca9" /></Relationships>
</file>

<file path=xl/worksheets/_rels/sheet6.xml.rels>&#65279;<?xml version="1.0" encoding="utf-8"?><Relationships xmlns="http://schemas.openxmlformats.org/package/2006/relationships"><Relationship Type="http://schemas.openxmlformats.org/officeDocument/2006/relationships/table" Target="/xl/tables/table5.xml" Id="Raf32f8f79b434f23" /></Relationships>
</file>

<file path=xl/worksheets/_rels/sheet7.xml.rels>&#65279;<?xml version="1.0" encoding="utf-8"?><Relationships xmlns="http://schemas.openxmlformats.org/package/2006/relationships"><Relationship Type="http://schemas.openxmlformats.org/officeDocument/2006/relationships/table" Target="/xl/tables/table6.xml" Id="Recbc394178b54982" /></Relationships>
</file>

<file path=xl/worksheets/_rels/sheet9.xml.rels>&#65279;<?xml version="1.0" encoding="utf-8"?><Relationships xmlns="http://schemas.openxmlformats.org/package/2006/relationships"><Relationship Type="http://schemas.openxmlformats.org/officeDocument/2006/relationships/table" Target="/xl/tables/table7.xml" Id="R13dce5ae7c134830" /></Relationships>
</file>

<file path=xl/worksheets/_rels/sheet10.xml.rels>&#65279;<?xml version="1.0" encoding="utf-8"?><Relationships xmlns="http://schemas.openxmlformats.org/package/2006/relationships"><Relationship Type="http://schemas.openxmlformats.org/officeDocument/2006/relationships/table" Target="/xl/tables/table8.xml" Id="Ra2f959684c554035" /></Relationships>
</file>

<file path=xl/worksheets/_rels/sheet11.xml.rels>&#65279;<?xml version="1.0" encoding="utf-8"?><Relationships xmlns="http://schemas.openxmlformats.org/package/2006/relationships"><Relationship Type="http://schemas.openxmlformats.org/officeDocument/2006/relationships/table" Target="/xl/tables/table9.xml" Id="R7ba580eb67b84aec" /></Relationships>
</file>

<file path=xl/worksheets/_rels/sheet13.xml.rels>&#65279;<?xml version="1.0" encoding="utf-8"?><Relationships xmlns="http://schemas.openxmlformats.org/package/2006/relationships"><Relationship Type="http://schemas.openxmlformats.org/officeDocument/2006/relationships/table" Target="/xl/tables/table10.xml" Id="Rf993030307c84598" /></Relationships>
</file>

<file path=xl/worksheets/_rels/sheet14.xml.rels>&#65279;<?xml version="1.0" encoding="utf-8"?><Relationships xmlns="http://schemas.openxmlformats.org/package/2006/relationships"><Relationship Type="http://schemas.openxmlformats.org/officeDocument/2006/relationships/table" Target="/xl/tables/table11.xml" Id="Rbc0889b542f3415d" /></Relationships>
</file>

<file path=xl/worksheets/_rels/sheet15.xml.rels>&#65279;<?xml version="1.0" encoding="utf-8"?><Relationships xmlns="http://schemas.openxmlformats.org/package/2006/relationships"><Relationship Type="http://schemas.openxmlformats.org/officeDocument/2006/relationships/table" Target="/xl/tables/table12.xml" Id="Rc30e0a8501794eec" /></Relationships>
</file>

<file path=xl/worksheets/_rels/sheet16.xml.rels>&#65279;<?xml version="1.0" encoding="utf-8"?><Relationships xmlns="http://schemas.openxmlformats.org/package/2006/relationships"><Relationship Type="http://schemas.openxmlformats.org/officeDocument/2006/relationships/table" Target="/xl/tables/table13.xml" Id="R7c4734fa86734f21"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488da3e35284965"/>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548a07c7dd254af7"/>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268</x:v>
      </x:c>
      <x:c r="D6" s="133" t="inlineStr">
        <x:is>
          <x:t xml:space="preserve">G0A — Corporate platform architecture ready</x:t>
        </x:is>
      </x:c>
      <x:c r="E6" s="32" t="str">
        <x:f>'03 Launch Gates'!D20</x:f>
        <x:v>Completed</x:v>
      </x:c>
      <x:c r="G6" t="inlineStr">
        <x:is>
          <x:t xml:space="preserve">UI Tasks Complete</x:t>
        </x:is>
      </x:c>
      <x:c r="H6" t="n">
        <x:f>SUM(B36:B46)</x:f>
        <x:v>46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0.7302452316076294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0.7527272727272727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11</x:v>
      </x:c>
      <x:c r="C37" s="133" t="n">
        <x:f>COUNTIFS('01 Master Plan'!C$5:C$383,A37,'01 Master Plan'!H$5:H$383,"In Progress")</x:f>
        <x:v>0</x:v>
      </x:c>
      <x:c r="D37" s="133" t="n">
        <x:f>COUNTIFS('01 Master Plan'!C$5:C$383,A37,'01 Master Plan'!H$5:H$383,"Not Started")</x:f>
        <x:v>1</x:v>
      </x:c>
      <x:c r="E37" s="133" t="n">
        <x:f>COUNTIFS('01 Master Plan'!C$5:C$383,A37,'01 Master Plan'!H$5:H$383,"Blocked")</x:f>
        <x:v>0</x:v>
      </x:c>
      <x:c r="F37" s="133" t="n">
        <x:f>COUNTIFS('01 Master Plan'!C$5:C$383,A37,'01 Master Plan'!H$5:H$383,"Deferred")</x:f>
        <x:v>0</x:v>
      </x:c>
      <x:c r="G37" s="255" t="n">
        <x:f>IFERROR(B37/(B37+C37+D37+E37),0)</x:f>
        <x:v>0.9166666666666666</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7cf14670f394e67"/>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897ca94ce3ad47d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e01a18cfa1e4ca9"/>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af32f8f79b434f23"/>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ecbc394178b54982"/>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13dce5ae7c134830"/>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a2f959684c554035"/>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7ba580eb67b84aec"/>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U1 IN PROGRESS — 13B-01 through 13B-11 complete. Dark design-system foundation now includes semantic colors, theme compatibility, typography, spacing/grid, surfaces/depth, status palette, Nexus Intelligence language, interaction states, motion durations/easing/reduced motion, and canonical dark-surface logo treatment. Next: 13B-12 design-system foundation review.</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f993030307c84598"/>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bc0889b542f3415d"/>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c30e0a8501794eec"/>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c4734fa86734f21"/>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