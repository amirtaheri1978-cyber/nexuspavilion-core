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dda7e5312b4b4cd3" /></Relationships>
</file>

<file path=xl/workbook.xml><?xml version="1.0" encoding="utf-8"?>
<x:workbook xmlns:x="http://schemas.openxmlformats.org/spreadsheetml/2006/main">
  <x:sheets>
    <x:sheet xmlns:r="http://schemas.openxmlformats.org/officeDocument/2006/relationships" name="01 Master Plan" sheetId="1" r:id="R24c9b11483614e65"/>
    <x:sheet xmlns:r="http://schemas.openxmlformats.org/officeDocument/2006/relationships" name="03 Launch Gates" sheetId="2" r:id="R6fd998da909a4769"/>
    <x:sheet xmlns:r="http://schemas.openxmlformats.org/officeDocument/2006/relationships" name="00 Dashboard" sheetId="3" r:id="Rcab238a49d714911"/>
    <x:sheet xmlns:r="http://schemas.openxmlformats.org/officeDocument/2006/relationships" name="04 Cursor Tasks" sheetId="4" r:id="R269296624f9e4c99"/>
    <x:sheet xmlns:r="http://schemas.openxmlformats.org/officeDocument/2006/relationships" name="05 UAT Matrix" sheetId="5" r:id="R322a05bf1f144b5c"/>
    <x:sheet xmlns:r="http://schemas.openxmlformats.org/officeDocument/2006/relationships" name="06 Security Matrix" sheetId="6" r:id="R5576766d27e249e8"/>
    <x:sheet xmlns:r="http://schemas.openxmlformats.org/officeDocument/2006/relationships" name="07 Risks" sheetId="7" r:id="R1048b8f3aa614304"/>
    <x:sheet xmlns:r="http://schemas.openxmlformats.org/officeDocument/2006/relationships" name="08 Architecture" sheetId="8" r:id="Rab721f94227a42e3"/>
    <x:sheet xmlns:r="http://schemas.openxmlformats.org/officeDocument/2006/relationships" name="09 Release Checklist" sheetId="9" r:id="R6c004b25f3534202"/>
    <x:sheet xmlns:r="http://schemas.openxmlformats.org/officeDocument/2006/relationships" name="10 Change Log" sheetId="10" r:id="Rd694618ed60a41ac"/>
    <x:sheet xmlns:r="http://schemas.openxmlformats.org/officeDocument/2006/relationships" name="11 Scope &amp; Roadmap" sheetId="11" r:id="R3869d5432ebe4452"/>
    <x:sheet xmlns:r="http://schemas.openxmlformats.org/officeDocument/2006/relationships" name="12 How to Use" sheetId="12" r:id="Rd6178dc851584e27"/>
    <x:sheet xmlns:r="http://schemas.openxmlformats.org/officeDocument/2006/relationships" name="13 UI Program" sheetId="13" r:id="R1063738808084b69"/>
    <x:sheet xmlns:r="http://schemas.openxmlformats.org/officeDocument/2006/relationships" name="14 UI Scorecard" sheetId="14" r:id="R7fc4426e126a42b9"/>
    <x:sheet xmlns:r="http://schemas.openxmlformats.org/officeDocument/2006/relationships" name="15 Motion Guidance" sheetId="15" r:id="R9c60f1fda4524868"/>
    <x:sheet xmlns:r="http://schemas.openxmlformats.org/officeDocument/2006/relationships" name="16 Design Standards" sheetId="16" r:id="R73ad9dffff474fb5"/>
    <x:sheet xmlns:r="http://schemas.openxmlformats.org/officeDocument/2006/relationships" name="17 Corporate Platform" sheetId="17" r:id="Rd6b19ae7abb74d8b"/>
    <x:sheet xmlns:r="http://schemas.openxmlformats.org/officeDocument/2006/relationships" name="18 Analytics Reuse Map" sheetId="18" r:id="Rfbdc207977f94b29"/>
    <x:sheet xmlns:r="http://schemas.openxmlformats.org/officeDocument/2006/relationships" name="19 Executive Insights Discovery" sheetId="19" r:id="R28a87165ca634085"/>
    <x:sheet xmlns:r="http://schemas.openxmlformats.org/officeDocument/2006/relationships" name="20 Procurement Insights Discovery" sheetId="20" r:id="Rb8fabca0c5e44ec4"/>
    <x:sheet xmlns:r="http://schemas.openxmlformats.org/officeDocument/2006/relationships" name="21 Commercial Insights Discovery" sheetId="21" r:id="Re3138624785a4a44"/>
    <x:sheet xmlns:r="http://schemas.openxmlformats.org/officeDocument/2006/relationships" name="22 Project Insights Discovery" sheetId="22" r:id="R041510adaae2475c"/>
    <x:sheet xmlns:r="http://schemas.openxmlformats.org/officeDocument/2006/relationships" name="23 Performance Discovery" sheetId="23" r:id="R75ffd4d07ffc4746"/>
    <x:sheet xmlns:r="http://schemas.openxmlformats.org/officeDocument/2006/relationships" name="24 Risk Compliance Discovery" sheetId="24" r:id="Rb4efda77cd1d4235"/>
    <x:sheet xmlns:r="http://schemas.openxmlformats.org/officeDocument/2006/relationships" name="25 Commercial Handoff" sheetId="25" r:id="R109d7bbf8e7a4174"/>
    <x:sheet xmlns:r="http://schemas.openxmlformats.org/officeDocument/2006/relationships" name="26 RFQ Governance" sheetId="26" r:id="Rd47476c4833a4351"/>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f6c50288eddc4d86" /><Relationship Type="http://schemas.openxmlformats.org/officeDocument/2006/relationships/theme" Target="/xl/theme/theme1.xml" Id="Raf505d2279784491" /><Relationship Type="http://schemas.openxmlformats.org/officeDocument/2006/relationships/sharedStrings" Target="/xl/sharedStrings.xml" Id="R85a7286bd7b84574" /><Relationship Type="http://schemas.openxmlformats.org/officeDocument/2006/relationships/worksheet" Target="/xl/worksheets/sheet1.xml" Id="R24c9b11483614e65" /><Relationship Type="http://schemas.openxmlformats.org/officeDocument/2006/relationships/worksheet" Target="/xl/worksheets/sheet2.xml" Id="R6fd998da909a4769" /><Relationship Type="http://schemas.openxmlformats.org/officeDocument/2006/relationships/worksheet" Target="/xl/worksheets/sheet3.xml" Id="Rcab238a49d714911" /><Relationship Type="http://schemas.openxmlformats.org/officeDocument/2006/relationships/worksheet" Target="/xl/worksheets/sheet4.xml" Id="R269296624f9e4c99" /><Relationship Type="http://schemas.openxmlformats.org/officeDocument/2006/relationships/worksheet" Target="/xl/worksheets/sheet5.xml" Id="R322a05bf1f144b5c" /><Relationship Type="http://schemas.openxmlformats.org/officeDocument/2006/relationships/worksheet" Target="/xl/worksheets/sheet6.xml" Id="R5576766d27e249e8" /><Relationship Type="http://schemas.openxmlformats.org/officeDocument/2006/relationships/worksheet" Target="/xl/worksheets/sheet7.xml" Id="R1048b8f3aa614304" /><Relationship Type="http://schemas.openxmlformats.org/officeDocument/2006/relationships/worksheet" Target="/xl/worksheets/sheet8.xml" Id="Rab721f94227a42e3" /><Relationship Type="http://schemas.openxmlformats.org/officeDocument/2006/relationships/worksheet" Target="/xl/worksheets/sheet9.xml" Id="R6c004b25f3534202" /><Relationship Type="http://schemas.openxmlformats.org/officeDocument/2006/relationships/worksheet" Target="/xl/worksheets/sheet10.xml" Id="Rd694618ed60a41ac" /><Relationship Type="http://schemas.openxmlformats.org/officeDocument/2006/relationships/worksheet" Target="/xl/worksheets/sheet11.xml" Id="R3869d5432ebe4452" /><Relationship Type="http://schemas.openxmlformats.org/officeDocument/2006/relationships/worksheet" Target="/xl/worksheets/sheet12.xml" Id="Rd6178dc851584e27" /><Relationship Type="http://schemas.openxmlformats.org/officeDocument/2006/relationships/worksheet" Target="/xl/worksheets/sheet13.xml" Id="R1063738808084b69" /><Relationship Type="http://schemas.openxmlformats.org/officeDocument/2006/relationships/worksheet" Target="/xl/worksheets/sheet14.xml" Id="R7fc4426e126a42b9" /><Relationship Type="http://schemas.openxmlformats.org/officeDocument/2006/relationships/worksheet" Target="/xl/worksheets/sheet15.xml" Id="R9c60f1fda4524868" /><Relationship Type="http://schemas.openxmlformats.org/officeDocument/2006/relationships/worksheet" Target="/xl/worksheets/sheet16.xml" Id="R73ad9dffff474fb5" /><Relationship Type="http://schemas.openxmlformats.org/officeDocument/2006/relationships/worksheet" Target="/xl/worksheets/sheet17.xml" Id="Rd6b19ae7abb74d8b" /><Relationship Type="http://schemas.openxmlformats.org/officeDocument/2006/relationships/worksheet" Target="/xl/worksheets/sheet18.xml" Id="Rfbdc207977f94b29" /><Relationship Type="http://schemas.openxmlformats.org/officeDocument/2006/relationships/worksheet" Target="/xl/worksheets/sheet19.xml" Id="R28a87165ca634085" /><Relationship Type="http://schemas.openxmlformats.org/officeDocument/2006/relationships/worksheet" Target="/xl/worksheets/sheet20.xml" Id="Rb8fabca0c5e44ec4" /><Relationship Type="http://schemas.openxmlformats.org/officeDocument/2006/relationships/worksheet" Target="/xl/worksheets/sheet21.xml" Id="Re3138624785a4a44" /><Relationship Type="http://schemas.openxmlformats.org/officeDocument/2006/relationships/worksheet" Target="/xl/worksheets/sheet22.xml" Id="R041510adaae2475c" /><Relationship Type="http://schemas.openxmlformats.org/officeDocument/2006/relationships/worksheet" Target="/xl/worksheets/sheet23.xml" Id="R75ffd4d07ffc4746" /><Relationship Type="http://schemas.openxmlformats.org/officeDocument/2006/relationships/worksheet" Target="/xl/worksheets/sheet24.xml" Id="Rb4efda77cd1d4235" /><Relationship Type="http://schemas.openxmlformats.org/officeDocument/2006/relationships/worksheet" Target="/xl/worksheets/sheet25.xml" Id="R109d7bbf8e7a4174" /><Relationship Type="http://schemas.openxmlformats.org/officeDocument/2006/relationships/worksheet" Target="/xl/worksheets/sheet26.xml" Id="Rd47476c4833a4351" /></Relationships>
</file>

<file path=xl/drawings/_rels/drawing1.xml.rels>&#65279;<?xml version="1.0" encoding="utf-8"?><Relationships xmlns="http://schemas.openxmlformats.org/package/2006/relationships"><Relationship Type="http://schemas.openxmlformats.org/officeDocument/2006/relationships/chart" Target="/xl/drawings/charts/chart1.xml" Id="Rb296c65c9af14ed7"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b296c65c9af14ed7"/>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c570c1d12cc8425d" /></Relationships>
</file>

<file path=xl/worksheets/_rels/sheet2.xml.rels>&#65279;<?xml version="1.0" encoding="utf-8"?><Relationships xmlns="http://schemas.openxmlformats.org/package/2006/relationships"><Relationship Type="http://schemas.openxmlformats.org/officeDocument/2006/relationships/table" Target="/xl/tables/table2.xml" Id="R27a0592fa7ce404c" /></Relationships>
</file>

<file path=xl/worksheets/_rels/sheet3.xml.rels>&#65279;<?xml version="1.0" encoding="utf-8"?><Relationships xmlns="http://schemas.openxmlformats.org/package/2006/relationships"><Relationship Type="http://schemas.openxmlformats.org/officeDocument/2006/relationships/drawing" Target="/xl/drawings/drawing1.xml" Id="R396a4bd47ebd40f4" /></Relationships>
</file>

<file path=xl/worksheets/_rels/sheet4.xml.rels>&#65279;<?xml version="1.0" encoding="utf-8"?><Relationships xmlns="http://schemas.openxmlformats.org/package/2006/relationships"><Relationship Type="http://schemas.openxmlformats.org/officeDocument/2006/relationships/table" Target="/xl/tables/table3.xml" Id="R94e01c35fd264534" /></Relationships>
</file>

<file path=xl/worksheets/_rels/sheet5.xml.rels>&#65279;<?xml version="1.0" encoding="utf-8"?><Relationships xmlns="http://schemas.openxmlformats.org/package/2006/relationships"><Relationship Type="http://schemas.openxmlformats.org/officeDocument/2006/relationships/table" Target="/xl/tables/table4.xml" Id="R604f6705d64c4125" /></Relationships>
</file>

<file path=xl/worksheets/_rels/sheet6.xml.rels>&#65279;<?xml version="1.0" encoding="utf-8"?><Relationships xmlns="http://schemas.openxmlformats.org/package/2006/relationships"><Relationship Type="http://schemas.openxmlformats.org/officeDocument/2006/relationships/table" Target="/xl/tables/table5.xml" Id="R99c3b6f6b22b492c" /></Relationships>
</file>

<file path=xl/worksheets/_rels/sheet7.xml.rels>&#65279;<?xml version="1.0" encoding="utf-8"?><Relationships xmlns="http://schemas.openxmlformats.org/package/2006/relationships"><Relationship Type="http://schemas.openxmlformats.org/officeDocument/2006/relationships/table" Target="/xl/tables/table6.xml" Id="Rcc85f21f0e814fac" /></Relationships>
</file>

<file path=xl/worksheets/_rels/sheet9.xml.rels>&#65279;<?xml version="1.0" encoding="utf-8"?><Relationships xmlns="http://schemas.openxmlformats.org/package/2006/relationships"><Relationship Type="http://schemas.openxmlformats.org/officeDocument/2006/relationships/table" Target="/xl/tables/table7.xml" Id="Re04c8d25134f4e34" /></Relationships>
</file>

<file path=xl/worksheets/_rels/sheet10.xml.rels>&#65279;<?xml version="1.0" encoding="utf-8"?><Relationships xmlns="http://schemas.openxmlformats.org/package/2006/relationships"><Relationship Type="http://schemas.openxmlformats.org/officeDocument/2006/relationships/table" Target="/xl/tables/table8.xml" Id="R86f6cfad243e4dc9" /></Relationships>
</file>

<file path=xl/worksheets/_rels/sheet11.xml.rels>&#65279;<?xml version="1.0" encoding="utf-8"?><Relationships xmlns="http://schemas.openxmlformats.org/package/2006/relationships"><Relationship Type="http://schemas.openxmlformats.org/officeDocument/2006/relationships/table" Target="/xl/tables/table9.xml" Id="R0a898c8071534801" /></Relationships>
</file>

<file path=xl/worksheets/_rels/sheet13.xml.rels>&#65279;<?xml version="1.0" encoding="utf-8"?><Relationships xmlns="http://schemas.openxmlformats.org/package/2006/relationships"><Relationship Type="http://schemas.openxmlformats.org/officeDocument/2006/relationships/table" Target="/xl/tables/table10.xml" Id="Rf7959dcbf3e3473c" /></Relationships>
</file>

<file path=xl/worksheets/_rels/sheet14.xml.rels>&#65279;<?xml version="1.0" encoding="utf-8"?><Relationships xmlns="http://schemas.openxmlformats.org/package/2006/relationships"><Relationship Type="http://schemas.openxmlformats.org/officeDocument/2006/relationships/table" Target="/xl/tables/table11.xml" Id="R3bd324ba84044646" /></Relationships>
</file>

<file path=xl/worksheets/_rels/sheet15.xml.rels>&#65279;<?xml version="1.0" encoding="utf-8"?><Relationships xmlns="http://schemas.openxmlformats.org/package/2006/relationships"><Relationship Type="http://schemas.openxmlformats.org/officeDocument/2006/relationships/table" Target="/xl/tables/table12.xml" Id="R576fcb3a7bab4019" /></Relationships>
</file>

<file path=xl/worksheets/_rels/sheet16.xml.rels>&#65279;<?xml version="1.0" encoding="utf-8"?><Relationships xmlns="http://schemas.openxmlformats.org/package/2006/relationships"><Relationship Type="http://schemas.openxmlformats.org/officeDocument/2006/relationships/table" Target="/xl/tables/table13.xml" Id="R592e50b283c946ba"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v>✓</x:v>
      </x:c>
      <x:c r="B205" s="133" t="str">
        <x:v>19-06</x:v>
      </x:c>
      <x:c r="C205" s="133" t="str">
        <x:v>19 Marketing Alignment</x:v>
      </x:c>
      <x:c r="D205" s="133" t="str">
        <x:v>Marketing</x:v>
      </x:c>
      <x:c r="E205" s="133" t="str">
        <x:v>Create sales workflow story</x:v>
      </x:c>
      <x:c r="F205" s="133" t="str">
        <x:v>Issuer/respondent/RFI/evaluation story explained from one architecture.</x:v>
      </x:c>
      <x:c r="G205" s="133" t="str">
        <x:v>P1</x:v>
      </x:c>
      <x:c r="H205" s="133" t="str">
        <x:v>Completed</x:v>
      </x:c>
      <x:c r="I205" s="133" t="str">
        <x:v>Project Owner / Engineering</x:v>
      </x:c>
      <x:c r="J205" s="133"/>
      <x:c r="K205" s="133"/>
      <x:c r="L205" s="133"/>
      <x:c r="M205" s="133" t="str">
        <x:v>PASS / CLOSED — Sales workflow story established from the implemented procurement architecture. One architecture connects both sides of the transaction: the issuing organization operates from its Company Workspace into the Procurement Center to create and govern an RFQ, choose the sourcing method and contract framework, and invite suppliers where permitted; authorized responding organizations enter the same RFQ as respondents, review scope, deadlines and formal addenda, use the Private RFI channel for bilateral clarification, and submit or revalidate quotations. Private RFIs remain visible only to the issuing procurement team and the originating respondent company; material clarifications affecting all respondents move through the formal Addendum workflow. Commercial evaluation remains deadline-governed: after commercial opening, eligible quotations are compared using ranked commercial evidence, timeline, evaluation and risk/exception context. Recommendations are decision support rather than automatic awards, and the issuing organization retains responsibility for the governed award decision.</x:v>
      </x:c>
      <x:c r="N205" s="249"/>
      <x:c r="O205" s="249" t="n">
        <x:v>46295</x:v>
      </x:c>
      <x:c r="P205" s="32" t="str">
        <x:v>Evidence-only closeout on published HEAD a11ecba13548e22ecccca2ac9f0f8651f6eaed1e; no source mutation required. Architecture sources reviewed: src/app/rfq/page.tsx; src/components/rfq-workspace/supplier-invitation-delivery.tsx; src/components/rfq-workspace/rfq-rfi-workspace.tsx; src/components/rfq-workspace/rfq-submit-workspace.tsx; src/components/rfq-workspace/rfq-quote-comparison.tsx. The story preserves the approved Company Workspace → Procurement Center hierarchy, keeps Workspace Membership distinct from RFQ Invitation, and does not claim autonomous sourcing, automatic award, Contract/PO lifecycle automation, or unsupported AI capability. 19-06 CLOSED / FROZEN. Next canonical task: 19-07 — Create investor platform story.</x:v>
      </x:c>
    </x:row>
    <x:row r="206">
      <x:c r="A206" s="42" t="str">
        <x:v>✓</x:v>
      </x:c>
      <x:c r="B206" s="133" t="str">
        <x:v>19-07</x:v>
      </x:c>
      <x:c r="C206" s="133" t="str">
        <x:v>19 Marketing Alignment</x:v>
      </x:c>
      <x:c r="D206" s="133" t="str">
        <x:v>Marketing</x:v>
      </x:c>
      <x:c r="E206" s="133" t="str">
        <x:v>Create investor platform story</x:v>
      </x:c>
      <x:c r="F206" s="133" t="str">
        <x:v>Vision distinguishes current foundation from roadmap expansion.</x:v>
      </x:c>
      <x:c r="G206" s="133" t="str">
        <x:v>P2</x:v>
      </x:c>
      <x:c r="H206" s="133" t="str">
        <x:v>Completed</x:v>
      </x:c>
      <x:c r="I206" s="133" t="str">
        <x:v>Project Owner / Engineering</x:v>
      </x:c>
      <x:c r="J206" s="133"/>
      <x:c r="K206" s="133"/>
      <x:c r="L206" s="133"/>
      <x:c r="M206" s="133" t="str">
        <x:v>PASS / CLOSED — Investor platform story now separates the validated current foundation from roadmap expansion. Current foundation: Nexus Pavilion Inc. is the corporate parent and Intelligent Procurement is its primary current product, positioned for Limited Early Access. The product's launch-stage foundation is a governed procurement decision system organized around Company Workspace and Procurement Center, with implemented RFQ creation and participation, supplier invitation and quotation workflows, Private RFI and Addendum governance, deadline-controlled commercial evaluation, supplier intelligence, executive decision support, and issuer-controlled award decisions. These capabilities support professional judgment rather than autonomous commercial decision-making. Roadmap expansion: broader Contract / PO / Mobilization automation, Advanced Benchmarking, and Autonomous Sourcing Agents remain explicitly post-launch, P2, or Deferred and are not current production capabilities. At the corporate level, the Nexus Pavilion Inc. portfolio architecture can support additional real products or initiatives later, but unreleased initiatives remain hidden by default or must be explicitly identified as non-live when approved for disclosure.</x:v>
      </x:c>
      <x:c r="N206" s="249"/>
      <x:c r="O206" s="249" t="n">
        <x:v>46295</x:v>
      </x:c>
      <x:c r="P206" s="32" t="str">
        <x:v>Evidence-only closeout on published HEAD 51aa24863e66813b7cbde774c4cae760a5e1bb8a; no source mutation required. Investor narrative reconciled against the canonical Master Plan / Scope &amp; Roadmap boundaries and the frozen Corporate Platform architecture. The resulting thesis is deliberately staged: a real current procurement foundation first; deeper workflow automation and intelligence later; broader corporate portfolio expansion only when supported by real initiatives and disclosure evidence. No future product names were invented, no roadmap item was promoted to Available Now, and no financial valuation, market-size, revenue, adoption, or return claim was introduced. 19-07 CLOSED / FROZEN. Phase 19 Marketing Alignment is complete (7/7). Next canonical task: 20-01 — Getting Started.</x:v>
      </x:c>
    </x:row>
    <x:row r="207">
      <x:c r="A207" s="42" t="str">
        <x:v>✓</x:v>
      </x:c>
      <x:c r="B207" s="133" t="str">
        <x:v>20-01</x:v>
      </x:c>
      <x:c r="C207" s="133" t="str">
        <x:v>20 Launch Documentation</x:v>
      </x:c>
      <x:c r="D207" s="133" t="str">
        <x:v>Documentation</x:v>
      </x:c>
      <x:c r="E207" s="133" t="str">
        <x:v>Getting Started</x:v>
      </x:c>
      <x:c r="F207" s="133" t="str">
        <x:v>New user can understand workspace and first actions.</x:v>
      </x:c>
      <x:c r="G207" s="133" t="str">
        <x:v>P0</x:v>
      </x:c>
      <x:c r="H207" s="133" t="str">
        <x:v>Completed</x:v>
      </x:c>
      <x:c r="I207" s="133" t="str">
        <x:v>Project Owner / Engineering</x:v>
      </x:c>
      <x:c r="J207" s="133"/>
      <x:c r="K207" s="133"/>
      <x:c r="L207" s="133" t="str">
        <x:v>G11</x:v>
      </x:c>
      <x:c r="M207" s="133" t="str">
        <x:v>PASS / CLOSED — Added launch-ready Getting Started documentation for Intelligent Procurement. The guide explains the Nexus Pavilion Inc. → Intelligent Procurement relationship, Company Workspace and Procurement Center architecture, sign-in and onboarding behavior, issuer/respondent participation, the governed RFQ lifecycle, first actions for issuing and responding organizations, and the professional-judgment boundary. It explicitly distinguishes Company Workspace membership from RFQ participation and avoids autonomous-award or unsupported AI claims.</x:v>
      </x:c>
      <x:c r="N207" s="249"/>
      <x:c r="O207" s="249" t="n">
        <x:v>46295</x:v>
      </x:c>
      <x:c r="P207" s="32" t="str">
        <x:v>Published at eee3601e69ceee1144ed43cbb06b596fcf0e87c4 as docs/launch/GETTING_STARTED.md. SEARCH confirmed no equivalent launch-ready Getting Started guide existed; the repository README remained default Next.js developer boilerplate and was not repurposed as product documentation. The new guide is intentionally an overview and defers detailed procedures to 20-02 through 20-12 to avoid duplication. Source commit adds exactly one documentation file; no application code, database, auth, procurement data, or runtime behavior changed. 20-01 CLOSED / FROZEN. Next canonical task: 20-02 — Create Company.</x:v>
      </x:c>
    </x:row>
    <x:row r="208">
      <x:c r="A208" s="42" t="str">
        <x:v>✓</x:v>
      </x:c>
      <x:c r="B208" s="133" t="str">
        <x:v>20-02</x:v>
      </x:c>
      <x:c r="C208" s="133" t="str">
        <x:v>20 Launch Documentation</x:v>
      </x:c>
      <x:c r="D208" s="133" t="str">
        <x:v>Documentation</x:v>
      </x:c>
      <x:c r="E208" s="133" t="str">
        <x:v>Create Company</x:v>
      </x:c>
      <x:c r="F208" s="133" t="str">
        <x:v>Company creation/onboarding documented.</x:v>
      </x:c>
      <x:c r="G208" s="133" t="str">
        <x:v>P0</x:v>
      </x:c>
      <x:c r="H208" s="133" t="str">
        <x:v>Completed</x:v>
      </x:c>
      <x:c r="I208" s="133" t="str">
        <x:v>Project Owner / Engineering</x:v>
      </x:c>
      <x:c r="J208" s="133"/>
      <x:c r="K208" s="133"/>
      <x:c r="L208" s="133" t="str">
        <x:v>G11</x:v>
      </x:c>
      <x:c r="M208" s="133" t="str">
        <x:v>PASS / CLOSED — Added launch-ready Create Company documentation covering when onboarding appears, required company and professional-identity inputs, the supported organization types, review and activation, RFQ continuation behavior, duplicate/recovery protection, post-activation checks, troubleshooting, and the governance boundary between Company Workspace creation and RFQ participation.</x:v>
      </x:c>
      <x:c r="N208" s="249"/>
      <x:c r="O208" s="249" t="n">
        <x:v>46295</x:v>
      </x:c>
      <x:c r="P208" s="32" t="str">
        <x:v>Published at 8bf0eb96db3c41c8d475076660d50cf3effb91b6 as docs/launch/CREATE_COMPANY.md. Documentation is grounded in the active /create-company UI, /api/companies/create route, workspace bootstrap contract, safe continuation helpers, and existing-workspace middleware guard. It documents the current duplicate/recovery behavior: already-connected accounts are blocked from creating another company; one recoverable owned company may be reattached and bootstrapped; multiple unresolved owned companies require recovery; incomplete bootstrap explicitly instructs the user not to create another company. The guide keeps Company Workspace onboarding distinct from RFQ Invitation and does not claim that onboarding grants RFQ access. Source commit adds exactly one documentation file; no application code, auth, database, or procurement data changed. 20-02 CLOSED / FROZEN. Next canonical task: 20-03 — Create RFQ.</x:v>
      </x:c>
    </x:row>
    <x:row r="209">
      <x:c r="A209" s="42" t="str">
        <x:f>IF(H209="Completed","✓",IF(H209="Blocked","!",""))</x:f>
      </x:c>
      <x:c r="B209" s="133" t="inlineStr">
        <x:is>
          <x:t xml:space="preserve">20-03</x:t>
        </x:is>
      </x:c>
      <x:c r="C209" s="133" t="inlineStr">
        <x:is>
          <x:t xml:space="preserve">20 Launch Documentation</x:t>
        </x:is>
      </x:c>
      <x:c r="D209" s="133" t="inlineStr">
        <x:is>
          <x:t xml:space="preserve">Documentation</x:t>
        </x:is>
      </x:c>
      <x:c r="E209" s="133" t="inlineStr">
        <x:is>
          <x:t xml:space="preserve">Create RFQ</x:t>
        </x:is>
      </x:c>
      <x:c r="F209" s="133" t="inlineStr">
        <x:is>
          <x:t xml:space="preserve">Issuer RFQ creation/configuration documented.</x:t>
        </x:is>
      </x:c>
      <x:c r="G209" s="133" t="inlineStr">
        <x:is>
          <x:t xml:space="preserve">P0</x:t>
        </x:is>
      </x:c>
      <x:c r="H209" s="133" t="inlineStr">
        <x:is>
          <x:t xml:space="preserve">Not Started</x:t>
        </x:is>
      </x:c>
      <x:c r="I209" s="133" t="str"/>
      <x:c r="J209" s="133" t="str"/>
      <x:c r="K209" s="133" t="str"/>
      <x:c r="L209" s="133" t="inlineStr">
        <x:is>
          <x:t xml:space="preserve">G11</x:t>
        </x:is>
      </x:c>
      <x:c r="M209" s="133" t="str"/>
      <x:c r="N209" s="249" t="n"/>
      <x:c r="O209" s="249" t="n"/>
      <x:c r="P209" s="32" t="str"/>
    </x:row>
    <x:row r="210">
      <x:c r="A210" s="42" t="str">
        <x:f>IF(H210="Completed","✓",IF(H210="Blocked","!",""))</x:f>
      </x:c>
      <x:c r="B210" s="133" t="inlineStr">
        <x:is>
          <x:t xml:space="preserve">20-04</x:t>
        </x:is>
      </x:c>
      <x:c r="C210" s="133" t="inlineStr">
        <x:is>
          <x:t xml:space="preserve">20 Launch Documentation</x:t>
        </x:is>
      </x:c>
      <x:c r="D210" s="133" t="inlineStr">
        <x:is>
          <x:t xml:space="preserve">Documentation</x:t>
        </x:is>
      </x:c>
      <x:c r="E210" s="133" t="inlineStr">
        <x:is>
          <x:t xml:space="preserve">Invite Companies</x:t>
        </x:is>
      </x:c>
      <x:c r="F210" s="133" t="inlineStr">
        <x:is>
          <x:t xml:space="preserve">Invitation lifecycle and troubleshooting documented.</x:t>
        </x:is>
      </x:c>
      <x:c r="G210" s="133" t="inlineStr">
        <x:is>
          <x:t xml:space="preserve">P0</x:t>
        </x:is>
      </x:c>
      <x:c r="H210" s="133" t="inlineStr">
        <x:is>
          <x:t xml:space="preserve">Not Started</x:t>
        </x:is>
      </x:c>
      <x:c r="I210" s="133" t="str"/>
      <x:c r="J210" s="133" t="str"/>
      <x:c r="K210" s="133" t="str"/>
      <x:c r="L210" s="133" t="inlineStr">
        <x:is>
          <x:t xml:space="preserve">G11</x:t>
        </x:is>
      </x:c>
      <x:c r="M210" s="133" t="str"/>
      <x:c r="N210" s="249" t="n"/>
      <x:c r="O210" s="249" t="n"/>
      <x:c r="P210" s="32" t="str"/>
    </x:row>
    <x:row r="211">
      <x:c r="A211" s="42" t="str">
        <x:f>IF(H211="Completed","✓",IF(H211="Blocked","!",""))</x:f>
      </x:c>
      <x:c r="B211" s="133" t="inlineStr">
        <x:is>
          <x:t xml:space="preserve">20-05</x:t>
        </x:is>
      </x:c>
      <x:c r="C211" s="133" t="inlineStr">
        <x:is>
          <x:t xml:space="preserve">20 Launch Documentation</x:t>
        </x:is>
      </x:c>
      <x:c r="D211" s="133" t="inlineStr">
        <x:is>
          <x:t xml:space="preserve">Documentation</x:t>
        </x:is>
      </x:c>
      <x:c r="E211" s="133" t="inlineStr">
        <x:is>
          <x:t xml:space="preserve">Respond to RFQ</x:t>
        </x:is>
      </x:c>
      <x:c r="F211" s="133" t="inlineStr">
        <x:is>
          <x:t xml:space="preserve">Respondent access/review flow documented.</x:t>
        </x:is>
      </x:c>
      <x:c r="G211" s="133" t="inlineStr">
        <x:is>
          <x:t xml:space="preserve">P0</x:t>
        </x:is>
      </x:c>
      <x:c r="H211" s="133" t="inlineStr">
        <x:is>
          <x:t xml:space="preserve">Not Started</x:t>
        </x:is>
      </x:c>
      <x:c r="I211" s="133" t="str"/>
      <x:c r="J211" s="133" t="str"/>
      <x:c r="K211" s="133" t="str"/>
      <x:c r="L211" s="133" t="inlineStr">
        <x:is>
          <x:t xml:space="preserve">G11</x:t>
        </x:is>
      </x:c>
      <x:c r="M211" s="133" t="str"/>
      <x:c r="N211" s="249" t="n"/>
      <x:c r="O211" s="249" t="n"/>
      <x:c r="P211" s="32" t="str"/>
    </x:row>
    <x:row r="212">
      <x:c r="A212" s="42" t="str">
        <x:f>IF(H212="Completed","✓",IF(H212="Blocked","!",""))</x:f>
      </x:c>
      <x:c r="B212" s="133" t="inlineStr">
        <x:is>
          <x:t xml:space="preserve">20-06</x:t>
        </x:is>
      </x:c>
      <x:c r="C212" s="133" t="inlineStr">
        <x:is>
          <x:t xml:space="preserve">20 Launch Documentation</x:t>
        </x:is>
      </x:c>
      <x:c r="D212" s="133" t="inlineStr">
        <x:is>
          <x:t xml:space="preserve">Documentation</x:t>
        </x:is>
      </x:c>
      <x:c r="E212" s="133" t="inlineStr">
        <x:is>
          <x:t xml:space="preserve">Submit RFI</x:t>
        </x:is>
      </x:c>
      <x:c r="F212" s="133" t="inlineStr">
        <x:is>
          <x:t xml:space="preserve">RFI/clarification rules and deadline documented.</x:t>
        </x:is>
      </x:c>
      <x:c r="G212" s="133" t="inlineStr">
        <x:is>
          <x:t xml:space="preserve">P0</x:t>
        </x:is>
      </x:c>
      <x:c r="H212" s="133" t="inlineStr">
        <x:is>
          <x:t xml:space="preserve">Not Started</x:t>
        </x:is>
      </x:c>
      <x:c r="I212" s="133" t="str"/>
      <x:c r="J212" s="133" t="str"/>
      <x:c r="K212" s="133" t="str"/>
      <x:c r="L212" s="133" t="inlineStr">
        <x:is>
          <x:t xml:space="preserve">G11</x:t>
        </x:is>
      </x:c>
      <x:c r="M212" s="133" t="str"/>
      <x:c r="N212" s="249" t="n"/>
      <x:c r="O212" s="249" t="n"/>
      <x:c r="P212" s="32" t="str"/>
    </x:row>
    <x:row r="213">
      <x:c r="A213" s="42" t="str">
        <x:f>IF(H213="Completed","✓",IF(H213="Blocked","!",""))</x:f>
      </x:c>
      <x:c r="B213" s="133" t="inlineStr">
        <x:is>
          <x:t xml:space="preserve">20-07</x:t>
        </x:is>
      </x:c>
      <x:c r="C213" s="133" t="inlineStr">
        <x:is>
          <x:t xml:space="preserve">20 Launch Documentation</x:t>
        </x:is>
      </x:c>
      <x:c r="D213" s="133" t="inlineStr">
        <x:is>
          <x:t xml:space="preserve">Documentation</x:t>
        </x:is>
      </x:c>
      <x:c r="E213" s="133" t="inlineStr">
        <x:is>
          <x:t xml:space="preserve">Submit Quote</x:t>
        </x:is>
      </x:c>
      <x:c r="F213" s="133" t="inlineStr">
        <x:is>
          <x:t xml:space="preserve">Quote/proposal preparation and submission documented.</x:t>
        </x:is>
      </x:c>
      <x:c r="G213" s="133" t="inlineStr">
        <x:is>
          <x:t xml:space="preserve">P0</x:t>
        </x:is>
      </x:c>
      <x:c r="H213" s="133" t="inlineStr">
        <x:is>
          <x:t xml:space="preserve">Not Started</x:t>
        </x:is>
      </x:c>
      <x:c r="I213" s="133" t="str"/>
      <x:c r="J213" s="133" t="str"/>
      <x:c r="K213" s="133" t="str"/>
      <x:c r="L213" s="133" t="inlineStr">
        <x:is>
          <x:t xml:space="preserve">G11</x:t>
        </x:is>
      </x:c>
      <x:c r="M213" s="133" t="str"/>
      <x:c r="N213" s="249" t="n"/>
      <x:c r="O213" s="249" t="n"/>
      <x:c r="P213" s="32" t="str"/>
    </x:row>
    <x:row r="214">
      <x:c r="A214" s="42" t="str">
        <x:f>IF(H214="Completed","✓",IF(H214="Blocked","!",""))</x:f>
      </x:c>
      <x:c r="B214" s="133" t="inlineStr">
        <x:is>
          <x:t xml:space="preserve">20-08</x:t>
        </x:is>
      </x:c>
      <x:c r="C214" s="133" t="inlineStr">
        <x:is>
          <x:t xml:space="preserve">20 Launch Documentation</x:t>
        </x:is>
      </x:c>
      <x:c r="D214" s="133" t="inlineStr">
        <x:is>
          <x:t xml:space="preserve">Documentation</x:t>
        </x:is>
      </x:c>
      <x:c r="E214" s="133" t="inlineStr">
        <x:is>
          <x:t xml:space="preserve">Evaluate Responses</x:t>
        </x:is>
      </x:c>
      <x:c r="F214" s="133" t="inlineStr">
        <x:is>
          <x:t xml:space="preserve">Issuer evaluation visibility/rules documented.</x:t>
        </x:is>
      </x:c>
      <x:c r="G214" s="133" t="inlineStr">
        <x:is>
          <x:t xml:space="preserve">P0</x:t>
        </x:is>
      </x:c>
      <x:c r="H214" s="133" t="inlineStr">
        <x:is>
          <x:t xml:space="preserve">Not Started</x:t>
        </x:is>
      </x:c>
      <x:c r="I214" s="133" t="str"/>
      <x:c r="J214" s="133" t="str"/>
      <x:c r="K214" s="133" t="str"/>
      <x:c r="L214" s="133" t="inlineStr">
        <x:is>
          <x:t xml:space="preserve">G11</x:t>
        </x:is>
      </x:c>
      <x:c r="M214" s="133" t="str"/>
      <x:c r="N214" s="249" t="n"/>
      <x:c r="O214" s="249" t="n"/>
      <x:c r="P214" s="32" t="str"/>
    </x:row>
    <x:row r="215">
      <x:c r="A215" s="42" t="str">
        <x:f>IF(H215="Completed","✓",IF(H215="Blocked","!",""))</x:f>
      </x:c>
      <x:c r="B215" s="133" t="inlineStr">
        <x:is>
          <x:t xml:space="preserve">20-09</x:t>
        </x:is>
      </x:c>
      <x:c r="C215" s="133" t="inlineStr">
        <x:is>
          <x:t xml:space="preserve">20 Launch Documentation</x:t>
        </x:is>
      </x:c>
      <x:c r="D215" s="133" t="inlineStr">
        <x:is>
          <x:t xml:space="preserve">Documentation</x:t>
        </x:is>
      </x:c>
      <x:c r="E215" s="133" t="inlineStr">
        <x:is>
          <x:t xml:space="preserve">Award</x:t>
        </x:is>
      </x:c>
      <x:c r="F215" s="133" t="inlineStr">
        <x:is>
          <x:t xml:space="preserve">Award outcome and next step documented.</x:t>
        </x:is>
      </x:c>
      <x:c r="G215" s="133" t="inlineStr">
        <x:is>
          <x:t xml:space="preserve">P0</x:t>
        </x:is>
      </x:c>
      <x:c r="H215" s="133" t="inlineStr">
        <x:is>
          <x:t xml:space="preserve">Not Started</x:t>
        </x:is>
      </x:c>
      <x:c r="I215" s="133" t="str"/>
      <x:c r="J215" s="133" t="str"/>
      <x:c r="K215" s="133" t="str"/>
      <x:c r="L215" s="133" t="inlineStr">
        <x:is>
          <x:t xml:space="preserve">G11</x:t>
        </x:is>
      </x:c>
      <x:c r="M215" s="133" t="str"/>
      <x:c r="N215" s="249" t="n"/>
      <x:c r="O215" s="249" t="n"/>
      <x:c r="P215" s="32" t="str"/>
    </x:row>
    <x:row r="216">
      <x:c r="A216" s="42" t="str">
        <x:f>IF(H216="Completed","✓",IF(H216="Blocked","!",""))</x:f>
      </x:c>
      <x:c r="B216" s="133" t="inlineStr">
        <x:is>
          <x:t xml:space="preserve">20-10</x:t>
        </x:is>
      </x:c>
      <x:c r="C216" s="133" t="inlineStr">
        <x:is>
          <x:t xml:space="preserve">20 Launch Documentation</x:t>
        </x:is>
      </x:c>
      <x:c r="D216" s="133" t="inlineStr">
        <x:is>
          <x:t xml:space="preserve">Documentation</x:t>
        </x:is>
      </x:c>
      <x:c r="E216" s="133" t="inlineStr">
        <x:is>
          <x:t xml:space="preserve">Roles &amp; Permissions</x:t>
        </x:is>
      </x:c>
      <x:c r="F216" s="133" t="inlineStr">
        <x:is>
          <x:t xml:space="preserve">Company membership and RFQ relationship model explained.</x:t>
        </x:is>
      </x:c>
      <x:c r="G216" s="133" t="inlineStr">
        <x:is>
          <x:t xml:space="preserve">P0</x:t>
        </x:is>
      </x:c>
      <x:c r="H216" s="133" t="inlineStr">
        <x:is>
          <x:t xml:space="preserve">Not Started</x:t>
        </x:is>
      </x:c>
      <x:c r="I216" s="133" t="str"/>
      <x:c r="J216" s="133" t="str"/>
      <x:c r="K216" s="133" t="str"/>
      <x:c r="L216" s="133" t="inlineStr">
        <x:is>
          <x:t xml:space="preserve">G11</x:t>
        </x:is>
      </x:c>
      <x:c r="M216" s="133" t="str"/>
      <x:c r="N216" s="249" t="n"/>
      <x:c r="O216" s="249" t="n"/>
      <x:c r="P216" s="32" t="str"/>
    </x:row>
    <x:row r="217">
      <x:c r="A217" s="42" t="str">
        <x:f>IF(H217="Completed","✓",IF(H217="Blocked","!",""))</x:f>
      </x:c>
      <x:c r="B217" s="133" t="inlineStr">
        <x:is>
          <x:t xml:space="preserve">20-11</x:t>
        </x:is>
      </x:c>
      <x:c r="C217" s="133" t="inlineStr">
        <x:is>
          <x:t xml:space="preserve">20 Launch Documentation</x:t>
        </x:is>
      </x:c>
      <x:c r="D217" s="133" t="inlineStr">
        <x:is>
          <x:t xml:space="preserve">Documentation</x:t>
        </x:is>
      </x:c>
      <x:c r="E217" s="133" t="inlineStr">
        <x:is>
          <x:t xml:space="preserve">FAQ &amp; Support</x:t>
        </x:is>
      </x:c>
      <x:c r="F217" s="133" t="inlineStr">
        <x:is>
          <x:t xml:space="preserve">Common issues and support path documented.</x:t>
        </x:is>
      </x:c>
      <x:c r="G217" s="133" t="inlineStr">
        <x:is>
          <x:t xml:space="preserve">P0</x:t>
        </x:is>
      </x:c>
      <x:c r="H217" s="133" t="inlineStr">
        <x:is>
          <x:t xml:space="preserve">Not Started</x:t>
        </x:is>
      </x:c>
      <x:c r="I217" s="133" t="str"/>
      <x:c r="J217" s="133" t="str"/>
      <x:c r="K217" s="133" t="str"/>
      <x:c r="L217" s="133" t="inlineStr">
        <x:is>
          <x:t xml:space="preserve">G11</x:t>
        </x:is>
      </x:c>
      <x:c r="M217" s="133" t="str"/>
      <x:c r="N217" s="249" t="n"/>
      <x:c r="O217" s="249" t="n"/>
      <x:c r="P217" s="32" t="str"/>
    </x:row>
    <x:row r="218">
      <x:c r="A218" s="42" t="str">
        <x:f>IF(H218="Completed","✓",IF(H218="Blocked","!",""))</x:f>
      </x:c>
      <x:c r="B218" s="133" t="inlineStr">
        <x:is>
          <x:t xml:space="preserve">20-12</x:t>
        </x:is>
      </x:c>
      <x:c r="C218" s="133" t="inlineStr">
        <x:is>
          <x:t xml:space="preserve">20 Launch Documentation</x:t>
        </x:is>
      </x:c>
      <x:c r="D218" s="133" t="inlineStr">
        <x:is>
          <x:t xml:space="preserve">Documentation</x:t>
        </x:is>
      </x:c>
      <x:c r="E218" s="133" t="inlineStr">
        <x:is>
          <x:t xml:space="preserve">Privacy/Security Overview</x:t>
        </x:is>
      </x:c>
      <x:c r="F218" s="133" t="inlineStr">
        <x:is>
          <x:t xml:space="preserve">High-level confidentiality and access model documented.</x:t>
        </x:is>
      </x:c>
      <x:c r="G218" s="133" t="inlineStr">
        <x:is>
          <x:t xml:space="preserve">P0</x:t>
        </x:is>
      </x:c>
      <x:c r="H218" s="133" t="inlineStr">
        <x:is>
          <x:t xml:space="preserve">Not Started</x:t>
        </x:is>
      </x:c>
      <x:c r="I218" s="133" t="str"/>
      <x:c r="J218" s="133" t="str"/>
      <x:c r="K218" s="133" t="str"/>
      <x:c r="L218" s="133" t="inlineStr">
        <x:is>
          <x:t xml:space="preserve">G11</x:t>
        </x:is>
      </x:c>
      <x:c r="M218" s="133" t="str"/>
      <x:c r="N218" s="249" t="n"/>
      <x:c r="O218" s="249" t="n"/>
      <x:c r="P218" s="32" t="str"/>
    </x:row>
    <x:row r="219">
      <x:c r="A219" s="42" t="str">
        <x:f>IF(H219="Completed","✓",IF(H219="Blocked","!",""))</x:f>
      </x:c>
      <x:c r="B219" s="133" t="inlineStr">
        <x:is>
          <x:t xml:space="preserve">21-01</x:t>
        </x:is>
      </x:c>
      <x:c r="C219" s="133" t="inlineStr">
        <x:is>
          <x:t xml:space="preserve">21 Final Launch Gate</x:t>
        </x:is>
      </x:c>
      <x:c r="D219" s="133" t="inlineStr">
        <x:is>
          <x:t xml:space="preserve">Launch</x:t>
        </x:is>
      </x:c>
      <x:c r="E219" s="133" t="inlineStr">
        <x:is>
          <x:t xml:space="preserve">Review G0–G13</x:t>
        </x:is>
      </x:c>
      <x:c r="F219" s="133" t="inlineStr">
        <x:is>
          <x:t xml:space="preserve">Every gate has evidence, owner and sign-off status.</x:t>
        </x:is>
      </x:c>
      <x:c r="G219" s="133" t="inlineStr">
        <x:is>
          <x:t xml:space="preserve">P0</x:t>
        </x:is>
      </x:c>
      <x:c r="H219" s="133" t="inlineStr">
        <x:is>
          <x:t xml:space="preserve">Not Started</x:t>
        </x:is>
      </x:c>
      <x:c r="I219" s="133" t="str"/>
      <x:c r="J219" s="133" t="str"/>
      <x:c r="K219" s="133" t="str"/>
      <x:c r="L219" s="133" t="inlineStr">
        <x:is>
          <x:t xml:space="preserve">G13</x:t>
        </x:is>
      </x:c>
      <x:c r="M219" s="133" t="str"/>
      <x:c r="N219" s="249" t="n"/>
      <x:c r="O219" s="249" t="n"/>
      <x:c r="P219" s="32" t="str"/>
    </x:row>
    <x:row r="220">
      <x:c r="A220" s="42" t="str">
        <x:f>IF(H220="Completed","✓",IF(H220="Blocked","!",""))</x:f>
      </x:c>
      <x:c r="B220" s="133" t="inlineStr">
        <x:is>
          <x:t xml:space="preserve">21-02</x:t>
        </x:is>
      </x:c>
      <x:c r="C220" s="133" t="inlineStr">
        <x:is>
          <x:t xml:space="preserve">21 Final Launch Gate</x:t>
        </x:is>
      </x:c>
      <x:c r="D220" s="133" t="inlineStr">
        <x:is>
          <x:t xml:space="preserve">Launch</x:t>
        </x:is>
      </x:c>
      <x:c r="E220" s="133" t="inlineStr">
        <x:is>
          <x:t xml:space="preserve">Production UAT</x:t>
        </x:is>
      </x:c>
      <x:c r="F220" s="133" t="inlineStr">
        <x:is>
          <x:t xml:space="preserve">Critical journeys validated in production-like environment.</x:t>
        </x:is>
      </x:c>
      <x:c r="G220" s="133" t="inlineStr">
        <x:is>
          <x:t xml:space="preserve">P0</x:t>
        </x:is>
      </x:c>
      <x:c r="H220" s="133" t="inlineStr">
        <x:is>
          <x:t xml:space="preserve">Not Started</x:t>
        </x:is>
      </x:c>
      <x:c r="I220" s="133" t="str"/>
      <x:c r="J220" s="133" t="str"/>
      <x:c r="K220" s="133" t="str"/>
      <x:c r="L220" s="133" t="inlineStr">
        <x:is>
          <x:t xml:space="preserve">G13</x:t>
        </x:is>
      </x:c>
      <x:c r="M220" s="133" t="str"/>
      <x:c r="N220" s="249" t="n"/>
      <x:c r="O220" s="249" t="n"/>
      <x:c r="P220" s="32" t="str"/>
    </x:row>
    <x:row r="221">
      <x:c r="A221" s="42" t="str">
        <x:f>IF(H221="Completed","✓",IF(H221="Blocked","!",""))</x:f>
      </x:c>
      <x:c r="B221" s="133" t="inlineStr">
        <x:is>
          <x:t xml:space="preserve">21-03</x:t>
        </x:is>
      </x:c>
      <x:c r="C221" s="133" t="inlineStr">
        <x:is>
          <x:t xml:space="preserve">21 Final Launch Gate</x:t>
        </x:is>
      </x:c>
      <x:c r="D221" s="133" t="inlineStr">
        <x:is>
          <x:t xml:space="preserve">Launch</x:t>
        </x:is>
      </x:c>
      <x:c r="E221" s="133" t="inlineStr">
        <x:is>
          <x:t xml:space="preserve">Release candidate build</x:t>
        </x:is>
      </x:c>
      <x:c r="F221" s="133" t="inlineStr">
        <x:is>
          <x:t xml:space="preserve">Tagged/reviewable release candidate passes build/tests.</x:t>
        </x:is>
      </x:c>
      <x:c r="G221" s="133" t="inlineStr">
        <x:is>
          <x:t xml:space="preserve">P0</x:t>
        </x:is>
      </x:c>
      <x:c r="H221" s="133" t="inlineStr">
        <x:is>
          <x:t xml:space="preserve">Not Started</x:t>
        </x:is>
      </x:c>
      <x:c r="I221" s="133" t="str"/>
      <x:c r="J221" s="133" t="str"/>
      <x:c r="K221" s="133" t="str"/>
      <x:c r="L221" s="133" t="inlineStr">
        <x:is>
          <x:t xml:space="preserve">G13</x:t>
        </x:is>
      </x:c>
      <x:c r="M221" s="133" t="str"/>
      <x:c r="N221" s="249" t="n"/>
      <x:c r="O221" s="249" t="n"/>
      <x:c r="P221" s="32" t="str"/>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f>IF(H225="Completed","✓",IF(H225="Blocked","!",""))</x:f>
      </x:c>
      <x:c r="B225" s="133" t="inlineStr">
        <x:is>
          <x:t xml:space="preserve">13A-01</x:t>
        </x:is>
      </x:c>
      <x:c r="C225" s="133" t="inlineStr">
        <x:is>
          <x:t xml:space="preserve">13A Enterprise Experience Audit</x:t>
        </x:is>
      </x:c>
      <x:c r="D225" s="133" t="inlineStr">
        <x:is>
          <x:t xml:space="preserve">Audit</x:t>
        </x:is>
      </x:c>
      <x:c r="E225" s="133" t="inlineStr">
        <x:is>
          <x:t xml:space="preserve">Run Cursor UI Task 01 — Enterprise Dark UI Audit</x:t>
        </x:is>
      </x:c>
      <x:c r="F225" s="133" t="inlineStr">
        <x:is>
          <x:t xml:space="preserve">No-code audit maps shell, theme, logo use, hard-coded styling, components, motion, accessibility and page scores.</x:t>
        </x:is>
      </x:c>
      <x:c r="G225" s="133" t="inlineStr">
        <x:is>
          <x:t xml:space="preserve">P0</x:t>
        </x:is>
      </x:c>
      <x:c r="H225" s="133" t="inlineStr">
        <x:is>
          <x:t xml:space="preserve">Not Started</x:t>
        </x:is>
      </x:c>
      <x:c r="I225" s="133" t="str"/>
      <x:c r="J225" s="133" t="inlineStr">
        <x:is>
          <x:t xml:space="preserve">Cursor UI 01</x:t>
        </x:is>
      </x:c>
      <x:c r="K225" s="133" t="inlineStr">
        <x:is>
          <x:t xml:space="preserve">G1</x:t>
        </x:is>
      </x:c>
      <x:c r="L225" s="133" t="str"/>
      <x:c r="M225" s="133" t="str"/>
      <x:c r="N225" s="249" t="n"/>
      <x:c r="O225" s="249" t="n"/>
      <x:c r="P225" s="135" t="inlineStr">
        <x:is>
          <x:t xml:space="preserve">Audit first; no page-by-page redesign yet.</x:t>
        </x:is>
      </x:c>
    </x:row>
    <x:row r="226">
      <x:c r="A226" s="133" t="str">
        <x:f>IF(H226="Completed","✓",IF(H226="Blocked","!",""))</x:f>
      </x:c>
      <x:c r="B226" s="133" t="inlineStr">
        <x:is>
          <x:t xml:space="preserve">13A-02</x:t>
        </x:is>
      </x:c>
      <x:c r="C226" s="133" t="inlineStr">
        <x:is>
          <x:t xml:space="preserve">13A Enterprise Experience Audit</x:t>
        </x:is>
      </x:c>
      <x:c r="D226" s="133" t="inlineStr">
        <x:is>
          <x:t xml:space="preserve">Brand</x:t>
        </x:is>
      </x:c>
      <x:c r="E226" s="133" t="inlineStr">
        <x:is>
          <x:t xml:space="preserve">Confirm canonical NexusPavilion logo asset</x:t>
        </x:is>
      </x:c>
      <x:c r="F226" s="133" t="inlineStr">
        <x:is>
          <x:t xml:space="preserve">Existing production logo/brand asset is identified and reused; no new logo is created.</x:t>
        </x:is>
      </x:c>
      <x:c r="G226" s="133" t="inlineStr">
        <x:is>
          <x:t xml:space="preserve">P0</x:t>
        </x:is>
      </x:c>
      <x:c r="H226" s="133" t="inlineStr">
        <x:is>
          <x:t xml:space="preserve">Not Started</x:t>
        </x:is>
      </x:c>
      <x:c r="I226" s="133" t="str"/>
      <x:c r="J226" s="133" t="str"/>
      <x:c r="K226" s="133" t="inlineStr">
        <x:is>
          <x:t xml:space="preserve">Cursor UI 01</x:t>
        </x:is>
      </x:c>
      <x:c r="L226" s="133" t="str"/>
      <x:c r="M226" s="133" t="str"/>
      <x:c r="N226" s="249" t="n"/>
      <x:c r="O226" s="249" t="n"/>
      <x:c r="P226" s="135" t="str"/>
    </x:row>
    <x:row r="227">
      <x:c r="A227" s="133" t="str">
        <x:f>IF(H227="Completed","✓",IF(H227="Blocked","!",""))</x:f>
      </x:c>
      <x:c r="B227" s="133" t="inlineStr">
        <x:is>
          <x:t xml:space="preserve">13A-03</x:t>
        </x:is>
      </x:c>
      <x:c r="C227" s="133" t="inlineStr">
        <x:is>
          <x:t xml:space="preserve">13A Enterprise Experience Audit</x:t>
        </x:is>
      </x:c>
      <x:c r="D227" s="133" t="inlineStr">
        <x:is>
          <x:t xml:space="preserve">Inventory</x:t>
        </x:is>
      </x:c>
      <x:c r="E227" s="133" t="inlineStr">
        <x:is>
          <x:t xml:space="preserve">Inventory global shell/layout components</x:t>
        </x:is>
      </x:c>
      <x:c r="F227" s="133" t="inlineStr">
        <x:is>
          <x:t xml:space="preserve">Authenticated shell, public shell, sidebar, top bar, breadcrumbs, footer and content containers are mapped.</x:t>
        </x:is>
      </x:c>
      <x:c r="G227" s="133" t="inlineStr">
        <x:is>
          <x:t xml:space="preserve">P0</x:t>
        </x:is>
      </x:c>
      <x:c r="H227" s="133" t="inlineStr">
        <x:is>
          <x:t xml:space="preserve">Not Started</x:t>
        </x:is>
      </x:c>
      <x:c r="I227" s="133" t="str"/>
      <x:c r="J227" s="133" t="str"/>
      <x:c r="K227" s="133" t="inlineStr">
        <x:is>
          <x:t xml:space="preserve">Cursor UI 01</x:t>
        </x:is>
      </x:c>
      <x:c r="L227" s="133" t="str"/>
      <x:c r="M227" s="133" t="str"/>
      <x:c r="N227" s="249" t="n"/>
      <x:c r="O227" s="249" t="n"/>
      <x:c r="P227" s="135" t="str"/>
    </x:row>
    <x:row r="228">
      <x:c r="A228" s="133" t="str">
        <x:f>IF(H228="Completed","✓",IF(H228="Blocked","!",""))</x:f>
      </x:c>
      <x:c r="B228" s="133" t="inlineStr">
        <x:is>
          <x:t xml:space="preserve">13A-04</x:t>
        </x:is>
      </x:c>
      <x:c r="C228" s="133" t="inlineStr">
        <x:is>
          <x:t xml:space="preserve">13A Enterprise Experience Audit</x:t>
        </x:is>
      </x:c>
      <x:c r="D228" s="133" t="inlineStr">
        <x:is>
          <x:t xml:space="preserve">Tokens</x:t>
        </x:is>
      </x:c>
      <x:c r="E228" s="133" t="inlineStr">
        <x:is>
          <x:t xml:space="preserve">Inventory theme/design tokens and hard-coded colors</x:t>
        </x:is>
      </x:c>
      <x:c r="F228" s="133" t="inlineStr">
        <x:is>
          <x:t xml:space="preserve">Current color, typography, spacing, radius, border, shadow and status styles are classified for reuse/consolidation.</x:t>
        </x:is>
      </x:c>
      <x:c r="G228" s="133" t="inlineStr">
        <x:is>
          <x:t xml:space="preserve">P0</x:t>
        </x:is>
      </x:c>
      <x:c r="H228" s="133" t="inlineStr">
        <x:is>
          <x:t xml:space="preserve">Not Started</x:t>
        </x:is>
      </x:c>
      <x:c r="I228" s="133" t="str"/>
      <x:c r="J228" s="133" t="str"/>
      <x:c r="K228" s="133" t="inlineStr">
        <x:is>
          <x:t xml:space="preserve">Cursor UI 01</x:t>
        </x:is>
      </x:c>
      <x:c r="L228" s="133" t="str"/>
      <x:c r="M228" s="133" t="str"/>
      <x:c r="N228" s="249" t="n"/>
      <x:c r="O228" s="249" t="n"/>
      <x:c r="P228" s="135" t="str"/>
    </x:row>
    <x:row r="229">
      <x:c r="A229" s="133" t="str">
        <x:f>IF(H229="Completed","✓",IF(H229="Blocked","!",""))</x:f>
      </x:c>
      <x:c r="B229" s="133" t="inlineStr">
        <x:is>
          <x:t xml:space="preserve">13A-05</x:t>
        </x:is>
      </x:c>
      <x:c r="C229" s="133" t="inlineStr">
        <x:is>
          <x:t xml:space="preserve">13A Enterprise Experience Audit</x:t>
        </x:is>
      </x:c>
      <x:c r="D229" s="133" t="inlineStr">
        <x:is>
          <x:t xml:space="preserve">Components</x:t>
        </x:is>
      </x:c>
      <x:c r="E229" s="133" t="inlineStr">
        <x:is>
          <x:t xml:space="preserve">Inventory shared UI primitives</x:t>
        </x:is>
      </x:c>
      <x:c r="F229" s="133" t="inlineStr">
        <x:is>
          <x:t xml:space="preserve">Buttons, inputs, selects, date pickers, cards, tables, dialogs, drawers, tooltips, badges and feedback states are mapped.</x:t>
        </x:is>
      </x:c>
      <x:c r="G229" s="133" t="inlineStr">
        <x:is>
          <x:t xml:space="preserve">P0</x:t>
        </x:is>
      </x:c>
      <x:c r="H229" s="133" t="inlineStr">
        <x:is>
          <x:t xml:space="preserve">Not Started</x:t>
        </x:is>
      </x:c>
      <x:c r="I229" s="133" t="str"/>
      <x:c r="J229" s="133" t="str"/>
      <x:c r="K229" s="133" t="inlineStr">
        <x:is>
          <x:t xml:space="preserve">Cursor UI 01</x:t>
        </x:is>
      </x:c>
      <x:c r="L229" s="133" t="str"/>
      <x:c r="M229" s="133" t="str"/>
      <x:c r="N229" s="249" t="n"/>
      <x:c r="O229" s="249" t="n"/>
      <x:c r="P229" s="135" t="str"/>
    </x:row>
    <x:row r="230">
      <x:c r="A230" s="133" t="str">
        <x:f>IF(H230="Completed","✓",IF(H230="Blocked","!",""))</x:f>
      </x:c>
      <x:c r="B230" s="133" t="inlineStr">
        <x:is>
          <x:t xml:space="preserve">13A-06</x:t>
        </x:is>
      </x:c>
      <x:c r="C230" s="133" t="inlineStr">
        <x:is>
          <x:t xml:space="preserve">13A Enterprise Experience Audit</x:t>
        </x:is>
      </x:c>
      <x:c r="D230" s="133" t="inlineStr">
        <x:is>
          <x:t xml:space="preserve">Motion</x:t>
        </x:is>
      </x:c>
      <x:c r="E230" s="133" t="inlineStr">
        <x:is>
          <x:t xml:space="preserve">Inventory existing animations and FAQ-style success choreography</x:t>
        </x:is>
      </x:c>
      <x:c r="F230" s="133" t="inlineStr">
        <x:is>
          <x:t xml:space="preserve">Existing reusable motion patterns are identified before creating new motion components.</x:t>
        </x:is>
      </x:c>
      <x:c r="G230" s="133" t="inlineStr">
        <x:is>
          <x:t xml:space="preserve">P0</x:t>
        </x:is>
      </x:c>
      <x:c r="H230" s="133" t="inlineStr">
        <x:is>
          <x:t xml:space="preserve">Not Started</x:t>
        </x:is>
      </x:c>
      <x:c r="I230" s="133" t="str"/>
      <x:c r="J230" s="133" t="str"/>
      <x:c r="K230" s="133" t="inlineStr">
        <x:is>
          <x:t xml:space="preserve">Cursor UI 01</x:t>
        </x:is>
      </x:c>
      <x:c r="L230" s="133" t="str"/>
      <x:c r="M230" s="133" t="str"/>
      <x:c r="N230" s="249" t="n"/>
      <x:c r="O230" s="249" t="n"/>
      <x:c r="P230" s="135" t="str"/>
    </x:row>
    <x:row r="231">
      <x:c r="A231" s="133" t="str">
        <x:f>IF(H231="Completed","✓",IF(H231="Blocked","!",""))</x:f>
      </x:c>
      <x:c r="B231" s="133" t="inlineStr">
        <x:is>
          <x:t xml:space="preserve">13A-07</x:t>
        </x:is>
      </x:c>
      <x:c r="C231" s="133" t="inlineStr">
        <x:is>
          <x:t xml:space="preserve">13A Enterprise Experience Audit</x:t>
        </x:is>
      </x:c>
      <x:c r="D231" s="133" t="inlineStr">
        <x:is>
          <x:t xml:space="preserve">Guidance</x:t>
        </x:is>
      </x:c>
      <x:c r="E231" s="133" t="inlineStr">
        <x:is>
          <x:t xml:space="preserve">Inventory help/tutorial/onboarding patterns</x:t>
        </x:is>
      </x:c>
      <x:c r="F231" s="133" t="inlineStr">
        <x:is>
          <x:t xml:space="preserve">Existing hints, walkthroughs, tooltips, onboarding and contextual help are mapped to avoid duplicate systems.</x:t>
        </x:is>
      </x:c>
      <x:c r="G231" s="133" t="inlineStr">
        <x:is>
          <x:t xml:space="preserve">P0</x:t>
        </x:is>
      </x:c>
      <x:c r="H231" s="133" t="inlineStr">
        <x:is>
          <x:t xml:space="preserve">Not Started</x:t>
        </x:is>
      </x:c>
      <x:c r="I231" s="133" t="str"/>
      <x:c r="J231" s="133" t="str"/>
      <x:c r="K231" s="133" t="inlineStr">
        <x:is>
          <x:t xml:space="preserve">Cursor UI 01</x:t>
        </x:is>
      </x:c>
      <x:c r="L231" s="133" t="str"/>
      <x:c r="M231" s="133" t="str"/>
      <x:c r="N231" s="249" t="n"/>
      <x:c r="O231" s="249" t="n"/>
      <x:c r="P231" s="135" t="str"/>
    </x:row>
    <x:row r="232">
      <x:c r="A232" s="133" t="str">
        <x:f>IF(H232="Completed","✓",IF(H232="Blocked","!",""))</x:f>
      </x:c>
      <x:c r="B232" s="133" t="inlineStr">
        <x:is>
          <x:t xml:space="preserve">13A-08</x:t>
        </x:is>
      </x:c>
      <x:c r="C232" s="133" t="inlineStr">
        <x:is>
          <x:t xml:space="preserve">13A Enterprise Experience Audit</x:t>
        </x:is>
      </x:c>
      <x:c r="D232" s="133" t="inlineStr">
        <x:is>
          <x:t xml:space="preserve">Accessibility</x:t>
        </x:is>
      </x:c>
      <x:c r="E232" s="133" t="inlineStr">
        <x:is>
          <x:t xml:space="preserve">Audit reduced-motion, focus, contrast and keyboard behavior</x:t>
        </x:is>
      </x:c>
      <x:c r="F232" s="133" t="inlineStr">
        <x:is>
          <x:t xml:space="preserve">Launch-critical design-system gaps are documented before motion work begins.</x:t>
        </x:is>
      </x:c>
      <x:c r="G232" s="133" t="inlineStr">
        <x:is>
          <x:t xml:space="preserve">P0</x:t>
        </x:is>
      </x:c>
      <x:c r="H232" s="133" t="inlineStr">
        <x:is>
          <x:t xml:space="preserve">Not Started</x:t>
        </x:is>
      </x:c>
      <x:c r="I232" s="133" t="str"/>
      <x:c r="J232" s="133" t="str"/>
      <x:c r="K232" s="133" t="inlineStr">
        <x:is>
          <x:t xml:space="preserve">Cursor UI 01</x:t>
        </x:is>
      </x:c>
      <x:c r="L232" s="133" t="str"/>
      <x:c r="M232" s="133" t="str"/>
      <x:c r="N232" s="249" t="n"/>
      <x:c r="O232" s="249" t="n"/>
      <x:c r="P232" s="135" t="str"/>
    </x:row>
    <x:row r="233">
      <x:c r="A233" s="133" t="str">
        <x:f>IF(H233="Completed","✓",IF(H233="Blocked","!",""))</x:f>
      </x:c>
      <x:c r="B233" s="133" t="inlineStr">
        <x:is>
          <x:t xml:space="preserve">13A-09</x:t>
        </x:is>
      </x:c>
      <x:c r="C233" s="133" t="inlineStr">
        <x:is>
          <x:t xml:space="preserve">13A Enterprise Experience Audit</x:t>
        </x:is>
      </x:c>
      <x:c r="D233" s="133" t="inlineStr">
        <x:is>
          <x:t xml:space="preserve">Scoring</x:t>
        </x:is>
      </x:c>
      <x:c r="E233" s="133" t="inlineStr">
        <x:is>
          <x:t xml:space="preserve">Baseline UI score every core page</x:t>
        </x:is>
      </x:c>
      <x:c r="F233" s="133" t="inlineStr">
        <x:is>
          <x:t xml:space="preserve">Every core page has baseline scores using the 10-dimension 9.5/10 scorecard.</x:t>
        </x:is>
      </x:c>
      <x:c r="G233" s="133" t="inlineStr">
        <x:is>
          <x:t xml:space="preserve">P0</x:t>
        </x:is>
      </x:c>
      <x:c r="H233" s="133" t="inlineStr">
        <x:is>
          <x:t xml:space="preserve">Not Started</x:t>
        </x:is>
      </x:c>
      <x:c r="I233" s="133" t="str"/>
      <x:c r="J233" s="133" t="str"/>
      <x:c r="K233" s="133" t="inlineStr">
        <x:is>
          <x:t xml:space="preserve">Cursor UI 01</x:t>
        </x:is>
      </x:c>
      <x:c r="L233" s="133" t="str"/>
      <x:c r="M233" s="133" t="str"/>
      <x:c r="N233" s="249" t="n"/>
      <x:c r="O233" s="249" t="n"/>
      <x:c r="P233" s="135" t="str"/>
    </x:row>
    <x:row r="234">
      <x:c r="A234" s="133" t="str">
        <x:f>IF(H234="Completed","✓",IF(H234="Blocked","!",""))</x:f>
      </x:c>
      <x:c r="B234" s="133" t="inlineStr">
        <x:is>
          <x:t xml:space="preserve">13A-10</x:t>
        </x:is>
      </x:c>
      <x:c r="C234" s="133" t="inlineStr">
        <x:is>
          <x:t xml:space="preserve">13A Enterprise Experience Audit</x:t>
        </x:is>
      </x:c>
      <x:c r="D234" s="133" t="inlineStr">
        <x:is>
          <x:t xml:space="preserve">Plan</x:t>
        </x:is>
      </x:c>
      <x:c r="E234" s="133" t="inlineStr">
        <x:is>
          <x:t xml:space="preserve">Approve shared-first UI implementation sequence</x:t>
        </x:is>
      </x:c>
      <x:c r="F234" s="133" t="inlineStr">
        <x:is>
          <x:t xml:space="preserve">Foundation → shared components → shell → motion → guidance → page upgrades is approved before implementation.</x:t>
        </x:is>
      </x:c>
      <x:c r="G234" s="133" t="inlineStr">
        <x:is>
          <x:t xml:space="preserve">P0</x:t>
        </x:is>
      </x:c>
      <x:c r="H234" s="133" t="inlineStr">
        <x:is>
          <x:t xml:space="preserve">Not Started</x:t>
        </x:is>
      </x:c>
      <x:c r="I234" s="133" t="str"/>
      <x:c r="J234" s="133" t="str"/>
      <x:c r="K234" s="133" t="inlineStr">
        <x:is>
          <x:t xml:space="preserve">Cursor UI 01</x:t>
        </x:is>
      </x:c>
      <x:c r="L234" s="133" t="str"/>
      <x:c r="M234" s="133" t="str"/>
      <x:c r="N234" s="249" t="n"/>
      <x:c r="O234" s="249" t="n"/>
      <x:c r="P234" s="135" t="str"/>
    </x:row>
    <x:row r="235">
      <x:c r="A235" s="133" t="str">
        <x:f>IF(H235="Completed","✓",IF(H235="Blocked","!",""))</x:f>
      </x:c>
      <x:c r="B235" s="133" t="inlineStr">
        <x:is>
          <x:t xml:space="preserve">13B-01</x:t>
        </x:is>
      </x:c>
      <x:c r="C235" s="133" t="inlineStr">
        <x:is>
          <x:t xml:space="preserve">13B Dark Design System Foundation</x:t>
        </x:is>
      </x:c>
      <x:c r="D235" s="133" t="inlineStr">
        <x:is>
          <x:t xml:space="preserve">Theme</x:t>
        </x:is>
      </x:c>
      <x:c r="E235" s="133" t="inlineStr">
        <x:is>
          <x:t xml:space="preserve">Define dark-first semantic color tokens</x:t>
        </x:is>
      </x:c>
      <x:c r="F235" s="133" t="inlineStr">
        <x:is>
          <x:t xml:space="preserve">Background, surfaces, text emphasis, borders, overlays, status and intelligence tokens are centralized and reusable.</x:t>
        </x:is>
      </x:c>
      <x:c r="G235" s="133" t="inlineStr">
        <x:is>
          <x:t xml:space="preserve">P0</x:t>
        </x:is>
      </x:c>
      <x:c r="H235" s="133" t="inlineStr">
        <x:is>
          <x:t xml:space="preserve">Not Started</x:t>
        </x:is>
      </x:c>
      <x:c r="I235" s="133" t="str"/>
      <x:c r="J235" s="133" t="inlineStr">
        <x:is>
          <x:t xml:space="preserve">Cursor UI 02</x:t>
        </x:is>
      </x:c>
      <x:c r="K235" s="133" t="inlineStr">
        <x:is>
          <x:t xml:space="preserve">13A-10</x:t>
        </x:is>
      </x:c>
      <x:c r="L235" s="133" t="str"/>
      <x:c r="M235" s="133" t="str"/>
      <x:c r="N235" s="249" t="n"/>
      <x:c r="O235" s="249" t="n"/>
      <x:c r="P235" s="135" t="str"/>
    </x:row>
    <x:row r="236">
      <x:c r="A236" s="133" t="str">
        <x:f>IF(H236="Completed","✓",IF(H236="Blocked","!",""))</x:f>
      </x:c>
      <x:c r="B236" s="133" t="inlineStr">
        <x:is>
          <x:t xml:space="preserve">13B-02</x:t>
        </x:is>
      </x:c>
      <x:c r="C236" s="133" t="inlineStr">
        <x:is>
          <x:t xml:space="preserve">13B Dark Design System Foundation</x:t>
        </x:is>
      </x:c>
      <x:c r="D236" s="133" t="inlineStr">
        <x:is>
          <x:t xml:space="preserve">Theme</x:t>
        </x:is>
      </x:c>
      <x:c r="E236" s="133" t="inlineStr">
        <x:is>
          <x:t xml:space="preserve">Define light-mode compatibility strategy</x:t>
        </x:is>
      </x:c>
      <x:c r="F236" s="133" t="inlineStr">
        <x:is>
          <x:t xml:space="preserve">Dark-first implementation does not hard-code assumptions that block future light/system appearance.</x:t>
        </x:is>
      </x:c>
      <x:c r="G236" s="133" t="inlineStr">
        <x:is>
          <x:t xml:space="preserve">P1</x:t>
        </x:is>
      </x:c>
      <x:c r="H236" s="133" t="inlineStr">
        <x:is>
          <x:t xml:space="preserve">Not Started</x:t>
        </x:is>
      </x:c>
      <x:c r="I236" s="133" t="str"/>
      <x:c r="J236" s="133" t="str"/>
      <x:c r="K236" s="133" t="inlineStr">
        <x:is>
          <x:t xml:space="preserve">13B-01</x:t>
        </x:is>
      </x:c>
      <x:c r="L236" s="133" t="str"/>
      <x:c r="M236" s="133" t="str"/>
      <x:c r="N236" s="249" t="n"/>
      <x:c r="O236" s="249" t="n"/>
      <x:c r="P236" s="135" t="str"/>
    </x:row>
    <x:row r="237">
      <x:c r="A237" s="133" t="str">
        <x:f>IF(H237="Completed","✓",IF(H237="Blocked","!",""))</x:f>
      </x:c>
      <x:c r="B237" s="133" t="inlineStr">
        <x:is>
          <x:t xml:space="preserve">13B-03</x:t>
        </x:is>
      </x:c>
      <x:c r="C237" s="133" t="inlineStr">
        <x:is>
          <x:t xml:space="preserve">13B Dark Design System Foundation</x:t>
        </x:is>
      </x:c>
      <x:c r="D237" s="133" t="inlineStr">
        <x:is>
          <x:t xml:space="preserve">Typography</x:t>
        </x:is>
      </x:c>
      <x:c r="E237" s="133" t="inlineStr">
        <x:is>
          <x:t xml:space="preserve">Standardize typography scale</x:t>
        </x:is>
      </x:c>
      <x:c r="F237" s="133" t="inlineStr">
        <x:is>
          <x:t xml:space="preserve">Page titles, section titles, body, labels, tables, metadata and numeric emphasis use one hierarchy.</x:t>
        </x:is>
      </x:c>
      <x:c r="G237" s="133" t="inlineStr">
        <x:is>
          <x:t xml:space="preserve">P0</x:t>
        </x:is>
      </x:c>
      <x:c r="H237" s="133" t="inlineStr">
        <x:is>
          <x:t xml:space="preserve">Not Started</x:t>
        </x:is>
      </x:c>
      <x:c r="I237" s="133" t="str"/>
      <x:c r="J237" s="133" t="str"/>
      <x:c r="K237" s="133" t="inlineStr">
        <x:is>
          <x:t xml:space="preserve">13A-04</x:t>
        </x:is>
      </x:c>
      <x:c r="L237" s="133" t="str"/>
      <x:c r="M237" s="133" t="str"/>
      <x:c r="N237" s="249" t="n"/>
      <x:c r="O237" s="249" t="n"/>
      <x:c r="P237" s="135" t="str"/>
    </x:row>
    <x:row r="238">
      <x:c r="A238" s="133" t="str">
        <x:f>IF(H238="Completed","✓",IF(H238="Blocked","!",""))</x:f>
      </x:c>
      <x:c r="B238" s="133" t="inlineStr">
        <x:is>
          <x:t xml:space="preserve">13B-04</x:t>
        </x:is>
      </x:c>
      <x:c r="C238" s="133" t="inlineStr">
        <x:is>
          <x:t xml:space="preserve">13B Dark Design System Foundation</x:t>
        </x:is>
      </x:c>
      <x:c r="D238" s="133" t="inlineStr">
        <x:is>
          <x:t xml:space="preserve">Spacing</x:t>
        </x:is>
      </x:c>
      <x:c r="E238" s="133" t="inlineStr">
        <x:is>
          <x:t xml:space="preserve">Standardize spacing/grid tokens</x:t>
        </x:is>
      </x:c>
      <x:c r="F238" s="133" t="inlineStr">
        <x:is>
          <x:t xml:space="preserve">Consistent page/container/card/control spacing replaces page-specific magic values.</x:t>
        </x:is>
      </x:c>
      <x:c r="G238" s="133" t="inlineStr">
        <x:is>
          <x:t xml:space="preserve">P0</x:t>
        </x:is>
      </x:c>
      <x:c r="H238" s="133" t="inlineStr">
        <x:is>
          <x:t xml:space="preserve">Not Started</x:t>
        </x:is>
      </x:c>
      <x:c r="I238" s="133" t="str"/>
      <x:c r="J238" s="133" t="str"/>
      <x:c r="K238" s="133" t="inlineStr">
        <x:is>
          <x:t xml:space="preserve">13A-04</x:t>
        </x:is>
      </x:c>
      <x:c r="L238" s="133" t="str"/>
      <x:c r="M238" s="133" t="str"/>
      <x:c r="N238" s="249" t="n"/>
      <x:c r="O238" s="249" t="n"/>
      <x:c r="P238" s="135" t="str"/>
    </x:row>
    <x:row r="239">
      <x:c r="A239" s="133" t="str">
        <x:f>IF(H239="Completed","✓",IF(H239="Blocked","!",""))</x:f>
      </x:c>
      <x:c r="B239" s="133" t="inlineStr">
        <x:is>
          <x:t xml:space="preserve">13B-05</x:t>
        </x:is>
      </x:c>
      <x:c r="C239" s="133" t="inlineStr">
        <x:is>
          <x:t xml:space="preserve">13B Dark Design System Foundation</x:t>
        </x:is>
      </x:c>
      <x:c r="D239" s="133" t="inlineStr">
        <x:is>
          <x:t xml:space="preserve">Surfaces</x:t>
        </x:is>
      </x:c>
      <x:c r="E239" s="133" t="inlineStr">
        <x:is>
          <x:t xml:space="preserve">Standardize surface, border, radius and elevation tokens</x:t>
        </x:is>
      </x:c>
      <x:c r="F239" s="133" t="inlineStr">
        <x:is>
          <x:t xml:space="preserve">Panels/cards/modals use restrained enterprise depth rather than inconsistent shadows/glass effects.</x:t>
        </x:is>
      </x:c>
      <x:c r="G239" s="133" t="inlineStr">
        <x:is>
          <x:t xml:space="preserve">P0</x:t>
        </x:is>
      </x:c>
      <x:c r="H239" s="133" t="inlineStr">
        <x:is>
          <x:t xml:space="preserve">Not Started</x:t>
        </x:is>
      </x:c>
      <x:c r="I239" s="133" t="str"/>
      <x:c r="J239" s="133" t="str"/>
      <x:c r="K239" s="133" t="inlineStr">
        <x:is>
          <x:t xml:space="preserve">13B-01</x:t>
        </x:is>
      </x:c>
      <x:c r="L239" s="133" t="str"/>
      <x:c r="M239" s="133" t="str"/>
      <x:c r="N239" s="249" t="n"/>
      <x:c r="O239" s="249" t="n"/>
      <x:c r="P239" s="135" t="str"/>
    </x:row>
    <x:row r="240">
      <x:c r="A240" s="133" t="str">
        <x:f>IF(H240="Completed","✓",IF(H240="Blocked","!",""))</x:f>
      </x:c>
      <x:c r="B240" s="133" t="inlineStr">
        <x:is>
          <x:t xml:space="preserve">13B-06</x:t>
        </x:is>
      </x:c>
      <x:c r="C240" s="133" t="inlineStr">
        <x:is>
          <x:t xml:space="preserve">13B Dark Design System Foundation</x:t>
        </x:is>
      </x:c>
      <x:c r="D240" s="133" t="inlineStr">
        <x:is>
          <x:t xml:space="preserve">Status</x:t>
        </x:is>
      </x:c>
      <x:c r="E240" s="133" t="inlineStr">
        <x:is>
          <x:t xml:space="preserve">Standardize semantic status palette</x:t>
        </x:is>
      </x:c>
      <x:c r="F240" s="133" t="inlineStr">
        <x:is>
          <x:t xml:space="preserve">Success, warning, risk, info and neutral states are visually consistent and accessible.</x:t>
        </x:is>
      </x:c>
      <x:c r="G240" s="133" t="inlineStr">
        <x:is>
          <x:t xml:space="preserve">P0</x:t>
        </x:is>
      </x:c>
      <x:c r="H240" s="133" t="inlineStr">
        <x:is>
          <x:t xml:space="preserve">Not Started</x:t>
        </x:is>
      </x:c>
      <x:c r="I240" s="133" t="str"/>
      <x:c r="J240" s="133" t="str"/>
      <x:c r="K240" s="133" t="inlineStr">
        <x:is>
          <x:t xml:space="preserve">13B-01</x:t>
        </x:is>
      </x:c>
      <x:c r="L240" s="133" t="str"/>
      <x:c r="M240" s="133" t="str"/>
      <x:c r="N240" s="249" t="n"/>
      <x:c r="O240" s="249" t="n"/>
      <x:c r="P240" s="135" t="str"/>
    </x:row>
    <x:row r="241">
      <x:c r="A241" s="133" t="str">
        <x:f>IF(H241="Completed","✓",IF(H241="Blocked","!",""))</x:f>
      </x:c>
      <x:c r="B241" s="133" t="inlineStr">
        <x:is>
          <x:t xml:space="preserve">13B-07</x:t>
        </x:is>
      </x:c>
      <x:c r="C241" s="133" t="inlineStr">
        <x:is>
          <x:t xml:space="preserve">13B Dark Design System Foundation</x:t>
        </x:is>
      </x:c>
      <x:c r="D241" s="133" t="inlineStr">
        <x:is>
          <x:t xml:space="preserve">Intelligence</x:t>
        </x:is>
      </x:c>
      <x:c r="E241" s="133" t="inlineStr">
        <x:is>
          <x:t xml:space="preserve">Define Nexus Intelligence visual language</x:t>
        </x:is>
      </x:c>
      <x:c r="F241" s="133" t="inlineStr">
        <x:is>
          <x:t xml:space="preserve">One restrained visual treatment/icon/accent identifies intelligence without emoji/neon/AI-badge clutter.</x:t>
        </x:is>
      </x:c>
      <x:c r="G241" s="133" t="inlineStr">
        <x:is>
          <x:t xml:space="preserve">P1</x:t>
        </x:is>
      </x:c>
      <x:c r="H241" s="133" t="inlineStr">
        <x:is>
          <x:t xml:space="preserve">Not Started</x:t>
        </x:is>
      </x:c>
      <x:c r="I241" s="133" t="str"/>
      <x:c r="J241" s="133" t="str"/>
      <x:c r="K241" s="133" t="inlineStr">
        <x:is>
          <x:t xml:space="preserve">13B-01</x:t>
        </x:is>
      </x:c>
      <x:c r="L241" s="133" t="str"/>
      <x:c r="M241" s="133" t="str"/>
      <x:c r="N241" s="249" t="n"/>
      <x:c r="O241" s="249" t="n"/>
      <x:c r="P241" s="135" t="str"/>
    </x:row>
    <x:row r="242">
      <x:c r="A242" s="133" t="str">
        <x:f>IF(H242="Completed","✓",IF(H242="Blocked","!",""))</x:f>
      </x:c>
      <x:c r="B242" s="133" t="inlineStr">
        <x:is>
          <x:t xml:space="preserve">13B-08</x:t>
        </x:is>
      </x:c>
      <x:c r="C242" s="133" t="inlineStr">
        <x:is>
          <x:t xml:space="preserve">13B Dark Design System Foundation</x:t>
        </x:is>
      </x:c>
      <x:c r="D242" s="133" t="inlineStr">
        <x:is>
          <x:t xml:space="preserve">Focus</x:t>
        </x:is>
      </x:c>
      <x:c r="E242" s="133" t="inlineStr">
        <x:is>
          <x:t xml:space="preserve">Standardize focus/hover/selected/disabled states</x:t>
        </x:is>
      </x:c>
      <x:c r="F242" s="133" t="inlineStr">
        <x:is>
          <x:t xml:space="preserve">Keyboard and pointer states are predictable across all shared controls.</x:t>
        </x:is>
      </x:c>
      <x:c r="G242" s="133" t="inlineStr">
        <x:is>
          <x:t xml:space="preserve">P0</x:t>
        </x:is>
      </x:c>
      <x:c r="H242" s="133" t="inlineStr">
        <x:is>
          <x:t xml:space="preserve">Not Started</x:t>
        </x:is>
      </x:c>
      <x:c r="I242" s="133" t="str"/>
      <x:c r="J242" s="133" t="str"/>
      <x:c r="K242" s="133" t="inlineStr">
        <x:is>
          <x:t xml:space="preserve">13B-01</x:t>
        </x:is>
      </x:c>
      <x:c r="L242" s="133" t="str"/>
      <x:c r="M242" s="133" t="str"/>
      <x:c r="N242" s="249" t="n"/>
      <x:c r="O242" s="249" t="n"/>
      <x:c r="P242" s="135" t="str"/>
    </x:row>
    <x:row r="243">
      <x:c r="A243" s="133" t="str">
        <x:f>IF(H243="Completed","✓",IF(H243="Blocked","!",""))</x:f>
      </x:c>
      <x:c r="B243" s="133" t="inlineStr">
        <x:is>
          <x:t xml:space="preserve">13B-09</x:t>
        </x:is>
      </x:c>
      <x:c r="C243" s="133" t="inlineStr">
        <x:is>
          <x:t xml:space="preserve">13B Dark Design System Foundation</x:t>
        </x:is>
      </x:c>
      <x:c r="D243" s="133" t="inlineStr">
        <x:is>
          <x:t xml:space="preserve">Motion</x:t>
        </x:is>
      </x:c>
      <x:c r="E243" s="133" t="inlineStr">
        <x:is>
          <x:t xml:space="preserve">Define motion tokens</x:t>
        </x:is>
      </x:c>
      <x:c r="F243" s="133" t="inlineStr">
        <x:is>
          <x:t xml:space="preserve">Fast 140ms, standard 220ms, context 300ms and milestone ~650ms tokens are centrally defined.</x:t>
        </x:is>
      </x:c>
      <x:c r="G243" s="133" t="inlineStr">
        <x:is>
          <x:t xml:space="preserve">P0</x:t>
        </x:is>
      </x:c>
      <x:c r="H243" s="133" t="inlineStr">
        <x:is>
          <x:t xml:space="preserve">Not Started</x:t>
        </x:is>
      </x:c>
      <x:c r="I243" s="133" t="str"/>
      <x:c r="J243" s="133" t="str"/>
      <x:c r="K243" s="133" t="inlineStr">
        <x:is>
          <x:t xml:space="preserve">13A-06</x:t>
        </x:is>
      </x:c>
      <x:c r="L243" s="133" t="str"/>
      <x:c r="M243" s="133" t="str"/>
      <x:c r="N243" s="249" t="n"/>
      <x:c r="O243" s="249" t="n"/>
      <x:c r="P243" s="135" t="str"/>
    </x:row>
    <x:row r="244">
      <x:c r="A244" s="133" t="str">
        <x:f>IF(H244="Completed","✓",IF(H244="Blocked","!",""))</x:f>
      </x:c>
      <x:c r="B244" s="133" t="inlineStr">
        <x:is>
          <x:t xml:space="preserve">13B-10</x:t>
        </x:is>
      </x:c>
      <x:c r="C244" s="133" t="inlineStr">
        <x:is>
          <x:t xml:space="preserve">13B Dark Design System Foundation</x:t>
        </x:is>
      </x:c>
      <x:c r="D244" s="133" t="inlineStr">
        <x:is>
          <x:t xml:space="preserve">Motion</x:t>
        </x:is>
      </x:c>
      <x:c r="E244" s="133" t="inlineStr">
        <x:is>
          <x:t xml:space="preserve">Define easing and reduced-motion behavior</x:t>
        </x:is>
      </x:c>
      <x:c r="F244" s="133" t="inlineStr">
        <x:is>
          <x:t xml:space="preserve">Motion uses restrained easing; prefers-reduced-motion disables unnecessary translation/pulse effects.</x:t>
        </x:is>
      </x:c>
      <x:c r="G244" s="133" t="inlineStr">
        <x:is>
          <x:t xml:space="preserve">P0</x:t>
        </x:is>
      </x:c>
      <x:c r="H244" s="133" t="inlineStr">
        <x:is>
          <x:t xml:space="preserve">Not Started</x:t>
        </x:is>
      </x:c>
      <x:c r="I244" s="133" t="str"/>
      <x:c r="J244" s="133" t="str"/>
      <x:c r="K244" s="133" t="inlineStr">
        <x:is>
          <x:t xml:space="preserve">13B-09</x:t>
        </x:is>
      </x:c>
      <x:c r="L244" s="133" t="str"/>
      <x:c r="M244" s="133" t="str"/>
      <x:c r="N244" s="249" t="n"/>
      <x:c r="O244" s="249" t="n"/>
      <x:c r="P244" s="135" t="str"/>
    </x:row>
    <x:row r="245">
      <x:c r="A245" s="133" t="str">
        <x:f>IF(H245="Completed","✓",IF(H245="Blocked","!",""))</x:f>
      </x:c>
      <x:c r="B245" s="133" t="inlineStr">
        <x:is>
          <x:t xml:space="preserve">13B-11</x:t>
        </x:is>
      </x:c>
      <x:c r="C245" s="133" t="inlineStr">
        <x:is>
          <x:t xml:space="preserve">13B Dark Design System Foundation</x:t>
        </x:is>
      </x:c>
      <x:c r="D245" s="133" t="inlineStr">
        <x:is>
          <x:t xml:space="preserve">Brand</x:t>
        </x:is>
      </x:c>
      <x:c r="E245" s="133" t="inlineStr">
        <x:is>
          <x:t xml:space="preserve">Standardize logo treatment on dark surfaces</x:t>
        </x:is>
      </x:c>
      <x:c r="F245" s="133" t="inlineStr">
        <x:is>
          <x:t xml:space="preserve">Canonical logo placement, padding, minimum size and dark-background treatment are documented and reused.</x:t>
        </x:is>
      </x:c>
      <x:c r="G245" s="133" t="inlineStr">
        <x:is>
          <x:t xml:space="preserve">P0</x:t>
        </x:is>
      </x:c>
      <x:c r="H245" s="133" t="inlineStr">
        <x:is>
          <x:t xml:space="preserve">Not Started</x:t>
        </x:is>
      </x:c>
      <x:c r="I245" s="133" t="str"/>
      <x:c r="J245" s="133" t="str"/>
      <x:c r="K245" s="133" t="inlineStr">
        <x:is>
          <x:t xml:space="preserve">13A-02</x:t>
        </x:is>
      </x:c>
      <x:c r="L245" s="133" t="str"/>
      <x:c r="M245" s="133" t="str"/>
      <x:c r="N245" s="249" t="n"/>
      <x:c r="O245" s="249" t="n"/>
      <x:c r="P245" s="135" t="str"/>
    </x:row>
    <x:row r="246">
      <x:c r="A246" s="133" t="str">
        <x:f>IF(H246="Completed","✓",IF(H246="Blocked","!",""))</x:f>
      </x:c>
      <x:c r="B246" s="133" t="inlineStr">
        <x:is>
          <x:t xml:space="preserve">13B-12</x:t>
        </x:is>
      </x:c>
      <x:c r="C246" s="133" t="inlineStr">
        <x:is>
          <x:t xml:space="preserve">13B Dark Design System Foundation</x:t>
        </x:is>
      </x:c>
      <x:c r="D246" s="133" t="inlineStr">
        <x:is>
          <x:t xml:space="preserve">Review</x:t>
        </x:is>
      </x:c>
      <x:c r="E246" s="133" t="inlineStr">
        <x:is>
          <x:t xml:space="preserve">Design-system foundation review</x:t>
        </x:is>
      </x:c>
      <x:c r="F246" s="133" t="inlineStr">
        <x:is>
          <x:t xml:space="preserve">No core page styling work starts until shared tokens are accepted and visual regressions are understood.</x:t>
        </x:is>
      </x:c>
      <x:c r="G246" s="133" t="inlineStr">
        <x:is>
          <x:t xml:space="preserve">P0</x:t>
        </x:is>
      </x:c>
      <x:c r="H246" s="133" t="inlineStr">
        <x:is>
          <x:t xml:space="preserve">Not Started</x:t>
        </x:is>
      </x:c>
      <x:c r="I246" s="133" t="str"/>
      <x:c r="J246" s="133" t="str"/>
      <x:c r="K246" s="133" t="inlineStr">
        <x:is>
          <x:t xml:space="preserve">13B-01</x:t>
        </x:is>
      </x:c>
      <x:c r="L246" s="133" t="str"/>
      <x:c r="M246" s="133" t="str"/>
      <x:c r="N246" s="249" t="n"/>
      <x:c r="O246" s="249" t="n"/>
      <x:c r="P246" s="135" t="str"/>
    </x:row>
    <x:row r="247">
      <x:c r="A247" s="133" t="str">
        <x:f>IF(H247="Completed","✓",IF(H247="Blocked","!",""))</x:f>
      </x:c>
      <x:c r="B247" s="133" t="inlineStr">
        <x:is>
          <x:t xml:space="preserve">13C-01</x:t>
        </x:is>
      </x:c>
      <x:c r="C247" s="133" t="inlineStr">
        <x:is>
          <x:t xml:space="preserve">13C Shared Enterprise Components</x:t>
        </x:is>
      </x:c>
      <x:c r="D247" s="133" t="inlineStr">
        <x:is>
          <x:t xml:space="preserve">Components</x:t>
        </x:is>
      </x:c>
      <x:c r="E247" s="133" t="inlineStr">
        <x:is>
          <x:t xml:space="preserve">Standardize button system</x:t>
        </x:is>
      </x:c>
      <x:c r="F247" s="133" t="inlineStr">
        <x:is>
          <x:t xml:space="preserve">Primary/secondary/tertiary/destructive/icon/loading/disabled buttons share one behavior.</x:t>
        </x:is>
      </x:c>
      <x:c r="G247" s="133" t="inlineStr">
        <x:is>
          <x:t xml:space="preserve">P0</x:t>
        </x:is>
      </x:c>
      <x:c r="H247" s="133" t="inlineStr">
        <x:is>
          <x:t xml:space="preserve">Not Started</x:t>
        </x:is>
      </x:c>
      <x:c r="I247" s="133" t="str"/>
      <x:c r="J247" s="133" t="inlineStr">
        <x:is>
          <x:t xml:space="preserve">Cursor UI 03</x:t>
        </x:is>
      </x:c>
      <x:c r="K247" s="133" t="inlineStr">
        <x:is>
          <x:t xml:space="preserve">13B-12</x:t>
        </x:is>
      </x:c>
      <x:c r="L247" s="133" t="str"/>
      <x:c r="M247" s="133" t="str"/>
      <x:c r="N247" s="249" t="n"/>
      <x:c r="O247" s="249" t="n"/>
      <x:c r="P247" s="135" t="str"/>
    </x:row>
    <x:row r="248">
      <x:c r="A248" s="133" t="str">
        <x:f>IF(H248="Completed","✓",IF(H248="Blocked","!",""))</x:f>
      </x:c>
      <x:c r="B248" s="133" t="inlineStr">
        <x:is>
          <x:t xml:space="preserve">13C-02</x:t>
        </x:is>
      </x:c>
      <x:c r="C248" s="133" t="inlineStr">
        <x:is>
          <x:t xml:space="preserve">13C Shared Enterprise Components</x:t>
        </x:is>
      </x:c>
      <x:c r="D248" s="133" t="inlineStr">
        <x:is>
          <x:t xml:space="preserve">Components</x:t>
        </x:is>
      </x:c>
      <x:c r="E248" s="133" t="inlineStr">
        <x:is>
          <x:t xml:space="preserve">Standardize form controls</x:t>
        </x:is>
      </x:c>
      <x:c r="F248" s="133" t="inlineStr">
        <x:is>
          <x:t xml:space="preserve">Inputs, textareas, selects, checkboxes, radio and validation states share one dark-first system.</x:t>
        </x:is>
      </x:c>
      <x:c r="G248" s="133" t="inlineStr">
        <x:is>
          <x:t xml:space="preserve">P0</x:t>
        </x:is>
      </x:c>
      <x:c r="H248" s="133" t="inlineStr">
        <x:is>
          <x:t xml:space="preserve">Not Started</x:t>
        </x:is>
      </x:c>
      <x:c r="I248" s="133" t="str"/>
      <x:c r="J248" s="133" t="str"/>
      <x:c r="K248" s="133" t="inlineStr">
        <x:is>
          <x:t xml:space="preserve">13B-12</x:t>
        </x:is>
      </x:c>
      <x:c r="L248" s="133" t="str"/>
      <x:c r="M248" s="133" t="str"/>
      <x:c r="N248" s="249" t="n"/>
      <x:c r="O248" s="249" t="n"/>
      <x:c r="P248" s="135" t="str"/>
    </x:row>
    <x:row r="249">
      <x:c r="A249" s="133" t="str">
        <x:f>IF(H249="Completed","✓",IF(H249="Blocked","!",""))</x:f>
      </x:c>
      <x:c r="B249" s="133" t="inlineStr">
        <x:is>
          <x:t xml:space="preserve">13C-03</x:t>
        </x:is>
      </x:c>
      <x:c r="C249" s="133" t="inlineStr">
        <x:is>
          <x:t xml:space="preserve">13C Shared Enterprise Components</x:t>
        </x:is>
      </x:c>
      <x:c r="D249" s="133" t="inlineStr">
        <x:is>
          <x:t xml:space="preserve">Components</x:t>
        </x:is>
      </x:c>
      <x:c r="E249" s="133" t="inlineStr">
        <x:is>
          <x:t xml:space="preserve">Standardize date/deadline controls</x:t>
        </x:is>
      </x:c>
      <x:c r="F249" s="133" t="inlineStr">
        <x:is>
          <x:t xml:space="preserve">RFQ/RFI/submission dates use consistent control, timezone display and validation treatment.</x:t>
        </x:is>
      </x:c>
      <x:c r="G249" s="133" t="inlineStr">
        <x:is>
          <x:t xml:space="preserve">P0</x:t>
        </x:is>
      </x:c>
      <x:c r="H249" s="133" t="inlineStr">
        <x:is>
          <x:t xml:space="preserve">Not Started</x:t>
        </x:is>
      </x:c>
      <x:c r="I249" s="133" t="str"/>
      <x:c r="J249" s="133" t="str"/>
      <x:c r="K249" s="133" t="inlineStr">
        <x:is>
          <x:t xml:space="preserve">13B-12</x:t>
        </x:is>
      </x:c>
      <x:c r="L249" s="133" t="str"/>
      <x:c r="M249" s="133" t="str"/>
      <x:c r="N249" s="249" t="n"/>
      <x:c r="O249" s="249" t="n"/>
      <x:c r="P249" s="135" t="str"/>
    </x:row>
    <x:row r="250">
      <x:c r="A250" s="133" t="str">
        <x:f>IF(H250="Completed","✓",IF(H250="Blocked","!",""))</x:f>
      </x:c>
      <x:c r="B250" s="133" t="inlineStr">
        <x:is>
          <x:t xml:space="preserve">13C-04</x:t>
        </x:is>
      </x:c>
      <x:c r="C250" s="133" t="inlineStr">
        <x:is>
          <x:t xml:space="preserve">13C Shared Enterprise Components</x:t>
        </x:is>
      </x:c>
      <x:c r="D250" s="133" t="inlineStr">
        <x:is>
          <x:t xml:space="preserve">Components</x:t>
        </x:is>
      </x:c>
      <x:c r="E250" s="133" t="inlineStr">
        <x:is>
          <x:t xml:space="preserve">Standardize badges/status chips</x:t>
        </x:is>
      </x:c>
      <x:c r="F250" s="133" t="inlineStr">
        <x:is>
          <x:t xml:space="preserve">RFQ, RFI, quote, award, risk and workflow statuses use one semantic badge system.</x:t>
        </x:is>
      </x:c>
      <x:c r="G250" s="133" t="inlineStr">
        <x:is>
          <x:t xml:space="preserve">P0</x:t>
        </x:is>
      </x:c>
      <x:c r="H250" s="133" t="inlineStr">
        <x:is>
          <x:t xml:space="preserve">Not Started</x:t>
        </x:is>
      </x:c>
      <x:c r="I250" s="133" t="str"/>
      <x:c r="J250" s="133" t="str"/>
      <x:c r="K250" s="133" t="inlineStr">
        <x:is>
          <x:t xml:space="preserve">13B-12</x:t>
        </x:is>
      </x:c>
      <x:c r="L250" s="133" t="str"/>
      <x:c r="M250" s="133" t="str"/>
      <x:c r="N250" s="249" t="n"/>
      <x:c r="O250" s="249" t="n"/>
      <x:c r="P250" s="135" t="str"/>
    </x:row>
    <x:row r="251">
      <x:c r="A251" s="133" t="str">
        <x:f>IF(H251="Completed","✓",IF(H251="Blocked","!",""))</x:f>
      </x:c>
      <x:c r="B251" s="133" t="inlineStr">
        <x:is>
          <x:t xml:space="preserve">13C-05</x:t>
        </x:is>
      </x:c>
      <x:c r="C251" s="133" t="inlineStr">
        <x:is>
          <x:t xml:space="preserve">13C Shared Enterprise Components</x:t>
        </x:is>
      </x:c>
      <x:c r="D251" s="133" t="inlineStr">
        <x:is>
          <x:t xml:space="preserve">Components</x:t>
        </x:is>
      </x:c>
      <x:c r="E251" s="133" t="inlineStr">
        <x:is>
          <x:t xml:space="preserve">Standardize card roles</x:t>
        </x:is>
      </x:c>
      <x:c r="F251" s="133" t="inlineStr">
        <x:is>
          <x:t xml:space="preserve">Only Status/Metric/Action/Intelligence/Summary cards remain; redundant card variants are consolidated.</x:t>
        </x:is>
      </x:c>
      <x:c r="G251" s="133" t="inlineStr">
        <x:is>
          <x:t xml:space="preserve">P0</x:t>
        </x:is>
      </x:c>
      <x:c r="H251" s="133" t="inlineStr">
        <x:is>
          <x:t xml:space="preserve">Not Started</x:t>
        </x:is>
      </x:c>
      <x:c r="I251" s="133" t="str"/>
      <x:c r="J251" s="133" t="str"/>
      <x:c r="K251" s="133" t="inlineStr">
        <x:is>
          <x:t xml:space="preserve">13B-12</x:t>
        </x:is>
      </x:c>
      <x:c r="L251" s="133" t="str"/>
      <x:c r="M251" s="133" t="str"/>
      <x:c r="N251" s="249" t="n"/>
      <x:c r="O251" s="249" t="n"/>
      <x:c r="P251" s="135" t="str"/>
    </x:row>
    <x:row r="252">
      <x:c r="A252" s="133" t="str">
        <x:f>IF(H252="Completed","✓",IF(H252="Blocked","!",""))</x:f>
      </x:c>
      <x:c r="B252" s="133" t="inlineStr">
        <x:is>
          <x:t xml:space="preserve">13C-06</x:t>
        </x:is>
      </x:c>
      <x:c r="C252" s="133" t="inlineStr">
        <x:is>
          <x:t xml:space="preserve">13C Shared Enterprise Components</x:t>
        </x:is>
      </x:c>
      <x:c r="D252" s="133" t="inlineStr">
        <x:is>
          <x:t xml:space="preserve">Components</x:t>
        </x:is>
      </x:c>
      <x:c r="E252" s="133" t="inlineStr">
        <x:is>
          <x:t xml:space="preserve">Standardize enterprise tables</x:t>
        </x:is>
      </x:c>
      <x:c r="F252" s="133" t="inlineStr">
        <x:is>
          <x:t xml:space="preserve">Sticky headers, alignment, density, overflow, sorting/filter visual states and responsive behavior are consistent.</x:t>
        </x:is>
      </x:c>
      <x:c r="G252" s="133" t="inlineStr">
        <x:is>
          <x:t xml:space="preserve">P0</x:t>
        </x:is>
      </x:c>
      <x:c r="H252" s="133" t="inlineStr">
        <x:is>
          <x:t xml:space="preserve">Not Started</x:t>
        </x:is>
      </x:c>
      <x:c r="I252" s="133" t="str"/>
      <x:c r="J252" s="133" t="str"/>
      <x:c r="K252" s="133" t="inlineStr">
        <x:is>
          <x:t xml:space="preserve">13B-12</x:t>
        </x:is>
      </x:c>
      <x:c r="L252" s="133" t="str"/>
      <x:c r="M252" s="133" t="str"/>
      <x:c r="N252" s="249" t="n"/>
      <x:c r="O252" s="249" t="n"/>
      <x:c r="P252" s="135" t="str"/>
    </x:row>
    <x:row r="253">
      <x:c r="A253" s="133" t="str">
        <x:f>IF(H253="Completed","✓",IF(H253="Blocked","!",""))</x:f>
      </x:c>
      <x:c r="B253" s="133" t="inlineStr">
        <x:is>
          <x:t xml:space="preserve">13C-07</x:t>
        </x:is>
      </x:c>
      <x:c r="C253" s="133" t="inlineStr">
        <x:is>
          <x:t xml:space="preserve">13C Shared Enterprise Components</x:t>
        </x:is>
      </x:c>
      <x:c r="D253" s="133" t="inlineStr">
        <x:is>
          <x:t xml:space="preserve">Components</x:t>
        </x:is>
      </x:c>
      <x:c r="E253" s="133" t="inlineStr">
        <x:is>
          <x:t xml:space="preserve">Standardize dialogs and confirmation modals</x:t>
        </x:is>
      </x:c>
      <x:c r="F253" s="133" t="inlineStr">
        <x:is>
          <x:t xml:space="preserve">Consequential actions use consistent confirmation hierarchy and keyboard behavior.</x:t>
        </x:is>
      </x:c>
      <x:c r="G253" s="133" t="inlineStr">
        <x:is>
          <x:t xml:space="preserve">P0</x:t>
        </x:is>
      </x:c>
      <x:c r="H253" s="133" t="inlineStr">
        <x:is>
          <x:t xml:space="preserve">Not Started</x:t>
        </x:is>
      </x:c>
      <x:c r="I253" s="133" t="str"/>
      <x:c r="J253" s="133" t="str"/>
      <x:c r="K253" s="133" t="inlineStr">
        <x:is>
          <x:t xml:space="preserve">13B-12</x:t>
        </x:is>
      </x:c>
      <x:c r="L253" s="133" t="str"/>
      <x:c r="M253" s="133" t="str"/>
      <x:c r="N253" s="249" t="n"/>
      <x:c r="O253" s="249" t="n"/>
      <x:c r="P253" s="135" t="str"/>
    </x:row>
    <x:row r="254">
      <x:c r="A254" s="133" t="str">
        <x:f>IF(H254="Completed","✓",IF(H254="Blocked","!",""))</x:f>
      </x:c>
      <x:c r="B254" s="133" t="inlineStr">
        <x:is>
          <x:t xml:space="preserve">13C-08</x:t>
        </x:is>
      </x:c>
      <x:c r="C254" s="133" t="inlineStr">
        <x:is>
          <x:t xml:space="preserve">13C Shared Enterprise Components</x:t>
        </x:is>
      </x:c>
      <x:c r="D254" s="133" t="inlineStr">
        <x:is>
          <x:t xml:space="preserve">Components</x:t>
        </x:is>
      </x:c>
      <x:c r="E254" s="133" t="inlineStr">
        <x:is>
          <x:t xml:space="preserve">Standardize drawers/side panels</x:t>
        </x:is>
      </x:c>
      <x:c r="F254" s="133" t="inlineStr">
        <x:is>
          <x:t xml:space="preserve">Contextual help, filters, details and intelligence use reusable drawer primitives.</x:t>
        </x:is>
      </x:c>
      <x:c r="G254" s="133" t="inlineStr">
        <x:is>
          <x:t xml:space="preserve">P0</x:t>
        </x:is>
      </x:c>
      <x:c r="H254" s="133" t="inlineStr">
        <x:is>
          <x:t xml:space="preserve">Not Started</x:t>
        </x:is>
      </x:c>
      <x:c r="I254" s="133" t="str"/>
      <x:c r="J254" s="133" t="str"/>
      <x:c r="K254" s="133" t="inlineStr">
        <x:is>
          <x:t xml:space="preserve">13B-12</x:t>
        </x:is>
      </x:c>
      <x:c r="L254" s="133" t="str"/>
      <x:c r="M254" s="133" t="str"/>
      <x:c r="N254" s="249" t="n"/>
      <x:c r="O254" s="249" t="n"/>
      <x:c r="P254" s="135" t="str"/>
    </x:row>
    <x:row r="255">
      <x:c r="A255" s="133" t="str">
        <x:f>IF(H255="Completed","✓",IF(H255="Blocked","!",""))</x:f>
      </x:c>
      <x:c r="B255" s="133" t="inlineStr">
        <x:is>
          <x:t xml:space="preserve">13C-09</x:t>
        </x:is>
      </x:c>
      <x:c r="C255" s="133" t="inlineStr">
        <x:is>
          <x:t xml:space="preserve">13C Shared Enterprise Components</x:t>
        </x:is>
      </x:c>
      <x:c r="D255" s="133" t="inlineStr">
        <x:is>
          <x:t xml:space="preserve">Components</x:t>
        </x:is>
      </x:c>
      <x:c r="E255" s="133" t="inlineStr">
        <x:is>
          <x:t xml:space="preserve">Standardize tooltips/popovers</x:t>
        </x:is>
      </x:c>
      <x:c r="F255" s="133" t="inlineStr">
        <x:is>
          <x:t xml:space="preserve">Short contextual explanations share timing, placement and accessibility behavior.</x:t>
        </x:is>
      </x:c>
      <x:c r="G255" s="133" t="inlineStr">
        <x:is>
          <x:t xml:space="preserve">P1</x:t>
        </x:is>
      </x:c>
      <x:c r="H255" s="133" t="inlineStr">
        <x:is>
          <x:t xml:space="preserve">Not Started</x:t>
        </x:is>
      </x:c>
      <x:c r="I255" s="133" t="str"/>
      <x:c r="J255" s="133" t="str"/>
      <x:c r="K255" s="133" t="inlineStr">
        <x:is>
          <x:t xml:space="preserve">13B-12</x:t>
        </x:is>
      </x:c>
      <x:c r="L255" s="133" t="str"/>
      <x:c r="M255" s="133" t="str"/>
      <x:c r="N255" s="249" t="n"/>
      <x:c r="O255" s="249" t="n"/>
      <x:c r="P255" s="135" t="str"/>
    </x:row>
    <x:row r="256">
      <x:c r="A256" s="133" t="str">
        <x:f>IF(H256="Completed","✓",IF(H256="Blocked","!",""))</x:f>
      </x:c>
      <x:c r="B256" s="133" t="inlineStr">
        <x:is>
          <x:t xml:space="preserve">13C-10</x:t>
        </x:is>
      </x:c>
      <x:c r="C256" s="133" t="inlineStr">
        <x:is>
          <x:t xml:space="preserve">13C Shared Enterprise Components</x:t>
        </x:is>
      </x:c>
      <x:c r="D256" s="133" t="inlineStr">
        <x:is>
          <x:t xml:space="preserve">Components</x:t>
        </x:is>
      </x:c>
      <x:c r="E256" s="133" t="inlineStr">
        <x:is>
          <x:t xml:space="preserve">Standardize toast/inline feedback</x:t>
        </x:is>
      </x:c>
      <x:c r="F256" s="133" t="inlineStr">
        <x:is>
          <x:t xml:space="preserve">Success, error, warning and informational feedback share one non-intrusive system.</x:t>
        </x:is>
      </x:c>
      <x:c r="G256" s="133" t="inlineStr">
        <x:is>
          <x:t xml:space="preserve">P0</x:t>
        </x:is>
      </x:c>
      <x:c r="H256" s="133" t="inlineStr">
        <x:is>
          <x:t xml:space="preserve">Not Started</x:t>
        </x:is>
      </x:c>
      <x:c r="I256" s="133" t="str"/>
      <x:c r="J256" s="133" t="str"/>
      <x:c r="K256" s="133" t="inlineStr">
        <x:is>
          <x:t xml:space="preserve">13B-12</x:t>
        </x:is>
      </x:c>
      <x:c r="L256" s="133" t="str"/>
      <x:c r="M256" s="133" t="str"/>
      <x:c r="N256" s="249" t="n"/>
      <x:c r="O256" s="249" t="n"/>
      <x:c r="P256" s="135" t="str"/>
    </x:row>
    <x:row r="257">
      <x:c r="A257" s="133" t="str">
        <x:f>IF(H257="Completed","✓",IF(H257="Blocked","!",""))</x:f>
      </x:c>
      <x:c r="B257" s="133" t="inlineStr">
        <x:is>
          <x:t xml:space="preserve">13C-11</x:t>
        </x:is>
      </x:c>
      <x:c r="C257" s="133" t="inlineStr">
        <x:is>
          <x:t xml:space="preserve">13C Shared Enterprise Components</x:t>
        </x:is>
      </x:c>
      <x:c r="D257" s="133" t="inlineStr">
        <x:is>
          <x:t xml:space="preserve">Components</x:t>
        </x:is>
      </x:c>
      <x:c r="E257" s="133" t="inlineStr">
        <x:is>
          <x:t xml:space="preserve">Standardize loading/skeleton states</x:t>
        </x:is>
      </x:c>
      <x:c r="F257" s="133" t="inlineStr">
        <x:is>
          <x:t xml:space="preserve">Core async surfaces use reusable skeleton/progress patterns without artificial delays.</x:t>
        </x:is>
      </x:c>
      <x:c r="G257" s="133" t="inlineStr">
        <x:is>
          <x:t xml:space="preserve">P0</x:t>
        </x:is>
      </x:c>
      <x:c r="H257" s="133" t="inlineStr">
        <x:is>
          <x:t xml:space="preserve">Not Started</x:t>
        </x:is>
      </x:c>
      <x:c r="I257" s="133" t="str"/>
      <x:c r="J257" s="133" t="str"/>
      <x:c r="K257" s="133" t="inlineStr">
        <x:is>
          <x:t xml:space="preserve">13B-12</x:t>
        </x:is>
      </x:c>
      <x:c r="L257" s="133" t="str"/>
      <x:c r="M257" s="133" t="str"/>
      <x:c r="N257" s="249" t="n"/>
      <x:c r="O257" s="249" t="n"/>
      <x:c r="P257" s="135" t="str"/>
    </x:row>
    <x:row r="258">
      <x:c r="A258" s="133" t="str">
        <x:f>IF(H258="Completed","✓",IF(H258="Blocked","!",""))</x:f>
      </x:c>
      <x:c r="B258" s="133" t="inlineStr">
        <x:is>
          <x:t xml:space="preserve">13C-12</x:t>
        </x:is>
      </x:c>
      <x:c r="C258" s="133" t="inlineStr">
        <x:is>
          <x:t xml:space="preserve">13C Shared Enterprise Components</x:t>
        </x:is>
      </x:c>
      <x:c r="D258" s="133" t="inlineStr">
        <x:is>
          <x:t xml:space="preserve">Components</x:t>
        </x:is>
      </x:c>
      <x:c r="E258" s="133" t="inlineStr">
        <x:is>
          <x:t xml:space="preserve">Standardize empty states</x:t>
        </x:is>
      </x:c>
      <x:c r="F258" s="133" t="inlineStr">
        <x:is>
          <x:t xml:space="preserve">Empty states explain context and next action using reusable layout/content rules.</x:t>
        </x:is>
      </x:c>
      <x:c r="G258" s="133" t="inlineStr">
        <x:is>
          <x:t xml:space="preserve">P0</x:t>
        </x:is>
      </x:c>
      <x:c r="H258" s="133" t="inlineStr">
        <x:is>
          <x:t xml:space="preserve">Not Started</x:t>
        </x:is>
      </x:c>
      <x:c r="I258" s="133" t="str"/>
      <x:c r="J258" s="133" t="str"/>
      <x:c r="K258" s="133" t="inlineStr">
        <x:is>
          <x:t xml:space="preserve">13B-12</x:t>
        </x:is>
      </x:c>
      <x:c r="L258" s="133" t="str"/>
      <x:c r="M258" s="133" t="str"/>
      <x:c r="N258" s="249" t="n"/>
      <x:c r="O258" s="249" t="n"/>
      <x:c r="P258" s="135" t="str"/>
    </x:row>
    <x:row r="259">
      <x:c r="A259" s="133" t="str">
        <x:f>IF(H259="Completed","✓",IF(H259="Blocked","!",""))</x:f>
      </x:c>
      <x:c r="B259" s="133" t="inlineStr">
        <x:is>
          <x:t xml:space="preserve">13C-13</x:t>
        </x:is>
      </x:c>
      <x:c r="C259" s="133" t="inlineStr">
        <x:is>
          <x:t xml:space="preserve">13C Shared Enterprise Components</x:t>
        </x:is>
      </x:c>
      <x:c r="D259" s="133" t="inlineStr">
        <x:is>
          <x:t xml:space="preserve">Components</x:t>
        </x:is>
      </x:c>
      <x:c r="E259" s="133" t="inlineStr">
        <x:is>
          <x:t xml:space="preserve">Standardize error states</x:t>
        </x:is>
      </x:c>
      <x:c r="F259" s="133" t="inlineStr">
        <x:is>
          <x:t xml:space="preserve">Errors identify problem, impact and recovery action consistently.</x:t>
        </x:is>
      </x:c>
      <x:c r="G259" s="133" t="inlineStr">
        <x:is>
          <x:t xml:space="preserve">P0</x:t>
        </x:is>
      </x:c>
      <x:c r="H259" s="133" t="inlineStr">
        <x:is>
          <x:t xml:space="preserve">Not Started</x:t>
        </x:is>
      </x:c>
      <x:c r="I259" s="133" t="str"/>
      <x:c r="J259" s="133" t="str"/>
      <x:c r="K259" s="133" t="inlineStr">
        <x:is>
          <x:t xml:space="preserve">13B-12</x:t>
        </x:is>
      </x:c>
      <x:c r="L259" s="133" t="str"/>
      <x:c r="M259" s="133" t="str"/>
      <x:c r="N259" s="249" t="n"/>
      <x:c r="O259" s="249" t="n"/>
      <x:c r="P259" s="135" t="str"/>
    </x:row>
    <x:row r="260">
      <x:c r="A260" s="133" t="str">
        <x:f>IF(H260="Completed","✓",IF(H260="Blocked","!",""))</x:f>
      </x:c>
      <x:c r="B260" s="133" t="inlineStr">
        <x:is>
          <x:t xml:space="preserve">13C-14</x:t>
        </x:is>
      </x:c>
      <x:c r="C260" s="133" t="inlineStr">
        <x:is>
          <x:t xml:space="preserve">13C Shared Enterprise Components</x:t>
        </x:is>
      </x:c>
      <x:c r="D260" s="133" t="inlineStr">
        <x:is>
          <x:t xml:space="preserve">Components</x:t>
        </x:is>
      </x:c>
      <x:c r="E260" s="133" t="inlineStr">
        <x:is>
          <x:t xml:space="preserve">Create workflow stepper component</x:t>
        </x:is>
      </x:c>
      <x:c r="F260" s="133" t="inlineStr">
        <x:is>
          <x:t xml:space="preserve">Issuer/respondent lifecycle stages use one reusable accessible progress/navigation component.</x:t>
        </x:is>
      </x:c>
      <x:c r="G260" s="133" t="inlineStr">
        <x:is>
          <x:t xml:space="preserve">P0</x:t>
        </x:is>
      </x:c>
      <x:c r="H260" s="133" t="inlineStr">
        <x:is>
          <x:t xml:space="preserve">Not Started</x:t>
        </x:is>
      </x:c>
      <x:c r="I260" s="133" t="str"/>
      <x:c r="J260" s="133" t="str"/>
      <x:c r="K260" s="133" t="inlineStr">
        <x:is>
          <x:t xml:space="preserve">13B-12</x:t>
        </x:is>
      </x:c>
      <x:c r="L260" s="133" t="str"/>
      <x:c r="M260" s="133" t="str"/>
      <x:c r="N260" s="249" t="n"/>
      <x:c r="O260" s="249" t="n"/>
      <x:c r="P260" s="135" t="str"/>
    </x:row>
    <x:row r="261">
      <x:c r="A261" s="133" t="str">
        <x:f>IF(H261="Completed","✓",IF(H261="Blocked","!",""))</x:f>
      </x:c>
      <x:c r="B261" s="133" t="inlineStr">
        <x:is>
          <x:t xml:space="preserve">13C-15</x:t>
        </x:is>
      </x:c>
      <x:c r="C261" s="133" t="inlineStr">
        <x:is>
          <x:t xml:space="preserve">13C Shared Enterprise Components</x:t>
        </x:is>
      </x:c>
      <x:c r="D261" s="133" t="inlineStr">
        <x:is>
          <x:t xml:space="preserve">Components</x:t>
        </x:is>
      </x:c>
      <x:c r="E261" s="133" t="inlineStr">
        <x:is>
          <x:t xml:space="preserve">Create intelligence card component</x:t>
        </x:is>
      </x:c>
      <x:c r="F261" s="133" t="inlineStr">
        <x:is>
          <x:t xml:space="preserve">Signal → evidence → impact → recommendation → action can be rendered consistently.</x:t>
        </x:is>
      </x:c>
      <x:c r="G261" s="133" t="inlineStr">
        <x:is>
          <x:t xml:space="preserve">P1</x:t>
        </x:is>
      </x:c>
      <x:c r="H261" s="133" t="inlineStr">
        <x:is>
          <x:t xml:space="preserve">Not Started</x:t>
        </x:is>
      </x:c>
      <x:c r="I261" s="133" t="str"/>
      <x:c r="J261" s="133" t="str"/>
      <x:c r="K261" s="133" t="inlineStr">
        <x:is>
          <x:t xml:space="preserve">13B-12</x:t>
        </x:is>
      </x:c>
      <x:c r="L261" s="133" t="str"/>
      <x:c r="M261" s="133" t="str"/>
      <x:c r="N261" s="249" t="n"/>
      <x:c r="O261" s="249" t="n"/>
      <x:c r="P261" s="135" t="str"/>
    </x:row>
    <x:row r="262">
      <x:c r="A262" s="133" t="str">
        <x:f>IF(H262="Completed","✓",IF(H262="Blocked","!",""))</x:f>
      </x:c>
      <x:c r="B262" s="133" t="inlineStr">
        <x:is>
          <x:t xml:space="preserve">13C-16</x:t>
        </x:is>
      </x:c>
      <x:c r="C262" s="133" t="inlineStr">
        <x:is>
          <x:t xml:space="preserve">13C Shared Enterprise Components</x:t>
        </x:is>
      </x:c>
      <x:c r="D262" s="133" t="inlineStr">
        <x:is>
          <x:t xml:space="preserve">Components</x:t>
        </x:is>
      </x:c>
      <x:c r="E262" s="133" t="inlineStr">
        <x:is>
          <x:t xml:space="preserve">Create page/context header component</x:t>
        </x:is>
      </x:c>
      <x:c r="F262" s="133" t="inlineStr">
        <x:is>
          <x:t xml:space="preserve">Company/project/RFQ title, status, deadlines and contextual actions use one shared header.</x:t>
        </x:is>
      </x:c>
      <x:c r="G262" s="133" t="inlineStr">
        <x:is>
          <x:t xml:space="preserve">P0</x:t>
        </x:is>
      </x:c>
      <x:c r="H262" s="133" t="inlineStr">
        <x:is>
          <x:t xml:space="preserve">Not Started</x:t>
        </x:is>
      </x:c>
      <x:c r="I262" s="133" t="str"/>
      <x:c r="J262" s="133" t="str"/>
      <x:c r="K262" s="133" t="inlineStr">
        <x:is>
          <x:t xml:space="preserve">13B-12</x:t>
        </x:is>
      </x:c>
      <x:c r="L262" s="133" t="str"/>
      <x:c r="M262" s="133" t="str"/>
      <x:c r="N262" s="249" t="n"/>
      <x:c r="O262" s="249" t="n"/>
      <x:c r="P262" s="135" t="str"/>
    </x:row>
    <x:row r="263">
      <x:c r="A263" s="133" t="str">
        <x:f>IF(H263="Completed","✓",IF(H263="Blocked","!",""))</x:f>
      </x:c>
      <x:c r="B263" s="133" t="inlineStr">
        <x:is>
          <x:t xml:space="preserve">13C-17</x:t>
        </x:is>
      </x:c>
      <x:c r="C263" s="133" t="inlineStr">
        <x:is>
          <x:t xml:space="preserve">13C Shared Enterprise Components</x:t>
        </x:is>
      </x:c>
      <x:c r="D263" s="133" t="inlineStr">
        <x:is>
          <x:t xml:space="preserve">Components</x:t>
        </x:is>
      </x:c>
      <x:c r="E263" s="133" t="inlineStr">
        <x:is>
          <x:t xml:space="preserve">Component regression review</x:t>
        </x:is>
      </x:c>
      <x:c r="F263" s="133" t="inlineStr">
        <x:is>
          <x:t xml:space="preserve">Shared component changes are verified before page-level adoption begins.</x:t>
        </x:is>
      </x:c>
      <x:c r="G263" s="133" t="inlineStr">
        <x:is>
          <x:t xml:space="preserve">P0</x:t>
        </x:is>
      </x:c>
      <x:c r="H263" s="133" t="inlineStr">
        <x:is>
          <x:t xml:space="preserve">Not Started</x:t>
        </x:is>
      </x:c>
      <x:c r="I263" s="133" t="str"/>
      <x:c r="J263" s="133" t="str"/>
      <x:c r="K263" s="133" t="inlineStr">
        <x:is>
          <x:t xml:space="preserve">13B-12</x:t>
        </x:is>
      </x:c>
      <x:c r="L263" s="133" t="str"/>
      <x:c r="M263" s="133" t="str"/>
      <x:c r="N263" s="249" t="n"/>
      <x:c r="O263" s="249" t="n"/>
      <x:c r="P263" s="135" t="str"/>
    </x:row>
    <x:row r="264">
      <x:c r="A264" s="133" t="str">
        <x:f>IF(H264="Completed","✓",IF(H264="Blocked","!",""))</x:f>
      </x:c>
      <x:c r="B264" s="133" t="inlineStr">
        <x:is>
          <x:t xml:space="preserve">13D-01</x:t>
        </x:is>
      </x:c>
      <x:c r="C264" s="133" t="inlineStr">
        <x:is>
          <x:t xml:space="preserve">13D Workspace Shell &amp; Navigation</x:t>
        </x:is>
      </x:c>
      <x:c r="D264" s="133" t="inlineStr">
        <x:is>
          <x:t xml:space="preserve">Shell</x:t>
        </x:is>
      </x:c>
      <x:c r="E264" s="133" t="inlineStr">
        <x:is>
          <x:t xml:space="preserve">Implement dark-first authenticated Workspace Shell</x:t>
        </x:is>
      </x:c>
      <x:c r="F264" s="133" t="inlineStr">
        <x:is>
          <x:t xml:space="preserve">All authenticated pages inherit common background, max-width, content spacing and responsive structure.</x:t>
        </x:is>
      </x:c>
      <x:c r="G264" s="133" t="inlineStr">
        <x:is>
          <x:t xml:space="preserve">P0</x:t>
        </x:is>
      </x:c>
      <x:c r="H264" s="133" t="inlineStr">
        <x:is>
          <x:t xml:space="preserve">Not Started</x:t>
        </x:is>
      </x:c>
      <x:c r="I264" s="133" t="str"/>
      <x:c r="J264" s="133" t="inlineStr">
        <x:is>
          <x:t xml:space="preserve">Cursor UI 04</x:t>
        </x:is>
      </x:c>
      <x:c r="K264" s="133" t="inlineStr">
        <x:is>
          <x:t xml:space="preserve">13C-17</x:t>
        </x:is>
      </x:c>
      <x:c r="L264" s="133" t="str"/>
      <x:c r="M264" s="133" t="str"/>
      <x:c r="N264" s="249" t="n"/>
      <x:c r="O264" s="249" t="n"/>
      <x:c r="P264" s="135" t="str"/>
    </x:row>
    <x:row r="265">
      <x:c r="A265" s="133" t="str">
        <x:f>IF(H265="Completed","✓",IF(H265="Blocked","!",""))</x:f>
      </x:c>
      <x:c r="B265" s="133" t="inlineStr">
        <x:is>
          <x:t xml:space="preserve">13D-02</x:t>
        </x:is>
      </x:c>
      <x:c r="C265" s="133" t="inlineStr">
        <x:is>
          <x:t xml:space="preserve">13D Workspace Shell &amp; Navigation</x:t>
        </x:is>
      </x:c>
      <x:c r="D265" s="133" t="inlineStr">
        <x:is>
          <x:t xml:space="preserve">Sidebar</x:t>
        </x:is>
      </x:c>
      <x:c r="E265" s="133" t="inlineStr">
        <x:is>
          <x:t xml:space="preserve">Implement enterprise sidebar treatment</x:t>
        </x:is>
      </x:c>
      <x:c r="F265" s="133" t="inlineStr">
        <x:is>
          <x:t xml:space="preserve">Company Workspace sections, active state, hover, collapse, icons and tooltips are consistent and calm.</x:t>
        </x:is>
      </x:c>
      <x:c r="G265" s="133" t="inlineStr">
        <x:is>
          <x:t xml:space="preserve">P0</x:t>
        </x:is>
      </x:c>
      <x:c r="H265" s="133" t="inlineStr">
        <x:is>
          <x:t xml:space="preserve">Not Started</x:t>
        </x:is>
      </x:c>
      <x:c r="I265" s="133" t="str"/>
      <x:c r="J265" s="133" t="str"/>
      <x:c r="K265" s="133" t="inlineStr">
        <x:is>
          <x:t xml:space="preserve">13D-01</x:t>
        </x:is>
      </x:c>
      <x:c r="L265" s="133" t="str"/>
      <x:c r="M265" s="133" t="inlineStr">
        <x:is>
          <x:t xml:space="preserve">7-04D observation logged for existing shell scope: one intermittent React hydration mismatch surfaced in src/components/sidebar.tsx where server/client sidebar sublabel text differed (Procurement command center vs Company operating view). It was unrelated to Qualifications and did not recur across measured qualification flows.</x:t>
        </x:is>
      </x:c>
      <x:c r="N265" s="249" t="n"/>
      <x:c r="O265" s="249" t="n"/>
      <x:c r="P265" s="133" t="inlineStr">
        <x:is>
          <x:t xml:space="preserve">During 13D-02/13D-09, reproduce and eliminate server/client sidebar label divergence so shell hydration is deterministic; verify no route/auth changes. Do not reopen 7-04 unless the sidebar defect directly regresses Qualifications.</x:t>
        </x:is>
      </x:c>
    </x:row>
    <x:row r="266">
      <x:c r="A266" s="133" t="str">
        <x:f>IF(H266="Completed","✓",IF(H266="Blocked","!",""))</x:f>
      </x:c>
      <x:c r="B266" s="133" t="inlineStr">
        <x:is>
          <x:t xml:space="preserve">13D-03</x:t>
        </x:is>
      </x:c>
      <x:c r="C266" s="133" t="inlineStr">
        <x:is>
          <x:t xml:space="preserve">13D Workspace Shell &amp; Navigation</x:t>
        </x:is>
      </x:c>
      <x:c r="D266" s="133" t="inlineStr">
        <x:is>
          <x:t xml:space="preserve">Header</x:t>
        </x:is>
      </x:c>
      <x:c r="E266" s="133" t="inlineStr">
        <x:is>
          <x:t xml:space="preserve">Implement global top/context header</x:t>
        </x:is>
      </x:c>
      <x:c r="F266" s="133" t="inlineStr">
        <x:is>
          <x:t xml:space="preserve">Current company/context, breadcrumb, key actions and status/deadlines follow one layout.</x:t>
        </x:is>
      </x:c>
      <x:c r="G266" s="133" t="inlineStr">
        <x:is>
          <x:t xml:space="preserve">P0</x:t>
        </x:is>
      </x:c>
      <x:c r="H266" s="133" t="inlineStr">
        <x:is>
          <x:t xml:space="preserve">Not Started</x:t>
        </x:is>
      </x:c>
      <x:c r="I266" s="133" t="str"/>
      <x:c r="J266" s="133" t="str"/>
      <x:c r="K266" s="133" t="inlineStr">
        <x:is>
          <x:t xml:space="preserve">13D-01</x:t>
        </x:is>
      </x:c>
      <x:c r="L266" s="133" t="str"/>
      <x:c r="M266" s="133" t="str"/>
      <x:c r="N266" s="249" t="n"/>
      <x:c r="O266" s="249" t="n"/>
      <x:c r="P266" s="135" t="str"/>
    </x:row>
    <x:row r="267">
      <x:c r="A267" s="133" t="str">
        <x:f>IF(H267="Completed","✓",IF(H267="Blocked","!",""))</x:f>
      </x:c>
      <x:c r="B267" s="133" t="inlineStr">
        <x:is>
          <x:t xml:space="preserve">13D-04</x:t>
        </x:is>
      </x:c>
      <x:c r="C267" s="133" t="inlineStr">
        <x:is>
          <x:t xml:space="preserve">13D Workspace Shell &amp; Navigation</x:t>
        </x:is>
      </x:c>
      <x:c r="D267" s="133" t="inlineStr">
        <x:is>
          <x:t xml:space="preserve">Search</x:t>
        </x:is>
      </x:c>
      <x:c r="E267" s="133" t="inlineStr">
        <x:is>
          <x:t xml:space="preserve">Add Search / Ask Nexus global entry point</x:t>
        </x:is>
      </x:c>
      <x:c r="F267" s="133" t="inlineStr">
        <x:is>
          <x:t xml:space="preserve">A single global entry exists without forcing a chatbot into every page.</x:t>
        </x:is>
      </x:c>
      <x:c r="G267" s="133" t="inlineStr">
        <x:is>
          <x:t xml:space="preserve">P1</x:t>
        </x:is>
      </x:c>
      <x:c r="H267" s="133" t="inlineStr">
        <x:is>
          <x:t xml:space="preserve">Not Started</x:t>
        </x:is>
      </x:c>
      <x:c r="I267" s="133" t="str"/>
      <x:c r="J267" s="133" t="str"/>
      <x:c r="K267" s="133" t="inlineStr">
        <x:is>
          <x:t xml:space="preserve">13D-03</x:t>
        </x:is>
      </x:c>
      <x:c r="L267" s="133" t="str"/>
      <x:c r="M267" s="133" t="str"/>
      <x:c r="N267" s="249" t="n"/>
      <x:c r="O267" s="249" t="n"/>
      <x:c r="P267" s="135" t="str"/>
    </x:row>
    <x:row r="268">
      <x:c r="A268" s="133" t="str">
        <x:f>IF(H268="Completed","✓",IF(H268="Blocked","!",""))</x:f>
      </x:c>
      <x:c r="B268" s="133" t="inlineStr">
        <x:is>
          <x:t xml:space="preserve">13D-05</x:t>
        </x:is>
      </x:c>
      <x:c r="C268" s="133" t="inlineStr">
        <x:is>
          <x:t xml:space="preserve">13D Workspace Shell &amp; Navigation</x:t>
        </x:is>
      </x:c>
      <x:c r="D268" s="133" t="inlineStr">
        <x:is>
          <x:t xml:space="preserve">Context</x:t>
        </x:is>
      </x:c>
      <x:c r="E268" s="133" t="inlineStr">
        <x:is>
          <x:t xml:space="preserve">Connect workflow stepper to issuer/respondent context</x:t>
        </x:is>
      </x:c>
      <x:c r="F268" s="133" t="inlineStr">
        <x:is>
          <x:t xml:space="preserve">Current stage is visible without introducing permanent buyer/supplier mode.</x:t>
        </x:is>
      </x:c>
      <x:c r="G268" s="133" t="inlineStr">
        <x:is>
          <x:t xml:space="preserve">P0</x:t>
        </x:is>
      </x:c>
      <x:c r="H268" s="133" t="inlineStr">
        <x:is>
          <x:t xml:space="preserve">Not Started</x:t>
        </x:is>
      </x:c>
      <x:c r="I268" s="133" t="str"/>
      <x:c r="J268" s="133" t="str"/>
      <x:c r="K268" s="133" t="inlineStr">
        <x:is>
          <x:t xml:space="preserve">13C-14</x:t>
        </x:is>
      </x:c>
      <x:c r="L268" s="133" t="str"/>
      <x:c r="M268" s="133" t="str"/>
      <x:c r="N268" s="249" t="n"/>
      <x:c r="O268" s="249" t="n"/>
      <x:c r="P268" s="135" t="str"/>
    </x:row>
    <x:row r="269">
      <x:c r="A269" s="133" t="str">
        <x:f>IF(H269="Completed","✓",IF(H269="Blocked","!",""))</x:f>
      </x:c>
      <x:c r="B269" s="133" t="inlineStr">
        <x:is>
          <x:t xml:space="preserve">13D-06</x:t>
        </x:is>
      </x:c>
      <x:c r="C269" s="133" t="inlineStr">
        <x:is>
          <x:t xml:space="preserve">13D Workspace Shell &amp; Navigation</x:t>
        </x:is>
      </x:c>
      <x:c r="D269" s="133" t="inlineStr">
        <x:is>
          <x:t xml:space="preserve">Footer</x:t>
        </x:is>
      </x:c>
      <x:c r="E269" s="133" t="inlineStr">
        <x:is>
          <x:t xml:space="preserve">Implement compact authenticated enterprise footer</x:t>
        </x:is>
      </x:c>
      <x:c r="F269" s="133" t="inlineStr">
        <x:is>
          <x:t xml:space="preserve">Privacy, Security, Help, System Status and version/environment area are available without marketing clutter.</x:t>
        </x:is>
      </x:c>
      <x:c r="G269" s="133" t="inlineStr">
        <x:is>
          <x:t xml:space="preserve">P1</x:t>
        </x:is>
      </x:c>
      <x:c r="H269" s="133" t="inlineStr">
        <x:is>
          <x:t xml:space="preserve">Not Started</x:t>
        </x:is>
      </x:c>
      <x:c r="I269" s="133" t="str"/>
      <x:c r="J269" s="133" t="inlineStr">
        <x:is>
          <x:t xml:space="preserve">Cursor UI 05</x:t>
        </x:is>
      </x:c>
      <x:c r="K269" s="133" t="inlineStr">
        <x:is>
          <x:t xml:space="preserve">13D-01</x:t>
        </x:is>
      </x:c>
      <x:c r="L269" s="133" t="str"/>
      <x:c r="M269" s="133" t="str"/>
      <x:c r="N269" s="249" t="n"/>
      <x:c r="O269" s="249" t="n"/>
      <x:c r="P269" s="135" t="str"/>
    </x:row>
    <x:row r="270">
      <x:c r="A270" s="133" t="str">
        <x:f>IF(H270="Completed","✓",IF(H270="Blocked","!",""))</x:f>
      </x:c>
      <x:c r="B270" s="133" t="inlineStr">
        <x:is>
          <x:t xml:space="preserve">13D-07</x:t>
        </x:is>
      </x:c>
      <x:c r="C270" s="133" t="inlineStr">
        <x:is>
          <x:t xml:space="preserve">13D Workspace Shell &amp; Navigation</x:t>
        </x:is>
      </x:c>
      <x:c r="D270" s="133" t="inlineStr">
        <x:is>
          <x:t xml:space="preserve">Responsive</x:t>
        </x:is>
      </x:c>
      <x:c r="E270" s="133" t="inlineStr">
        <x:is>
          <x:t xml:space="preserve">Implement sidebar/header responsive behavior</x:t>
        </x:is>
      </x:c>
      <x:c r="F270" s="133" t="inlineStr">
        <x:is>
          <x:t xml:space="preserve">Desktop/tablet/mobile shell remains usable and content-first.</x:t>
        </x:is>
      </x:c>
      <x:c r="G270" s="133" t="inlineStr">
        <x:is>
          <x:t xml:space="preserve">P0</x:t>
        </x:is>
      </x:c>
      <x:c r="H270" s="133" t="inlineStr">
        <x:is>
          <x:t xml:space="preserve">Not Started</x:t>
        </x:is>
      </x:c>
      <x:c r="I270" s="133" t="str"/>
      <x:c r="J270" s="133" t="str"/>
      <x:c r="K270" s="133" t="inlineStr">
        <x:is>
          <x:t xml:space="preserve">13D-02</x:t>
        </x:is>
      </x:c>
      <x:c r="L270" s="133" t="str"/>
      <x:c r="M270" s="133" t="str"/>
      <x:c r="N270" s="249" t="n"/>
      <x:c r="O270" s="249" t="n"/>
      <x:c r="P270" s="135" t="str"/>
    </x:row>
    <x:row r="271">
      <x:c r="A271" s="133" t="str">
        <x:f>IF(H271="Completed","✓",IF(H271="Blocked","!",""))</x:f>
      </x:c>
      <x:c r="B271" s="133" t="inlineStr">
        <x:is>
          <x:t xml:space="preserve">13D-08</x:t>
        </x:is>
      </x:c>
      <x:c r="C271" s="133" t="inlineStr">
        <x:is>
          <x:t xml:space="preserve">13D Workspace Shell &amp; Navigation</x:t>
        </x:is>
      </x:c>
      <x:c r="D271" s="133" t="inlineStr">
        <x:is>
          <x:t xml:space="preserve">Accessibility</x:t>
        </x:is>
      </x:c>
      <x:c r="E271" s="133" t="inlineStr">
        <x:is>
          <x:t xml:space="preserve">Verify shell keyboard/focus/reduced-motion behavior</x:t>
        </x:is>
      </x:c>
      <x:c r="F271" s="133" t="inlineStr">
        <x:is>
          <x:t xml:space="preserve">Core navigation is accessible before page upgrades.</x:t>
        </x:is>
      </x:c>
      <x:c r="G271" s="133" t="inlineStr">
        <x:is>
          <x:t xml:space="preserve">P0</x:t>
        </x:is>
      </x:c>
      <x:c r="H271" s="133" t="inlineStr">
        <x:is>
          <x:t xml:space="preserve">Not Started</x:t>
        </x:is>
      </x:c>
      <x:c r="I271" s="133" t="str"/>
      <x:c r="J271" s="133" t="str"/>
      <x:c r="K271" s="133" t="inlineStr">
        <x:is>
          <x:t xml:space="preserve">13D-07</x:t>
        </x:is>
      </x:c>
      <x:c r="L271" s="133" t="str"/>
      <x:c r="M271" s="133" t="str"/>
      <x:c r="N271" s="249" t="n"/>
      <x:c r="O271" s="249" t="n"/>
      <x:c r="P271" s="135" t="str"/>
    </x:row>
    <x:row r="272">
      <x:c r="A272" s="133" t="str">
        <x:f>IF(H272="Completed","✓",IF(H272="Blocked","!",""))</x:f>
      </x:c>
      <x:c r="B272" s="133" t="inlineStr">
        <x:is>
          <x:t xml:space="preserve">13D-09</x:t>
        </x:is>
      </x:c>
      <x:c r="C272" s="133" t="inlineStr">
        <x:is>
          <x:t xml:space="preserve">13D Workspace Shell &amp; Navigation</x:t>
        </x:is>
      </x:c>
      <x:c r="D272" s="133" t="inlineStr">
        <x:is>
          <x:t xml:space="preserve">Regression</x:t>
        </x:is>
      </x:c>
      <x:c r="E272" s="133" t="inlineStr">
        <x:is>
          <x:t xml:space="preserve">Run route/navigation regression after shell adoption</x:t>
        </x:is>
      </x:c>
      <x:c r="F272" s="133" t="inlineStr">
        <x:is>
          <x:t xml:space="preserve">Invitation/auth next paths and existing route behavior remain intact.</x:t>
        </x:is>
      </x:c>
      <x:c r="G272" s="133" t="inlineStr">
        <x:is>
          <x:t xml:space="preserve">P0</x:t>
        </x:is>
      </x:c>
      <x:c r="H272" s="133" t="inlineStr">
        <x:is>
          <x:t xml:space="preserve">Not Started</x:t>
        </x:is>
      </x:c>
      <x:c r="I272" s="133" t="str"/>
      <x:c r="J272" s="133" t="str"/>
      <x:c r="K272" s="133" t="inlineStr">
        <x:is>
          <x:t xml:space="preserve">13D-01</x:t>
        </x:is>
      </x:c>
      <x:c r="L272" s="133" t="inlineStr">
        <x:is>
          <x:t xml:space="preserve">G2</x:t>
        </x:is>
      </x:c>
      <x:c r="M272" s="133" t="str"/>
      <x:c r="N272" s="249" t="n"/>
      <x:c r="O272" s="249" t="n"/>
      <x:c r="P272" s="135" t="str"/>
    </x:row>
    <x:row r="273">
      <x:c r="A273" s="133" t="str">
        <x:f>IF(H273="Completed","✓",IF(H273="Blocked","!",""))</x:f>
      </x:c>
      <x:c r="B273" s="133" t="inlineStr">
        <x:is>
          <x:t xml:space="preserve">13D-10</x:t>
        </x:is>
      </x:c>
      <x:c r="C273" s="133" t="inlineStr">
        <x:is>
          <x:t xml:space="preserve">13D Workspace Shell &amp; Navigation</x:t>
        </x:is>
      </x:c>
      <x:c r="D273" s="133" t="inlineStr">
        <x:is>
          <x:t xml:space="preserve">Review</x:t>
        </x:is>
      </x:c>
      <x:c r="E273" s="133" t="inlineStr">
        <x:is>
          <x:t xml:space="preserve">Workspace Shell sign-off</x:t>
        </x:is>
      </x:c>
      <x:c r="F273" s="133" t="inlineStr">
        <x:is>
          <x:t xml:space="preserve">Shared shell is approved before broad page-by-page visual migration.</x:t>
        </x:is>
      </x:c>
      <x:c r="G273" s="133" t="inlineStr">
        <x:is>
          <x:t xml:space="preserve">P0</x:t>
        </x:is>
      </x:c>
      <x:c r="H273" s="133" t="inlineStr">
        <x:is>
          <x:t xml:space="preserve">Not Started</x:t>
        </x:is>
      </x:c>
      <x:c r="I273" s="133" t="str"/>
      <x:c r="J273" s="133" t="str"/>
      <x:c r="K273" s="133" t="inlineStr">
        <x:is>
          <x:t xml:space="preserve">13D-09</x:t>
        </x:is>
      </x:c>
      <x:c r="L273" s="133" t="str"/>
      <x:c r="M273" s="133" t="str"/>
      <x:c r="N273" s="249" t="n"/>
      <x:c r="O273" s="249" t="n"/>
      <x:c r="P273" s="135" t="str"/>
    </x:row>
    <x:row r="274">
      <x:c r="A274" s="133" t="str">
        <x:f>IF(H274="Completed","✓",IF(H274="Blocked","!",""))</x:f>
      </x:c>
      <x:c r="B274" s="133" t="inlineStr">
        <x:is>
          <x:t xml:space="preserve">13E-01</x:t>
        </x:is>
      </x:c>
      <x:c r="C274" s="133" t="inlineStr">
        <x:is>
          <x:t xml:space="preserve">13E Motion &amp; Completion System</x:t>
        </x:is>
      </x:c>
      <x:c r="D274" s="133" t="inlineStr">
        <x:is>
          <x:t xml:space="preserve">Motion</x:t>
        </x:is>
      </x:c>
      <x:c r="E274" s="133" t="inlineStr">
        <x:is>
          <x:t xml:space="preserve">Create reusable Nexus Completion Moment</x:t>
        </x:is>
      </x:c>
      <x:c r="F274" s="133" t="inlineStr">
        <x:is>
          <x:t xml:space="preserve">Action → processing → confirmation → state change → next-best-action is a reusable enterprise pattern.</x:t>
        </x:is>
      </x:c>
      <x:c r="G274" s="133" t="inlineStr">
        <x:is>
          <x:t xml:space="preserve">P0</x:t>
        </x:is>
      </x:c>
      <x:c r="H274" s="133" t="inlineStr">
        <x:is>
          <x:t xml:space="preserve">Not Started</x:t>
        </x:is>
      </x:c>
      <x:c r="I274" s="133" t="str"/>
      <x:c r="J274" s="133" t="inlineStr">
        <x:is>
          <x:t xml:space="preserve">Cursor UI 06</x:t>
        </x:is>
      </x:c>
      <x:c r="K274" s="133" t="inlineStr">
        <x:is>
          <x:t xml:space="preserve">13B-10</x:t>
        </x:is>
      </x:c>
      <x:c r="L274" s="133" t="str"/>
      <x:c r="M274" s="133" t="str"/>
      <x:c r="N274" s="249" t="n"/>
      <x:c r="O274" s="249" t="n"/>
      <x:c r="P274" s="135" t="str"/>
    </x:row>
    <x:row r="275">
      <x:c r="A275" s="133" t="str">
        <x:f>IF(H275="Completed","✓",IF(H275="Blocked","!",""))</x:f>
      </x:c>
      <x:c r="B275" s="133" t="inlineStr">
        <x:is>
          <x:t xml:space="preserve">13E-02</x:t>
        </x:is>
      </x:c>
      <x:c r="C275" s="133" t="inlineStr">
        <x:is>
          <x:t xml:space="preserve">13E Motion &amp; Completion System</x:t>
        </x:is>
      </x:c>
      <x:c r="D275" s="133" t="inlineStr">
        <x:is>
          <x:t xml:space="preserve">Motion</x:t>
        </x:is>
      </x:c>
      <x:c r="E275" s="133" t="inlineStr">
        <x:is>
          <x:t xml:space="preserve">Implement RFQ created completion moment</x:t>
        </x:is>
      </x:c>
      <x:c r="F275" s="133" t="inlineStr">
        <x:is>
          <x:t xml:space="preserve">RFQ creation confirms success and guides next configuration step without confetti.</x:t>
        </x:is>
      </x:c>
      <x:c r="G275" s="133" t="inlineStr">
        <x:is>
          <x:t xml:space="preserve">P1</x:t>
        </x:is>
      </x:c>
      <x:c r="H275" s="133" t="inlineStr">
        <x:is>
          <x:t xml:space="preserve">Not Started</x:t>
        </x:is>
      </x:c>
      <x:c r="I275" s="133" t="str"/>
      <x:c r="J275" s="133" t="str"/>
      <x:c r="K275" s="133" t="inlineStr">
        <x:is>
          <x:t xml:space="preserve">13E-01</x:t>
        </x:is>
      </x:c>
      <x:c r="L275" s="133" t="str"/>
      <x:c r="M275" s="133" t="str"/>
      <x:c r="N275" s="249" t="n"/>
      <x:c r="O275" s="249" t="n"/>
      <x:c r="P275" s="135" t="str"/>
    </x:row>
    <x:row r="276">
      <x:c r="A276" s="133" t="str">
        <x:f>IF(H276="Completed","✓",IF(H276="Blocked","!",""))</x:f>
      </x:c>
      <x:c r="B276" s="133" t="inlineStr">
        <x:is>
          <x:t xml:space="preserve">13E-03</x:t>
        </x:is>
      </x:c>
      <x:c r="C276" s="133" t="inlineStr">
        <x:is>
          <x:t xml:space="preserve">13E Motion &amp; Completion System</x:t>
        </x:is>
      </x:c>
      <x:c r="D276" s="133" t="inlineStr">
        <x:is>
          <x:t xml:space="preserve">Motion</x:t>
        </x:is>
      </x:c>
      <x:c r="E276" s="133" t="inlineStr">
        <x:is>
          <x:t xml:space="preserve">Implement RFQ published completion moment</x:t>
        </x:is>
      </x:c>
      <x:c r="F276" s="133" t="inlineStr">
        <x:is>
          <x:t xml:space="preserve">Publish state shows invited count/deadlines and next engagement action.</x:t>
        </x:is>
      </x:c>
      <x:c r="G276" s="133" t="inlineStr">
        <x:is>
          <x:t xml:space="preserve">P1</x:t>
        </x:is>
      </x:c>
      <x:c r="H276" s="133" t="inlineStr">
        <x:is>
          <x:t xml:space="preserve">Not Started</x:t>
        </x:is>
      </x:c>
      <x:c r="I276" s="133" t="str"/>
      <x:c r="J276" s="133" t="str"/>
      <x:c r="K276" s="133" t="inlineStr">
        <x:is>
          <x:t xml:space="preserve">13E-01</x:t>
        </x:is>
      </x:c>
      <x:c r="L276" s="133" t="str"/>
      <x:c r="M276" s="133" t="str"/>
      <x:c r="N276" s="249" t="n"/>
      <x:c r="O276" s="249" t="n"/>
      <x:c r="P276" s="135" t="str"/>
    </x:row>
    <x:row r="277">
      <x:c r="A277" s="133" t="str">
        <x:f>IF(H277="Completed","✓",IF(H277="Blocked","!",""))</x:f>
      </x:c>
      <x:c r="B277" s="133" t="inlineStr">
        <x:is>
          <x:t xml:space="preserve">13E-04</x:t>
        </x:is>
      </x:c>
      <x:c r="C277" s="133" t="inlineStr">
        <x:is>
          <x:t xml:space="preserve">13E Motion &amp; Completion System</x:t>
        </x:is>
      </x:c>
      <x:c r="D277" s="133" t="inlineStr">
        <x:is>
          <x:t xml:space="preserve">Motion</x:t>
        </x:is>
      </x:c>
      <x:c r="E277" s="133" t="inlineStr">
        <x:is>
          <x:t xml:space="preserve">Implement invitation sent feedback</x:t>
        </x:is>
      </x:c>
      <x:c r="F277" s="133" t="inlineStr">
        <x:is>
          <x:t xml:space="preserve">Delivery/retry state is animated subtly and truthfully reflects sent/skipped/failed.</x:t>
        </x:is>
      </x:c>
      <x:c r="G277" s="133" t="inlineStr">
        <x:is>
          <x:t xml:space="preserve">P1</x:t>
        </x:is>
      </x:c>
      <x:c r="H277" s="133" t="inlineStr">
        <x:is>
          <x:t xml:space="preserve">Not Started</x:t>
        </x:is>
      </x:c>
      <x:c r="I277" s="133" t="str"/>
      <x:c r="J277" s="133" t="str"/>
      <x:c r="K277" s="133" t="inlineStr">
        <x:is>
          <x:t xml:space="preserve">13E-01</x:t>
        </x:is>
      </x:c>
      <x:c r="L277" s="133" t="str"/>
      <x:c r="M277" s="133" t="str"/>
      <x:c r="N277" s="249" t="n"/>
      <x:c r="O277" s="249" t="n"/>
      <x:c r="P277" s="135" t="str"/>
    </x:row>
    <x:row r="278">
      <x:c r="A278" s="133" t="str">
        <x:f>IF(H278="Completed","✓",IF(H278="Blocked","!",""))</x:f>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inlineStr">
        <x:is>
          <x:t xml:space="preserve">Not Started</x:t>
        </x:is>
      </x:c>
      <x:c r="I278" s="133" t="str"/>
      <x:c r="J278" s="133" t="str"/>
      <x:c r="K278" s="133" t="inlineStr">
        <x:is>
          <x:t xml:space="preserve">13E-01</x:t>
        </x:is>
      </x:c>
      <x:c r="L278" s="133" t="str"/>
      <x:c r="M278" s="133" t="str"/>
      <x:c r="N278" s="249" t="n"/>
      <x:c r="O278" s="249" t="n"/>
      <x:c r="P278" s="135" t="str"/>
    </x:row>
    <x:row r="279">
      <x:c r="A279" s="133" t="str">
        <x:f>IF(H279="Completed","✓",IF(H279="Blocked","!",""))</x:f>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inlineStr">
        <x:is>
          <x:t xml:space="preserve">Not Started</x:t>
        </x:is>
      </x:c>
      <x:c r="I279" s="133" t="str"/>
      <x:c r="J279" s="133" t="str"/>
      <x:c r="K279" s="133" t="inlineStr">
        <x:is>
          <x:t xml:space="preserve">13E-01</x:t>
        </x:is>
      </x:c>
      <x:c r="L279" s="133" t="str"/>
      <x:c r="M279" s="133" t="str"/>
      <x:c r="N279" s="249" t="n"/>
      <x:c r="O279" s="249" t="n"/>
      <x:c r="P279" s="135" t="str"/>
    </x:row>
    <x:row r="280">
      <x:c r="A280" s="133" t="str">
        <x:f>IF(H280="Completed","✓",IF(H280="Blocked","!",""))</x:f>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inlineStr">
        <x:is>
          <x:t xml:space="preserve">Not Started</x:t>
        </x:is>
      </x:c>
      <x:c r="I280" s="133" t="str"/>
      <x:c r="J280" s="133" t="str"/>
      <x:c r="K280" s="133" t="inlineStr">
        <x:is>
          <x:t xml:space="preserve">13E-01</x:t>
        </x:is>
      </x:c>
      <x:c r="L280" s="133" t="str"/>
      <x:c r="M280" s="133" t="str"/>
      <x:c r="N280" s="249" t="n"/>
      <x:c r="O280" s="249" t="n"/>
      <x:c r="P280" s="135" t="str"/>
    </x:row>
    <x:row r="281">
      <x:c r="A281" s="133" t="str">
        <x:f>IF(H281="Completed","✓",IF(H281="Blocked","!",""))</x:f>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inlineStr">
        <x:is>
          <x:t xml:space="preserve">Not Started</x:t>
        </x:is>
      </x:c>
      <x:c r="I281" s="133" t="str"/>
      <x:c r="J281" s="133" t="str"/>
      <x:c r="K281" s="133" t="inlineStr">
        <x:is>
          <x:t xml:space="preserve">13E-01</x:t>
        </x:is>
      </x:c>
      <x:c r="L281" s="133" t="str"/>
      <x:c r="M281" s="133" t="str"/>
      <x:c r="N281" s="249" t="n"/>
      <x:c r="O281" s="249" t="n"/>
      <x:c r="P281" s="135" t="str"/>
    </x:row>
    <x:row r="282">
      <x:c r="A282" s="133" t="str">
        <x:f>IF(H282="Completed","✓",IF(H282="Blocked","!",""))</x:f>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inlineStr">
        <x:is>
          <x:t xml:space="preserve">Not Started</x:t>
        </x:is>
      </x:c>
      <x:c r="I282" s="133" t="str"/>
      <x:c r="J282" s="133" t="str"/>
      <x:c r="K282" s="133" t="inlineStr">
        <x:is>
          <x:t xml:space="preserve">13E-01</x:t>
        </x:is>
      </x:c>
      <x:c r="L282" s="133" t="str"/>
      <x:c r="M282" s="133" t="str"/>
      <x:c r="N282" s="249" t="n"/>
      <x:c r="O282" s="249" t="n"/>
      <x:c r="P282" s="135" t="str"/>
    </x:row>
    <x:row r="283">
      <x:c r="A283" s="133" t="str">
        <x:f>IF(H283="Completed","✓",IF(H283="Blocked","!",""))</x:f>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inlineStr">
        <x:is>
          <x:t xml:space="preserve">Not Started</x:t>
        </x:is>
      </x:c>
      <x:c r="I283" s="133" t="str"/>
      <x:c r="J283" s="133" t="str"/>
      <x:c r="K283" s="133" t="inlineStr">
        <x:is>
          <x:t xml:space="preserve">13B-10</x:t>
        </x:is>
      </x:c>
      <x:c r="L283" s="133" t="str"/>
      <x:c r="M283" s="133" t="str"/>
      <x:c r="N283" s="249" t="n"/>
      <x:c r="O283" s="249" t="n"/>
      <x:c r="P283" s="135" t="str"/>
    </x:row>
    <x:row r="284">
      <x:c r="A284" s="133" t="str">
        <x:f>IF(H284="Completed","✓",IF(H284="Blocked","!",""))</x:f>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inlineStr">
        <x:is>
          <x:t xml:space="preserve">Not Started</x:t>
        </x:is>
      </x:c>
      <x:c r="I284" s="133" t="str"/>
      <x:c r="J284" s="133" t="str"/>
      <x:c r="K284" s="133" t="inlineStr">
        <x:is>
          <x:t xml:space="preserve">13B-10</x:t>
        </x:is>
      </x:c>
      <x:c r="L284" s="133" t="str"/>
      <x:c r="M284" s="133" t="str"/>
      <x:c r="N284" s="249" t="n"/>
      <x:c r="O284" s="249" t="n"/>
      <x:c r="P284" s="135" t="str"/>
    </x:row>
    <x:row r="285">
      <x:c r="A285" s="133" t="str">
        <x:f>IF(H285="Completed","✓",IF(H285="Blocked","!",""))</x:f>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inlineStr">
        <x:is>
          <x:t xml:space="preserve">Not Started</x:t>
        </x:is>
      </x:c>
      <x:c r="I285" s="133" t="str"/>
      <x:c r="J285" s="133" t="str"/>
      <x:c r="K285" s="133" t="inlineStr">
        <x:is>
          <x:t xml:space="preserve">13E-01</x:t>
        </x:is>
      </x:c>
      <x:c r="L285" s="133" t="str"/>
      <x:c r="M285" s="133" t="str"/>
      <x:c r="N285" s="249" t="n"/>
      <x:c r="O285" s="249" t="n"/>
      <x:c r="P285" s="135" t="str"/>
    </x:row>
    <x:row r="286">
      <x:c r="A286" s="133" t="str">
        <x:f>IF(H286="Completed","✓",IF(H286="Blocked","!",""))</x:f>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inlineStr">
        <x:is>
          <x:t xml:space="preserve">Not Started</x:t>
        </x:is>
      </x:c>
      <x:c r="I286" s="133" t="str"/>
      <x:c r="J286" s="133" t="str"/>
      <x:c r="K286" s="133" t="inlineStr">
        <x:is>
          <x:t xml:space="preserve">13E-12</x:t>
        </x:is>
      </x:c>
      <x:c r="L286" s="133" t="str"/>
      <x:c r="M286" s="133" t="str"/>
      <x:c r="N286" s="249" t="n"/>
      <x:c r="O286" s="249" t="n"/>
      <x:c r="P286" s="135" t="str"/>
    </x:row>
    <x:row r="287">
      <x:c r="A287" s="133" t="str">
        <x:f>IF(H287="Completed","✓",IF(H287="Blocked","!",""))</x:f>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inlineStr">
        <x:is>
          <x:t xml:space="preserve">Not Started</x:t>
        </x:is>
      </x:c>
      <x:c r="I287" s="133" t="str"/>
      <x:c r="J287" s="133" t="inlineStr">
        <x:is>
          <x:t xml:space="preserve">Cursor UI 07</x:t>
        </x:is>
      </x:c>
      <x:c r="K287" s="133" t="inlineStr">
        <x:is>
          <x:t xml:space="preserve">13D-10</x:t>
        </x:is>
      </x:c>
      <x:c r="L287" s="133" t="str"/>
      <x:c r="M287" s="133" t="str"/>
      <x:c r="N287" s="249" t="n"/>
      <x:c r="O287" s="249" t="n"/>
      <x:c r="P287" s="135" t="str"/>
    </x:row>
    <x:row r="288">
      <x:c r="A288" s="133" t="str">
        <x:f>IF(H288="Completed","✓",IF(H288="Blocked","!",""))</x:f>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inlineStr">
        <x:is>
          <x:t xml:space="preserve">Not Started</x:t>
        </x:is>
      </x:c>
      <x:c r="I288" s="133" t="str"/>
      <x:c r="J288" s="133" t="str"/>
      <x:c r="K288" s="133" t="inlineStr">
        <x:is>
          <x:t xml:space="preserve">13F-01</x:t>
        </x:is>
      </x:c>
      <x:c r="L288" s="133" t="str"/>
      <x:c r="M288" s="133" t="str"/>
      <x:c r="N288" s="249" t="n"/>
      <x:c r="O288" s="249" t="n"/>
      <x:c r="P288" s="135" t="str"/>
    </x:row>
    <x:row r="289">
      <x:c r="A289" s="133" t="str">
        <x:f>IF(H289="Completed","✓",IF(H289="Blocked","!",""))</x:f>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inlineStr">
        <x:is>
          <x:t xml:space="preserve">Not Started</x:t>
        </x:is>
      </x:c>
      <x:c r="I289" s="133" t="str"/>
      <x:c r="J289" s="133" t="str"/>
      <x:c r="K289" s="133" t="inlineStr">
        <x:is>
          <x:t xml:space="preserve">13F-02</x:t>
        </x:is>
      </x:c>
      <x:c r="L289" s="133" t="str"/>
      <x:c r="M289" s="133" t="str"/>
      <x:c r="N289" s="249" t="n"/>
      <x:c r="O289" s="249" t="n"/>
      <x:c r="P289" s="135" t="str"/>
    </x:row>
    <x:row r="290">
      <x:c r="A290" s="133" t="str">
        <x:f>IF(H290="Completed","✓",IF(H290="Blocked","!",""))</x:f>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inlineStr">
        <x:is>
          <x:t xml:space="preserve">Not Started</x:t>
        </x:is>
      </x:c>
      <x:c r="I290" s="133" t="str"/>
      <x:c r="J290" s="133" t="str"/>
      <x:c r="K290" s="133" t="inlineStr">
        <x:is>
          <x:t xml:space="preserve">13F-03</x:t>
        </x:is>
      </x:c>
      <x:c r="L290" s="133" t="str"/>
      <x:c r="M290" s="133" t="str"/>
      <x:c r="N290" s="249" t="n"/>
      <x:c r="O290" s="249" t="n"/>
      <x:c r="P290" s="135" t="str"/>
    </x:row>
    <x:row r="291">
      <x:c r="A291" s="133" t="str">
        <x:f>IF(H291="Completed","✓",IF(H291="Blocked","!",""))</x:f>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inlineStr">
        <x:is>
          <x:t xml:space="preserve">Not Started</x:t>
        </x:is>
      </x:c>
      <x:c r="I291" s="133" t="str"/>
      <x:c r="J291" s="133" t="str"/>
      <x:c r="K291" s="133" t="inlineStr">
        <x:is>
          <x:t xml:space="preserve">13C-09</x:t>
        </x:is>
      </x:c>
      <x:c r="L291" s="133" t="str"/>
      <x:c r="M291" s="133" t="str"/>
      <x:c r="N291" s="249" t="n"/>
      <x:c r="O291" s="249" t="n"/>
      <x:c r="P291" s="135" t="str"/>
    </x:row>
    <x:row r="292">
      <x:c r="A292" s="133" t="str">
        <x:f>IF(H292="Completed","✓",IF(H292="Blocked","!",""))</x:f>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inlineStr">
        <x:is>
          <x:t xml:space="preserve">Not Started</x:t>
        </x:is>
      </x:c>
      <x:c r="I292" s="133" t="str"/>
      <x:c r="J292" s="133" t="str"/>
      <x:c r="K292" s="133" t="inlineStr">
        <x:is>
          <x:t xml:space="preserve">13C-15</x:t>
        </x:is>
      </x:c>
      <x:c r="L292" s="133" t="str"/>
      <x:c r="M292" s="133" t="str"/>
      <x:c r="N292" s="249" t="n"/>
      <x:c r="O292" s="249" t="n"/>
      <x:c r="P292" s="135" t="str"/>
    </x:row>
    <x:row r="293">
      <x:c r="A293" s="133" t="str">
        <x:f>IF(H293="Completed","✓",IF(H293="Blocked","!",""))</x:f>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inlineStr">
        <x:is>
          <x:t xml:space="preserve">Not Started</x:t>
        </x:is>
      </x:c>
      <x:c r="I293" s="133" t="str"/>
      <x:c r="J293" s="133" t="str"/>
      <x:c r="K293" s="133" t="inlineStr">
        <x:is>
          <x:t xml:space="preserve">13F-04</x:t>
        </x:is>
      </x:c>
      <x:c r="L293" s="133" t="str"/>
      <x:c r="M293" s="133" t="str"/>
      <x:c r="N293" s="249" t="n"/>
      <x:c r="O293" s="249" t="n"/>
      <x:c r="P293" s="135" t="str"/>
    </x:row>
    <x:row r="294">
      <x:c r="A294" s="133" t="str">
        <x:f>IF(H294="Completed","✓",IF(H294="Blocked","!",""))</x:f>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inlineStr">
        <x:is>
          <x:t xml:space="preserve">Not Started</x:t>
        </x:is>
      </x:c>
      <x:c r="I294" s="133" t="str"/>
      <x:c r="J294" s="133" t="str"/>
      <x:c r="K294" s="133" t="inlineStr">
        <x:is>
          <x:t xml:space="preserve">13C-08</x:t>
        </x:is>
      </x:c>
      <x:c r="L294" s="133" t="str"/>
      <x:c r="M294" s="133" t="str"/>
      <x:c r="N294" s="249" t="n"/>
      <x:c r="O294" s="249" t="n"/>
      <x:c r="P294" s="135" t="str"/>
    </x:row>
    <x:row r="295">
      <x:c r="A295" s="133" t="str">
        <x:f>IF(H295="Completed","✓",IF(H295="Blocked","!",""))</x:f>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inlineStr">
        <x:is>
          <x:t xml:space="preserve">Not Started</x:t>
        </x:is>
      </x:c>
      <x:c r="I295" s="133" t="str"/>
      <x:c r="J295" s="133" t="str"/>
      <x:c r="K295" s="133" t="inlineStr">
        <x:is>
          <x:t xml:space="preserve">13F-06</x:t>
        </x:is>
      </x:c>
      <x:c r="L295" s="133" t="str"/>
      <x:c r="M295" s="133" t="str"/>
      <x:c r="N295" s="249" t="n"/>
      <x:c r="O295" s="249" t="n"/>
      <x:c r="P295" s="135" t="str"/>
    </x:row>
    <x:row r="296">
      <x:c r="A296" s="133" t="str">
        <x:f>IF(H296="Completed","✓",IF(H296="Blocked","!",""))</x:f>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inlineStr">
        <x:is>
          <x:t xml:space="preserve">Not Started</x:t>
        </x:is>
      </x:c>
      <x:c r="I296" s="133" t="str"/>
      <x:c r="J296" s="133" t="str"/>
      <x:c r="K296" s="133" t="inlineStr">
        <x:is>
          <x:t xml:space="preserve">13F-06</x:t>
        </x:is>
      </x:c>
      <x:c r="L296" s="133" t="str"/>
      <x:c r="M296" s="133" t="str"/>
      <x:c r="N296" s="249" t="n"/>
      <x:c r="O296" s="249" t="n"/>
      <x:c r="P296" s="135" t="str"/>
    </x:row>
    <x:row r="297">
      <x:c r="A297" s="133" t="str">
        <x:f>IF(H297="Completed","✓",IF(H297="Blocked","!",""))</x:f>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inlineStr">
        <x:is>
          <x:t xml:space="preserve">Not Started</x:t>
        </x:is>
      </x:c>
      <x:c r="I297" s="133" t="str"/>
      <x:c r="J297" s="133" t="str"/>
      <x:c r="K297" s="133" t="inlineStr">
        <x:is>
          <x:t xml:space="preserve">13F-06</x:t>
        </x:is>
      </x:c>
      <x:c r="L297" s="133" t="str"/>
      <x:c r="M297" s="133" t="str"/>
      <x:c r="N297" s="249" t="n"/>
      <x:c r="O297" s="249" t="n"/>
      <x:c r="P297" s="135" t="str"/>
    </x:row>
    <x:row r="298">
      <x:c r="A298" s="133" t="str">
        <x:f>IF(H298="Completed","✓",IF(H298="Blocked","!",""))</x:f>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inlineStr">
        <x:is>
          <x:t xml:space="preserve">Not Started</x:t>
        </x:is>
      </x:c>
      <x:c r="I298" s="133" t="str"/>
      <x:c r="J298" s="133" t="str"/>
      <x:c r="K298" s="133" t="inlineStr">
        <x:is>
          <x:t xml:space="preserve">13F-06</x:t>
        </x:is>
      </x:c>
      <x:c r="L298" s="133" t="str"/>
      <x:c r="M298" s="133" t="str"/>
      <x:c r="N298" s="249" t="n"/>
      <x:c r="O298" s="249" t="n"/>
      <x:c r="P298" s="135" t="str"/>
    </x:row>
    <x:row r="299">
      <x:c r="A299" s="133" t="str">
        <x:f>IF(H299="Completed","✓",IF(H299="Blocked","!",""))</x:f>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inlineStr">
        <x:is>
          <x:t xml:space="preserve">Not Started</x:t>
        </x:is>
      </x:c>
      <x:c r="I299" s="133" t="str"/>
      <x:c r="J299" s="133" t="str"/>
      <x:c r="K299" s="133" t="inlineStr">
        <x:is>
          <x:t xml:space="preserve">13F-01</x:t>
        </x:is>
      </x:c>
      <x:c r="L299" s="133" t="str"/>
      <x:c r="M299" s="133" t="str"/>
      <x:c r="N299" s="249" t="n"/>
      <x:c r="O299" s="249" t="n"/>
      <x:c r="P299" s="135" t="str"/>
    </x:row>
    <x:row r="300">
      <x:c r="A300" s="133" t="str">
        <x:f>IF(H300="Completed","✓",IF(H300="Blocked","!",""))</x:f>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inlineStr">
        <x:is>
          <x:t xml:space="preserve">Not Started</x:t>
        </x:is>
      </x:c>
      <x:c r="I300" s="133" t="str"/>
      <x:c r="J300" s="133" t="str"/>
      <x:c r="K300" s="133" t="inlineStr">
        <x:is>
          <x:t xml:space="preserve">13F-12</x:t>
        </x:is>
      </x:c>
      <x:c r="L300" s="133" t="str"/>
      <x:c r="M300" s="133" t="str"/>
      <x:c r="N300" s="249" t="n"/>
      <x:c r="O300" s="249" t="n"/>
      <x:c r="P300" s="135" t="str"/>
    </x:row>
    <x:row r="301">
      <x:c r="A301" s="133" t="str">
        <x:f>IF(H301="Completed","✓",IF(H301="Blocked","!",""))</x:f>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inlineStr">
        <x:is>
          <x:t xml:space="preserve">Not Started</x:t>
        </x:is>
      </x:c>
      <x:c r="I301" s="133" t="str"/>
      <x:c r="J301" s="133" t="inlineStr">
        <x:is>
          <x:t xml:space="preserve">Cursor UI 08</x:t>
        </x:is>
      </x:c>
      <x:c r="K301" s="133" t="inlineStr">
        <x:is>
          <x:t xml:space="preserve">13F-14</x:t>
        </x:is>
      </x:c>
      <x:c r="L301" s="133" t="str"/>
      <x:c r="M301" s="133" t="str"/>
      <x:c r="N301" s="249" t="n"/>
      <x:c r="O301" s="249" t="n"/>
      <x:c r="P301" s="135" t="str"/>
    </x:row>
    <x:row r="302">
      <x:c r="A302" s="133" t="str">
        <x:f>IF(H302="Completed","✓",IF(H302="Blocked","!",""))</x:f>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inlineStr">
        <x:is>
          <x:t xml:space="preserve">Not Started</x:t>
        </x:is>
      </x:c>
      <x:c r="I302" s="133" t="str"/>
      <x:c r="J302" s="133" t="str"/>
      <x:c r="K302" s="133" t="inlineStr">
        <x:is>
          <x:t xml:space="preserve">13G-01</x:t>
        </x:is>
      </x:c>
      <x:c r="L302" s="133" t="inlineStr">
        <x:is>
          <x:t xml:space="preserve">G7</x:t>
        </x:is>
      </x:c>
      <x:c r="M302" s="133" t="str"/>
      <x:c r="N302" s="249" t="n"/>
      <x:c r="O302" s="249" t="n"/>
      <x:c r="P302" s="135" t="str"/>
    </x:row>
    <x:row r="303">
      <x:c r="A303" s="133" t="str">
        <x:f>IF(H303="Completed","✓",IF(H303="Blocked","!",""))</x:f>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inlineStr">
        <x:is>
          <x:t xml:space="preserve">Not Started</x:t>
        </x:is>
      </x:c>
      <x:c r="I303" s="133" t="str"/>
      <x:c r="J303" s="133" t="str"/>
      <x:c r="K303" s="133" t="inlineStr">
        <x:is>
          <x:t xml:space="preserve">13G-02</x:t>
        </x:is>
      </x:c>
      <x:c r="L303" s="133" t="str"/>
      <x:c r="M303" s="133" t="str"/>
      <x:c r="N303" s="249" t="n"/>
      <x:c r="O303" s="249" t="n"/>
      <x:c r="P303" s="135" t="str"/>
    </x:row>
    <x:row r="304">
      <x:c r="A304" s="133" t="str">
        <x:f>IF(H304="Completed","✓",IF(H304="Blocked","!",""))</x:f>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inlineStr">
        <x:is>
          <x:t xml:space="preserve">Not Started</x:t>
        </x:is>
      </x:c>
      <x:c r="I304" s="133" t="str"/>
      <x:c r="J304" s="133" t="str"/>
      <x:c r="K304" s="133" t="inlineStr">
        <x:is>
          <x:t xml:space="preserve">13F-07</x:t>
        </x:is>
      </x:c>
      <x:c r="L304" s="133" t="str"/>
      <x:c r="M304" s="133" t="str"/>
      <x:c r="N304" s="249" t="n"/>
      <x:c r="O304" s="249" t="n"/>
      <x:c r="P304" s="135" t="str"/>
    </x:row>
    <x:row r="305">
      <x:c r="A305" s="133" t="str">
        <x:f>IF(H305="Completed","✓",IF(H305="Blocked","!",""))</x:f>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inlineStr">
        <x:is>
          <x:t xml:space="preserve">Not Started</x:t>
        </x:is>
      </x:c>
      <x:c r="I305" s="133" t="str"/>
      <x:c r="J305" s="133" t="str"/>
      <x:c r="K305" s="133" t="inlineStr">
        <x:is>
          <x:t xml:space="preserve">13G-02</x:t>
        </x:is>
      </x:c>
      <x:c r="L305" s="133" t="str"/>
      <x:c r="M305" s="133" t="str"/>
      <x:c r="N305" s="249" t="n"/>
      <x:c r="O305" s="249" t="n"/>
      <x:c r="P305" s="135" t="str"/>
    </x:row>
    <x:row r="306">
      <x:c r="A306" s="133" t="str">
        <x:f>IF(H306="Completed","✓",IF(H306="Blocked","!",""))</x:f>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inlineStr">
        <x:is>
          <x:t xml:space="preserve">Not Started</x:t>
        </x:is>
      </x:c>
      <x:c r="I306" s="133" t="str"/>
      <x:c r="J306" s="133" t="str"/>
      <x:c r="K306" s="133" t="inlineStr">
        <x:is>
          <x:t xml:space="preserve">13G-02</x:t>
        </x:is>
      </x:c>
      <x:c r="L306" s="133" t="str"/>
      <x:c r="M306" s="133" t="str"/>
      <x:c r="N306" s="249" t="n"/>
      <x:c r="O306" s="249" t="n"/>
      <x:c r="P306" s="135" t="str"/>
    </x:row>
    <x:row r="307">
      <x:c r="A307" s="133" t="str">
        <x:f>IF(H307="Completed","✓",IF(H307="Blocked","!",""))</x:f>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inlineStr">
        <x:is>
          <x:t xml:space="preserve">Not Started</x:t>
        </x:is>
      </x:c>
      <x:c r="I307" s="133" t="str"/>
      <x:c r="J307" s="133" t="str"/>
      <x:c r="K307" s="133" t="inlineStr">
        <x:is>
          <x:t xml:space="preserve">13G-01</x:t>
        </x:is>
      </x:c>
      <x:c r="L307" s="133" t="str"/>
      <x:c r="M307" s="133" t="str"/>
      <x:c r="N307" s="249" t="n"/>
      <x:c r="O307" s="249" t="n"/>
      <x:c r="P307" s="135" t="str"/>
    </x:row>
    <x:row r="308">
      <x:c r="A308" s="133" t="str">
        <x:f>IF(H308="Completed","✓",IF(H308="Blocked","!",""))</x:f>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inlineStr">
        <x:is>
          <x:t xml:space="preserve">Not Started</x:t>
        </x:is>
      </x:c>
      <x:c r="I308" s="133" t="str"/>
      <x:c r="J308" s="133" t="str"/>
      <x:c r="K308" s="133" t="inlineStr">
        <x:is>
          <x:t xml:space="preserve">13G-02</x:t>
        </x:is>
      </x:c>
      <x:c r="L308" s="133" t="inlineStr">
        <x:is>
          <x:t xml:space="preserve">G7</x:t>
        </x:is>
      </x:c>
      <x:c r="M308" s="133" t="str"/>
      <x:c r="N308" s="249" t="n"/>
      <x:c r="O308" s="249" t="n"/>
      <x:c r="P308" s="135" t="str"/>
    </x:row>
    <x:row r="309">
      <x:c r="A309" s="133" t="str">
        <x:f>IF(H309="Completed","✓",IF(H309="Blocked","!",""))</x:f>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inlineStr">
        <x:is>
          <x:t xml:space="preserve">Not Started</x:t>
        </x:is>
      </x:c>
      <x:c r="I309" s="133" t="str"/>
      <x:c r="J309" s="133" t="str"/>
      <x:c r="K309" s="133" t="inlineStr">
        <x:is>
          <x:t xml:space="preserve">13G-06</x:t>
        </x:is>
      </x:c>
      <x:c r="L309" s="133" t="str"/>
      <x:c r="M309" s="133" t="str"/>
      <x:c r="N309" s="249" t="n"/>
      <x:c r="O309" s="249" t="n"/>
      <x:c r="P309" s="135" t="str"/>
    </x:row>
    <x:row r="310">
      <x:c r="A310" s="133" t="str">
        <x:f>IF(H310="Completed","✓",IF(H310="Blocked","!",""))</x:f>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inlineStr">
        <x:is>
          <x:t xml:space="preserve">Not Started</x:t>
        </x:is>
      </x:c>
      <x:c r="I310" s="133" t="str"/>
      <x:c r="J310" s="133" t="str"/>
      <x:c r="K310" s="133" t="inlineStr">
        <x:is>
          <x:t xml:space="preserve">13G-01</x:t>
        </x:is>
      </x:c>
      <x:c r="L310" s="133" t="str"/>
      <x:c r="M310" s="133" t="str"/>
      <x:c r="N310" s="249" t="n"/>
      <x:c r="O310" s="249" t="n"/>
      <x:c r="P310" s="135" t="str"/>
    </x:row>
    <x:row r="311">
      <x:c r="A311" s="133" t="str">
        <x:f>IF(H311="Completed","✓",IF(H311="Blocked","!",""))</x:f>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inlineStr">
        <x:is>
          <x:t xml:space="preserve">Not Started</x:t>
        </x:is>
      </x:c>
      <x:c r="I311" s="133" t="str"/>
      <x:c r="J311" s="133" t="str"/>
      <x:c r="K311" s="133" t="inlineStr">
        <x:is>
          <x:t xml:space="preserve">13G-10</x:t>
        </x:is>
      </x:c>
      <x:c r="L311" s="133" t="str"/>
      <x:c r="M311" s="133" t="str"/>
      <x:c r="N311" s="249" t="n"/>
      <x:c r="O311" s="249" t="n"/>
      <x:c r="P311" s="135" t="inlineStr">
        <x:is>
          <x:t xml:space="preserve">Do not introduce page-specific design primitives unless the shared system genuinely cannot express the need.</x:t>
        </x:is>
      </x:c>
    </x:row>
    <x:row r="312">
      <x:c r="A312" s="133" t="str">
        <x:f>IF(H312="Completed","✓",IF(H312="Blocked","!",""))</x:f>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inlineStr">
        <x:is>
          <x:t xml:space="preserve">Not Started</x:t>
        </x:is>
      </x:c>
      <x:c r="I312" s="133" t="str"/>
      <x:c r="J312" s="133" t="str"/>
      <x:c r="K312" s="133" t="inlineStr">
        <x:is>
          <x:t xml:space="preserve">13G-10</x:t>
        </x:is>
      </x:c>
      <x:c r="L312" s="133" t="str"/>
      <x:c r="M312" s="133" t="str"/>
      <x:c r="N312" s="249" t="n"/>
      <x:c r="O312" s="249" t="n"/>
      <x:c r="P312" s="135" t="inlineStr">
        <x:is>
          <x:t xml:space="preserve">Do not introduce page-specific design primitives unless the shared system genuinely cannot express the need.</x:t>
        </x:is>
      </x:c>
    </x:row>
    <x:row r="313">
      <x:c r="A313" s="133" t="str">
        <x:f>IF(H313="Completed","✓",IF(H313="Blocked","!",""))</x:f>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inlineStr">
        <x:is>
          <x:t xml:space="preserve">Not Started</x:t>
        </x:is>
      </x:c>
      <x:c r="I313" s="133" t="str"/>
      <x:c r="J313" s="133" t="str"/>
      <x:c r="K313" s="133" t="inlineStr">
        <x:is>
          <x:t xml:space="preserve">13G-10</x:t>
        </x:is>
      </x:c>
      <x:c r="L313" s="133" t="str"/>
      <x:c r="M313" s="133" t="str"/>
      <x:c r="N313" s="249" t="n"/>
      <x:c r="O313" s="249" t="n"/>
      <x:c r="P313" s="135" t="inlineStr">
        <x:is>
          <x:t xml:space="preserve">Do not introduce page-specific design primitives unless the shared system genuinely cannot express the need.</x:t>
        </x:is>
      </x:c>
    </x:row>
    <x:row r="314">
      <x:c r="A314" s="133" t="str">
        <x:f>IF(H314="Completed","✓",IF(H314="Blocked","!",""))</x:f>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inlineStr">
        <x:is>
          <x:t xml:space="preserve">Not Started</x:t>
        </x:is>
      </x:c>
      <x:c r="I314" s="133" t="str"/>
      <x:c r="J314" s="133" t="str"/>
      <x:c r="K314" s="133" t="inlineStr">
        <x:is>
          <x:t xml:space="preserve">13G-10</x:t>
        </x:is>
      </x:c>
      <x:c r="L314" s="133" t="str"/>
      <x:c r="M314" s="133" t="str"/>
      <x:c r="N314" s="249" t="n"/>
      <x:c r="O314" s="249" t="n"/>
      <x:c r="P314" s="135" t="inlineStr">
        <x:is>
          <x:t xml:space="preserve">Do not introduce page-specific design primitives unless the shared system genuinely cannot express the need.</x:t>
        </x:is>
      </x:c>
    </x:row>
    <x:row r="315">
      <x:c r="A315" s="133" t="str">
        <x:f>IF(H315="Completed","✓",IF(H315="Blocked","!",""))</x:f>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inlineStr">
        <x:is>
          <x:t xml:space="preserve">Not Started</x:t>
        </x:is>
      </x:c>
      <x:c r="I315" s="133" t="str"/>
      <x:c r="J315" s="133" t="str"/>
      <x:c r="K315" s="133" t="inlineStr">
        <x:is>
          <x:t xml:space="preserve">13G-10</x:t>
        </x:is>
      </x:c>
      <x:c r="L315" s="133" t="str"/>
      <x:c r="M315" s="133" t="str"/>
      <x:c r="N315" s="249" t="n"/>
      <x:c r="O315" s="249" t="n"/>
      <x:c r="P315" s="135" t="inlineStr">
        <x:is>
          <x:t xml:space="preserve">Do not introduce page-specific design primitives unless the shared system genuinely cannot express the need.</x:t>
        </x:is>
      </x:c>
    </x:row>
    <x:row r="316">
      <x:c r="A316" s="133" t="str">
        <x:f>IF(H316="Completed","✓",IF(H316="Blocked","!",""))</x:f>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inlineStr">
        <x:is>
          <x:t xml:space="preserve">Not Started</x:t>
        </x:is>
      </x:c>
      <x:c r="I316" s="133" t="str"/>
      <x:c r="J316" s="133" t="str"/>
      <x:c r="K316" s="133" t="inlineStr">
        <x:is>
          <x:t xml:space="preserve">13G-10</x:t>
        </x:is>
      </x:c>
      <x:c r="L316" s="133" t="str"/>
      <x:c r="M316" s="133" t="str"/>
      <x:c r="N316" s="249" t="n"/>
      <x:c r="O316" s="249" t="n"/>
      <x:c r="P316" s="135" t="inlineStr">
        <x:is>
          <x:t xml:space="preserve">Do not introduce page-specific design primitives unless the shared system genuinely cannot express the need.</x:t>
        </x:is>
      </x:c>
    </x:row>
    <x:row r="317">
      <x:c r="A317" s="133" t="str">
        <x:f>IF(H317="Completed","✓",IF(H317="Blocked","!",""))</x:f>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inlineStr">
        <x:is>
          <x:t xml:space="preserve">Not Started</x:t>
        </x:is>
      </x:c>
      <x:c r="I317" s="133" t="str"/>
      <x:c r="J317" s="133" t="str"/>
      <x:c r="K317" s="133" t="inlineStr">
        <x:is>
          <x:t xml:space="preserve">13G-10</x:t>
        </x:is>
      </x:c>
      <x:c r="L317" s="133" t="str"/>
      <x:c r="M317" s="133" t="str"/>
      <x:c r="N317" s="249" t="n"/>
      <x:c r="O317" s="249" t="n"/>
      <x:c r="P317" s="135" t="inlineStr">
        <x:is>
          <x:t xml:space="preserve">Do not introduce page-specific design primitives unless the shared system genuinely cannot express the need.</x:t>
        </x:is>
      </x:c>
    </x:row>
    <x:row r="318">
      <x:c r="A318" s="133" t="str">
        <x:f>IF(H318="Completed","✓",IF(H318="Blocked","!",""))</x:f>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inlineStr">
        <x:is>
          <x:t xml:space="preserve">Not Started</x:t>
        </x:is>
      </x:c>
      <x:c r="I318" s="133" t="str"/>
      <x:c r="J318" s="133" t="str"/>
      <x:c r="K318" s="133" t="inlineStr">
        <x:is>
          <x:t xml:space="preserve">13G-10</x:t>
        </x:is>
      </x:c>
      <x:c r="L318" s="133" t="str"/>
      <x:c r="M318" s="133" t="str"/>
      <x:c r="N318" s="249" t="n"/>
      <x:c r="O318" s="249" t="n"/>
      <x:c r="P318" s="135" t="inlineStr">
        <x:is>
          <x:t xml:space="preserve">Do not introduce page-specific design primitives unless the shared system genuinely cannot express the need.</x:t>
        </x:is>
      </x:c>
    </x:row>
    <x:row r="319">
      <x:c r="A319" s="133" t="str">
        <x:f>IF(H319="Completed","✓",IF(H319="Blocked","!",""))</x:f>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inlineStr">
        <x:is>
          <x:t xml:space="preserve">Not Started</x:t>
        </x:is>
      </x:c>
      <x:c r="I319" s="133" t="str"/>
      <x:c r="J319" s="133" t="str"/>
      <x:c r="K319" s="133" t="inlineStr">
        <x:is>
          <x:t xml:space="preserve">13G-10</x:t>
        </x:is>
      </x:c>
      <x:c r="L319" s="133" t="str"/>
      <x:c r="M319" s="133" t="str"/>
      <x:c r="N319" s="249" t="n"/>
      <x:c r="O319" s="249" t="n"/>
      <x:c r="P319" s="135" t="inlineStr">
        <x:is>
          <x:t xml:space="preserve">Do not introduce page-specific design primitives unless the shared system genuinely cannot express the need.</x:t>
        </x:is>
      </x:c>
    </x:row>
    <x:row r="320">
      <x:c r="A320" s="133" t="str">
        <x:f>IF(H320="Completed","✓",IF(H320="Blocked","!",""))</x:f>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inlineStr">
        <x:is>
          <x:t xml:space="preserve">Not Started</x:t>
        </x:is>
      </x:c>
      <x:c r="I320" s="133" t="str"/>
      <x:c r="J320" s="133" t="str"/>
      <x:c r="K320" s="133" t="inlineStr">
        <x:is>
          <x:t xml:space="preserve">13G-10</x:t>
        </x:is>
      </x:c>
      <x:c r="L320" s="133" t="str"/>
      <x:c r="M320" s="133" t="str"/>
      <x:c r="N320" s="249" t="n"/>
      <x:c r="O320" s="249" t="n"/>
      <x:c r="P320" s="135" t="inlineStr">
        <x:is>
          <x:t xml:space="preserve">Do not introduce page-specific design primitives unless the shared system genuinely cannot express the need.</x:t>
        </x:is>
      </x:c>
    </x:row>
    <x:row r="321">
      <x:c r="A321" s="133" t="str">
        <x:f>IF(H321="Completed","✓",IF(H321="Blocked","!",""))</x:f>
      </x:c>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inlineStr">
        <x:is>
          <x:t xml:space="preserve">Not Started</x:t>
        </x:is>
      </x:c>
      <x:c r="I321" s="133" t="str"/>
      <x:c r="J321" s="133" t="str"/>
      <x:c r="K321" s="133" t="inlineStr">
        <x:is>
          <x:t xml:space="preserve">13G-10</x:t>
        </x:is>
      </x:c>
      <x:c r="L321" s="133" t="str"/>
      <x:c r="M321" s="133" t="str"/>
      <x:c r="N321" s="249" t="n"/>
      <x:c r="O321" s="249" t="n"/>
      <x:c r="P321" s="135" t="inlineStr">
        <x:is>
          <x:t xml:space="preserve">Do not introduce page-specific design primitives unless the shared system genuinely cannot express the need.</x:t>
        </x:is>
      </x:c>
    </x:row>
    <x:row r="322">
      <x:c r="A322" s="133" t="str">
        <x:f>IF(H322="Completed","✓",IF(H322="Blocked","!",""))</x:f>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inlineStr">
        <x:is>
          <x:t xml:space="preserve">Not Started</x:t>
        </x:is>
      </x:c>
      <x:c r="I322" s="133" t="str"/>
      <x:c r="J322" s="133" t="str"/>
      <x:c r="K322" s="133" t="inlineStr">
        <x:is>
          <x:t xml:space="preserve">13G-10</x:t>
        </x:is>
      </x:c>
      <x:c r="L322" s="133" t="str"/>
      <x:c r="M322" s="133" t="str"/>
      <x:c r="N322" s="249" t="n"/>
      <x:c r="O322" s="249" t="n"/>
      <x:c r="P322" s="135" t="inlineStr">
        <x:is>
          <x:t xml:space="preserve">Do not introduce page-specific design primitives unless the shared system genuinely cannot express the need.</x:t>
        </x:is>
      </x:c>
    </x:row>
    <x:row r="323">
      <x:c r="A323" s="133" t="str">
        <x:f>IF(H323="Completed","✓",IF(H323="Blocked","!",""))</x:f>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inlineStr">
        <x:is>
          <x:t xml:space="preserve">Not Started</x:t>
        </x:is>
      </x:c>
      <x:c r="I323" s="133" t="str"/>
      <x:c r="J323" s="133" t="str"/>
      <x:c r="K323" s="133" t="inlineStr">
        <x:is>
          <x:t xml:space="preserve">13G-10</x:t>
        </x:is>
      </x:c>
      <x:c r="L323" s="133" t="str"/>
      <x:c r="M323" s="133" t="str"/>
      <x:c r="N323" s="249" t="n"/>
      <x:c r="O323" s="249" t="n"/>
      <x:c r="P323" s="135" t="inlineStr">
        <x:is>
          <x:t xml:space="preserve">Do not introduce page-specific design primitives unless the shared system genuinely cannot express the need.</x:t>
        </x:is>
      </x:c>
    </x:row>
    <x:row r="324">
      <x:c r="A324" s="133" t="str">
        <x:f>IF(H324="Completed","✓",IF(H324="Blocked","!",""))</x:f>
      </x:c>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inlineStr">
        <x:is>
          <x:t xml:space="preserve">Not Started</x:t>
        </x:is>
      </x:c>
      <x:c r="I324" s="133" t="str"/>
      <x:c r="J324" s="133" t="str"/>
      <x:c r="K324" s="133" t="inlineStr">
        <x:is>
          <x:t xml:space="preserve">13G-10</x:t>
        </x:is>
      </x:c>
      <x:c r="L324" s="133" t="str"/>
      <x:c r="M324" s="133" t="str"/>
      <x:c r="N324" s="249" t="n"/>
      <x:c r="O324" s="249" t="n"/>
      <x:c r="P324" s="135" t="inlineStr">
        <x:is>
          <x:t xml:space="preserve">Do not introduce page-specific design primitives unless the shared system genuinely cannot express the need.</x:t>
        </x:is>
      </x:c>
    </x:row>
    <x:row r="325">
      <x:c r="A325" s="133" t="str">
        <x:f>IF(H325="Completed","✓",IF(H325="Blocked","!",""))</x:f>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inlineStr">
        <x:is>
          <x:t xml:space="preserve">Not Started</x:t>
        </x:is>
      </x:c>
      <x:c r="I325" s="133" t="str"/>
      <x:c r="J325" s="133" t="str"/>
      <x:c r="K325" s="133" t="inlineStr">
        <x:is>
          <x:t xml:space="preserve">13G-10</x:t>
        </x:is>
      </x:c>
      <x:c r="L325" s="133" t="str"/>
      <x:c r="M325" s="133" t="str"/>
      <x:c r="N325" s="249" t="n"/>
      <x:c r="O325" s="249" t="n"/>
      <x:c r="P325" s="135" t="inlineStr">
        <x:is>
          <x:t xml:space="preserve">Do not introduce page-specific design primitives unless the shared system genuinely cannot express the need.</x:t>
        </x:is>
      </x:c>
    </x:row>
    <x:row r="326">
      <x:c r="A326" s="133" t="str">
        <x:f>IF(H326="Completed","✓",IF(H326="Blocked","!",""))</x:f>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inlineStr">
        <x:is>
          <x:t xml:space="preserve">Not Started</x:t>
        </x:is>
      </x:c>
      <x:c r="I326" s="133" t="str"/>
      <x:c r="J326" s="133" t="str"/>
      <x:c r="K326" s="133" t="inlineStr">
        <x:is>
          <x:t xml:space="preserve">13G-10</x:t>
        </x:is>
      </x:c>
      <x:c r="L326" s="133" t="str"/>
      <x:c r="M326" s="133" t="str"/>
      <x:c r="N326" s="249" t="n"/>
      <x:c r="O326" s="249" t="n"/>
      <x:c r="P326" s="135" t="inlineStr">
        <x:is>
          <x:t xml:space="preserve">Do not introduce page-specific design primitives unless the shared system genuinely cannot express the need.</x:t>
        </x:is>
      </x:c>
    </x:row>
    <x:row r="327">
      <x:c r="A327" s="133" t="str">
        <x:f>IF(H327="Completed","✓",IF(H327="Blocked","!",""))</x:f>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inlineStr">
        <x:is>
          <x:t xml:space="preserve">Not Started</x:t>
        </x:is>
      </x:c>
      <x:c r="I327" s="133" t="str"/>
      <x:c r="J327" s="133" t="str"/>
      <x:c r="K327" s="133" t="inlineStr">
        <x:is>
          <x:t xml:space="preserve">13G-10</x:t>
        </x:is>
      </x:c>
      <x:c r="L327" s="133" t="str"/>
      <x:c r="M327" s="133" t="str"/>
      <x:c r="N327" s="249" t="n"/>
      <x:c r="O327" s="249" t="n"/>
      <x:c r="P327" s="135" t="inlineStr">
        <x:is>
          <x:t xml:space="preserve">Do not introduce page-specific design primitives unless the shared system genuinely cannot express the need.</x:t>
        </x:is>
      </x:c>
    </x:row>
    <x:row r="328">
      <x:c r="A328" s="133" t="str">
        <x:f>IF(H328="Completed","✓",IF(H328="Blocked","!",""))</x:f>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inlineStr">
        <x:is>
          <x:t xml:space="preserve">Not Started</x:t>
        </x:is>
      </x:c>
      <x:c r="I328" s="133" t="str"/>
      <x:c r="J328" s="133" t="str"/>
      <x:c r="K328" s="133" t="inlineStr">
        <x:is>
          <x:t xml:space="preserve">13G-10</x:t>
        </x:is>
      </x:c>
      <x:c r="L328" s="133" t="str"/>
      <x:c r="M328" s="133" t="str"/>
      <x:c r="N328" s="249" t="n"/>
      <x:c r="O328" s="249" t="n"/>
      <x:c r="P328" s="135" t="inlineStr">
        <x:is>
          <x:t xml:space="preserve">Do not introduce page-specific design primitives unless the shared system genuinely cannot express the need.</x:t>
        </x:is>
      </x:c>
    </x:row>
    <x:row r="329">
      <x:c r="A329" s="133" t="str">
        <x:f>IF(H329="Completed","✓",IF(H329="Blocked","!",""))</x:f>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inlineStr">
        <x:is>
          <x:t xml:space="preserve">Not Started</x:t>
        </x:is>
      </x:c>
      <x:c r="I329" s="133" t="str"/>
      <x:c r="J329" s="133" t="str"/>
      <x:c r="K329" s="133" t="inlineStr">
        <x:is>
          <x:t xml:space="preserve">13G-10</x:t>
        </x:is>
      </x:c>
      <x:c r="L329" s="133" t="str"/>
      <x:c r="M329" s="133" t="str"/>
      <x:c r="N329" s="249" t="n"/>
      <x:c r="O329" s="249" t="n"/>
      <x:c r="P329" s="135" t="inlineStr">
        <x:is>
          <x:t xml:space="preserve">Do not introduce page-specific design primitives unless the shared system genuinely cannot express the need.</x:t>
        </x:is>
      </x:c>
    </x:row>
    <x:row r="330">
      <x:c r="A330" s="133" t="str">
        <x:f>IF(H330="Completed","✓",IF(H330="Blocked","!",""))</x:f>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inlineStr">
        <x:is>
          <x:t xml:space="preserve">Not Started</x:t>
        </x:is>
      </x:c>
      <x:c r="I330" s="133" t="str"/>
      <x:c r="J330" s="133" t="str"/>
      <x:c r="K330" s="133" t="inlineStr">
        <x:is>
          <x:t xml:space="preserve">13G-10</x:t>
        </x:is>
      </x:c>
      <x:c r="L330" s="133" t="str"/>
      <x:c r="M330" s="133" t="str"/>
      <x:c r="N330" s="249" t="n"/>
      <x:c r="O330" s="249" t="n"/>
      <x:c r="P330" s="135" t="inlineStr">
        <x:is>
          <x:t xml:space="preserve">Do not introduce page-specific design primitives unless the shared system genuinely cannot express the need.</x:t>
        </x:is>
      </x:c>
    </x:row>
    <x:row r="331">
      <x:c r="A331" s="133" t="str">
        <x:f>IF(H331="Completed","✓",IF(H331="Blocked","!",""))</x:f>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inlineStr">
        <x:is>
          <x:t xml:space="preserve">Not Started</x:t>
        </x:is>
      </x:c>
      <x:c r="I331" s="133" t="str"/>
      <x:c r="J331" s="133" t="str"/>
      <x:c r="K331" s="133" t="inlineStr">
        <x:is>
          <x:t xml:space="preserve">13H-20</x:t>
        </x:is>
      </x:c>
      <x:c r="L331" s="133" t="str"/>
      <x:c r="M331" s="133" t="str"/>
      <x:c r="N331" s="249" t="n"/>
      <x:c r="O331" s="249" t="n"/>
      <x:c r="P331" s="135" t="str"/>
    </x:row>
    <x:row r="332">
      <x:c r="A332" s="133" t="str">
        <x:f>IF(H332="Completed","✓",IF(H332="Blocked","!",""))</x:f>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inlineStr">
        <x:is>
          <x:t xml:space="preserve">Not Started</x:t>
        </x:is>
      </x:c>
      <x:c r="I332" s="133" t="str"/>
      <x:c r="J332" s="133" t="str"/>
      <x:c r="K332" s="133" t="inlineStr">
        <x:is>
          <x:t xml:space="preserve">13I-01</x:t>
        </x:is>
      </x:c>
      <x:c r="L332" s="133" t="str"/>
      <x:c r="M332" s="133" t="str"/>
      <x:c r="N332" s="249" t="n"/>
      <x:c r="O332" s="249" t="n"/>
      <x:c r="P332" s="135" t="str"/>
    </x:row>
    <x:row r="333">
      <x:c r="A333" s="133" t="str">
        <x:f>IF(H333="Completed","✓",IF(H333="Blocked","!",""))</x:f>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inlineStr">
        <x:is>
          <x:t xml:space="preserve">Average weighted UI score across core pages is at least 9.5/10.</x:t>
        </x:is>
      </x:c>
      <x:c r="G333" s="133" t="inlineStr">
        <x:is>
          <x:t xml:space="preserve">P0</x:t>
        </x:is>
      </x:c>
      <x:c r="H333" s="133" t="inlineStr">
        <x:is>
          <x:t xml:space="preserve">Not Started</x:t>
        </x:is>
      </x:c>
      <x:c r="I333" s="133" t="str"/>
      <x:c r="J333" s="133" t="str"/>
      <x:c r="K333" s="133" t="inlineStr">
        <x:is>
          <x:t xml:space="preserve">13I-01</x:t>
        </x:is>
      </x:c>
      <x:c r="L333" s="133" t="str"/>
      <x:c r="M333" s="133" t="str"/>
      <x:c r="N333" s="249" t="n"/>
      <x:c r="O333" s="249" t="n"/>
      <x:c r="P333" s="135" t="str"/>
    </x:row>
    <x:row r="334">
      <x:c r="A334" s="133" t="str">
        <x:f>IF(H334="Completed","✓",IF(H334="Blocked","!",""))</x:f>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inlineStr">
        <x:is>
          <x:t xml:space="preserve">Not Started</x:t>
        </x:is>
      </x:c>
      <x:c r="I334" s="133" t="str"/>
      <x:c r="J334" s="133" t="str"/>
      <x:c r="K334" s="133" t="inlineStr">
        <x:is>
          <x:t xml:space="preserve">13I-01</x:t>
        </x:is>
      </x:c>
      <x:c r="L334" s="133" t="str"/>
      <x:c r="M334" s="133" t="str"/>
      <x:c r="N334" s="249" t="n"/>
      <x:c r="O334" s="249" t="n"/>
      <x:c r="P334" s="135" t="str"/>
    </x:row>
    <x:row r="335">
      <x:c r="A335" s="133" t="str">
        <x:f>IF(H335="Completed","✓",IF(H335="Blocked","!",""))</x:f>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inlineStr">
        <x:is>
          <x:t xml:space="preserve">Not Started</x:t>
        </x:is>
      </x:c>
      <x:c r="I335" s="133" t="str"/>
      <x:c r="J335" s="133" t="str"/>
      <x:c r="K335" s="133" t="inlineStr">
        <x:is>
          <x:t xml:space="preserve">13I-01</x:t>
        </x:is>
      </x:c>
      <x:c r="L335" s="133" t="str"/>
      <x:c r="M335" s="133" t="str"/>
      <x:c r="N335" s="249" t="n"/>
      <x:c r="O335" s="249" t="n"/>
      <x:c r="P335" s="135" t="str"/>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c570c1d12cc8425d"/>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inlineStr">
        <x:is>
          <x:t xml:space="preserve">Not Started</x:t>
        </x:is>
      </x:c>
      <x:c r="E9" s="133" t="str"/>
      <x:c r="F9" s="133" t="str"/>
      <x:c r="G9" s="249" t="n"/>
      <x:c r="H9" s="32" t="str"/>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inlineStr">
        <x:is>
          <x:t xml:space="preserve">Not Started</x:t>
        </x:is>
      </x:c>
      <x:c r="E12" s="133" t="str"/>
      <x:c r="F12" s="133" t="str"/>
      <x:c r="G12" s="249" t="n"/>
      <x:c r="H12" s="32" t="str"/>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inlineStr">
        <x:is>
          <x:t xml:space="preserve">Not Started</x:t>
        </x:is>
      </x:c>
      <x:c r="E13" s="133" t="str"/>
      <x:c r="F13" s="133" t="str"/>
      <x:c r="G13" s="249" t="n"/>
      <x:c r="H13" s="32" t="str"/>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str">
        <x:v>In Progress</x:v>
      </x:c>
      <x:c r="E16" s="133" t="str">
        <x:v>Project Owner / Engineering</x:v>
      </x:c>
      <x:c r="F16" s="133" t="str">
        <x:v>G11 IN PROGRESS — Phase 20 Launch Documentation is underway. 20-01 Getting Started and 20-02 Create Company are published and closed. The documentation now covers product/workspace orientation and governed company onboarding/recovery behavior. G11 remains open pending 20-03 through 20-12.</x:v>
      </x:c>
      <x:c r="G16" s="249" t="n">
        <x:v>46295</x:v>
      </x:c>
      <x:c r="H16" s="32" t="str">
        <x:v>Do not mark G11 complete until all launch documentation and support-path tasks 20-01 through 20-12 are complete, internally consistent, and reviewed.</x:v>
      </x:c>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matrix is complete: UAT-01 through UAT-38 PASS and 18-28 is closed. G13 is not complete because Release Candidate build/tests, remaining launch gates/checklist evidence, known-risk/deferral acceptance, monitoring/watch plan and explicit Production Go/No-Go approval remain outstanding.</x:v>
      </x:c>
      <x:c r="G18" s="294" t="n">
        <x:v>46294</x:v>
      </x:c>
      <x:c r="H18" s="34" t="str">
        <x:v>UAT blocker resolved. Keep G13 BLOCKED until the remaining independent release criteria are satisfied and explicit Production Go/No-Go approval is recorded.</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inlineStr">
        <x:is>
          <x:t xml:space="preserve">Not Started</x:t>
        </x:is>
      </x:c>
      <x:c r="G19" s="252" t="n"/>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27a0592fa7ce404c"/>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234</x:v>
      </x:c>
      <x:c r="D6" s="133" t="inlineStr">
        <x:is>
          <x:t xml:space="preserve">G0A — Corporate platform architecture ready</x:t>
        </x:is>
      </x:c>
      <x:c r="E6" s="32" t="str">
        <x:f>'03 Launch Gates'!D20</x:f>
        <x:v>Completed</x:v>
      </x:c>
      <x:c r="G6" t="inlineStr">
        <x:is>
          <x:t xml:space="preserve">UI Tasks Complete</x:t>
        </x:is>
      </x:c>
      <x:c r="H6" t="n">
        <x:f>SUM(B36:B46)</x:f>
        <x:v>25</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0</x:v>
      </x:c>
    </x:row>
    <x:row r="8">
      <x:c r="A8" s="50" t="inlineStr">
        <x:is>
          <x:t xml:space="preserve">Blocked</x:t>
        </x:is>
      </x:c>
      <x:c r="B8" s="56" t="n">
        <x:f>COUNTIF('01 Master Plan'!H5:H383,"Blocked")</x:f>
        <x:v>0</x:v>
      </x:c>
      <x:c r="D8" s="133" t="inlineStr">
        <x:is>
          <x:t xml:space="preserve">G2 — Navigation &amp; terminology aligned</x:t>
        </x:is>
      </x:c>
      <x:c r="E8" s="32" t="str">
        <x:f>'03 Launch Gates'!D7</x:f>
        <x:v>Completed</x:v>
      </x:c>
      <x:c r="G8" t="inlineStr">
        <x:is>
          <x:t xml:space="preserve">Average UI Score</x:t>
        </x:is>
      </x:c>
      <x:c r="H8" s="253" t="n">
        <x:f>'14 UI Scorecard'!T6</x:f>
        <x:v>0</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0</x:v>
      </x:c>
    </x:row>
    <x:row r="10">
      <x:c r="A10" s="50" t="inlineStr">
        <x:is>
          <x:t xml:space="preserve">Overall Progress</x:t>
        </x:is>
      </x:c>
      <x:c r="B10" s="254" t="n">
        <x:f>IFERROR((COUNTIF('01 Master Plan'!H5:H383,"Completed")+COUNTIF('01 Master Plan'!H5:H383,"Complete"))/(COUNTA('01 Master Plan'!B5:B383)-COUNTIF('01 Master Plan'!H5:H383,"Deferred")),0)</x:f>
        <x:v>0.6376021798365122</x:v>
      </x:c>
      <x:c r="D10" s="133" t="inlineStr">
        <x:is>
          <x:t xml:space="preserve">G4 — RFI lifecycle launch-ready</x:t>
        </x:is>
      </x:c>
      <x:c r="E10" s="32" t="str">
        <x:f>'03 Launch Gates'!D9</x:f>
        <x:v>Not Started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0.6363636363636364</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0</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10</x:v>
      </x:c>
      <x:c r="D13" s="133" t="inlineStr">
        <x:is>
          <x:t xml:space="preserve">G7 — Intelligence permissions verified</x:t>
        </x:is>
      </x:c>
      <x:c r="E13" s="32" t="str">
        <x:f>'03 Launch Gates'!D12</x:f>
        <x:v>Not Started</x:v>
      </x:c>
    </x:row>
    <x:row r="14">
      <x:c r="A14" s="51" t="inlineStr">
        <x:is>
          <x:t xml:space="preserve">Launch Gates Total</x:t>
        </x:is>
      </x:c>
      <x:c r="B14" s="58" t="n">
        <x:f>COUNTA('03 Launch Gates'!A5:A20)</x:f>
        <x:v>16</x:v>
      </x:c>
      <x:c r="D14" s="133" t="inlineStr">
        <x:is>
          <x:t xml:space="preserve">G8 — Email journey pass</x:t>
        </x:is>
      </x:c>
      <x:c r="E14" s="32" t="str">
        <x:f>'03 Launch Gates'!D13</x:f>
        <x:v>Not Started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Not Started</x:v>
      </x:c>
    </x:row>
    <x:row r="18" s="124" customFormat="1" ht="28" customHeight="1">
      <x:c r="A18" s="21" t="n"/>
      <x:c r="B18" s="21" t="n"/>
      <x:c r="C18" s="21" t="n"/>
      <x:c r="D18" s="122" t="inlineStr">
        <x:is>
          <x:t xml:space="preserve">G11 — Documentation ready</x:t>
        </x:is>
      </x:c>
      <x:c r="E18" s="123" t="str">
        <x:f>'03 Launch Gates'!D16</x:f>
        <x:v>In Progress</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0</x:v>
      </x:c>
      <x:c r="C36" s="133" t="n">
        <x:f>COUNTIFS('01 Master Plan'!C$5:C$383,A36,'01 Master Plan'!H$5:H$383,"In Progress")</x:f>
        <x:v>0</x:v>
      </x:c>
      <x:c r="D36" s="133" t="n">
        <x:f>COUNTIFS('01 Master Plan'!C$5:C$383,A36,'01 Master Plan'!H$5:H$383,"Not Started")</x:f>
        <x:v>10</x:v>
      </x:c>
      <x:c r="E36" s="133" t="n">
        <x:f>COUNTIFS('01 Master Plan'!C$5:C$383,A36,'01 Master Plan'!H$5:H$383,"Blocked")</x:f>
        <x:v>0</x:v>
      </x:c>
      <x:c r="F36" s="133" t="n">
        <x:f>COUNTIFS('01 Master Plan'!C$5:C$383,A36,'01 Master Plan'!H$5:H$383,"Deferred")</x:f>
        <x:v>0</x:v>
      </x:c>
      <x:c r="G36" s="255" t="n">
        <x:f>IFERROR(B36/(B36+C36+D36+E36),0)</x:f>
        <x:v>0</x:v>
      </x:c>
    </x:row>
    <x:row r="37">
      <x:c r="A37" s="133" t="inlineStr">
        <x:is>
          <x:t xml:space="preserve">13B Dark Design System Foundation</x:t>
        </x:is>
      </x:c>
      <x:c r="B37" s="133" t="n">
        <x:f>COUNTIFS('01 Master Plan'!C$5:C$383,A37,'01 Master Plan'!H$5:H$383,"Completed")+COUNTIFS('01 Master Plan'!C$5:C$383,A37,'01 Master Plan'!H$5:H$383,"Complete")</x:f>
        <x:v>0</x:v>
      </x:c>
      <x:c r="C37" s="133" t="n">
        <x:f>COUNTIFS('01 Master Plan'!C$5:C$383,A37,'01 Master Plan'!H$5:H$383,"In Progress")</x:f>
        <x:v>0</x:v>
      </x:c>
      <x:c r="D37" s="133" t="n">
        <x:f>COUNTIFS('01 Master Plan'!C$5:C$383,A37,'01 Master Plan'!H$5:H$383,"Not Started")</x:f>
        <x:v>12</x:v>
      </x:c>
      <x:c r="E37" s="133" t="n">
        <x:f>COUNTIFS('01 Master Plan'!C$5:C$383,A37,'01 Master Plan'!H$5:H$383,"Blocked")</x:f>
        <x:v>0</x:v>
      </x:c>
      <x:c r="F37" s="133" t="n">
        <x:f>COUNTIFS('01 Master Plan'!C$5:C$383,A37,'01 Master Plan'!H$5:H$383,"Deferred")</x:f>
        <x:v>0</x:v>
      </x:c>
      <x:c r="G37" s="255" t="n">
        <x:f>IFERROR(B37/(B37+C37+D37+E37),0)</x:f>
        <x:v>0</x:v>
      </x:c>
    </x:row>
    <x:row r="38">
      <x:c r="A38" s="133" t="inlineStr">
        <x:is>
          <x:t xml:space="preserve">13C Shared Enterprise Components</x:t>
        </x:is>
      </x:c>
      <x:c r="B38" s="133" t="n">
        <x:f>COUNTIFS('01 Master Plan'!C$5:C$383,A38,'01 Master Plan'!H$5:H$383,"Completed")+COUNTIFS('01 Master Plan'!C$5:C$383,A38,'01 Master Plan'!H$5:H$383,"Complete")</x:f>
        <x:v>0</x:v>
      </x:c>
      <x:c r="C38" s="133" t="n">
        <x:f>COUNTIFS('01 Master Plan'!C$5:C$383,A38,'01 Master Plan'!H$5:H$383,"In Progress")</x:f>
        <x:v>0</x:v>
      </x:c>
      <x:c r="D38" s="133" t="n">
        <x:f>COUNTIFS('01 Master Plan'!C$5:C$383,A38,'01 Master Plan'!H$5:H$383,"Not Started")</x:f>
        <x:v>17</x:v>
      </x:c>
      <x:c r="E38" s="133" t="n">
        <x:f>COUNTIFS('01 Master Plan'!C$5:C$383,A38,'01 Master Plan'!H$5:H$383,"Blocked")</x:f>
        <x:v>0</x:v>
      </x:c>
      <x:c r="F38" s="133" t="n">
        <x:f>COUNTIFS('01 Master Plan'!C$5:C$383,A38,'01 Master Plan'!H$5:H$383,"Deferred")</x:f>
        <x:v>0</x:v>
      </x:c>
      <x:c r="G38" s="255" t="n">
        <x:f>IFERROR(B38/(B38+C38+D38+E38),0)</x:f>
        <x:v>0</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0</x:v>
      </x:c>
      <x:c r="C40" s="162" t="n">
        <x:f>COUNTIFS('01 Master Plan'!C$5:C$383,A40,'01 Master Plan'!H$5:H$383,"In Progress")</x:f>
        <x:v>0</x:v>
      </x:c>
      <x:c r="D40" s="162" t="n">
        <x:f>COUNTIFS('01 Master Plan'!C$5:C$383,A40,'01 Master Plan'!H$5:H$383,"Not Started")</x:f>
        <x:v>10</x:v>
      </x:c>
      <x:c r="E40" s="162" t="n">
        <x:f>COUNTIFS('01 Master Plan'!C$5:C$383,A40,'01 Master Plan'!H$5:H$383,"Blocked")</x:f>
        <x:v>0</x:v>
      </x:c>
      <x:c r="F40" s="162" t="n">
        <x:f>COUNTIFS('01 Master Plan'!C$5:C$383,A40,'01 Master Plan'!H$5:H$383,"Deferred")</x:f>
        <x:v>0</x:v>
      </x:c>
      <x:c r="G40" s="257" t="n">
        <x:f>IFERROR(B40/(B40+C40+D40+E40),0)</x:f>
        <x:v>0</x:v>
      </x:c>
    </x:row>
    <x:row r="41">
      <x:c r="A41" s="133" t="inlineStr">
        <x:is>
          <x:t xml:space="preserve">13E Motion &amp; Completion System</x:t>
        </x:is>
      </x:c>
      <x:c r="B41" s="133" t="n">
        <x:f>COUNTIFS('01 Master Plan'!C$5:C$383,A41,'01 Master Plan'!H$5:H$383,"Completed")+COUNTIFS('01 Master Plan'!C$5:C$383,A41,'01 Master Plan'!H$5:H$383,"Complete")</x:f>
        <x:v>0</x:v>
      </x:c>
      <x:c r="C41" s="133" t="n">
        <x:f>COUNTIFS('01 Master Plan'!C$5:C$383,A41,'01 Master Plan'!H$5:H$383,"In Progress")</x:f>
        <x:v>0</x:v>
      </x:c>
      <x:c r="D41" s="133" t="n">
        <x:f>COUNTIFS('01 Master Plan'!C$5:C$383,A41,'01 Master Plan'!H$5:H$383,"Not Started")</x:f>
        <x:v>13</x:v>
      </x:c>
      <x:c r="E41" s="133" t="n">
        <x:f>COUNTIFS('01 Master Plan'!C$5:C$383,A41,'01 Master Plan'!H$5:H$383,"Blocked")</x:f>
        <x:v>0</x:v>
      </x:c>
      <x:c r="F41" s="133" t="n">
        <x:f>COUNTIFS('01 Master Plan'!C$5:C$383,A41,'01 Master Plan'!H$5:H$383,"Deferred")</x:f>
        <x:v>0</x:v>
      </x:c>
      <x:c r="G41" s="255" t="n">
        <x:f>IFERROR(B41/(B41+C41+D41+E41),0)</x:f>
        <x:v>0</x:v>
      </x:c>
    </x:row>
    <x:row r="42">
      <x:c r="A42" s="133" t="inlineStr">
        <x:is>
          <x:t xml:space="preserve">13F Contextual Guidance Framework</x:t>
        </x:is>
      </x:c>
      <x:c r="B42" s="133" t="n">
        <x:f>COUNTIFS('01 Master Plan'!C$5:C$383,A42,'01 Master Plan'!H$5:H$383,"Completed")+COUNTIFS('01 Master Plan'!C$5:C$383,A42,'01 Master Plan'!H$5:H$383,"Complete")</x:f>
        <x:v>0</x:v>
      </x:c>
      <x:c r="C42" s="133" t="n">
        <x:f>COUNTIFS('01 Master Plan'!C$5:C$383,A42,'01 Master Plan'!H$5:H$383,"In Progress")</x:f>
        <x:v>0</x:v>
      </x:c>
      <x:c r="D42" s="133" t="n">
        <x:f>COUNTIFS('01 Master Plan'!C$5:C$383,A42,'01 Master Plan'!H$5:H$383,"Not Started")</x:f>
        <x:v>14</x:v>
      </x:c>
      <x:c r="E42" s="133" t="n">
        <x:f>COUNTIFS('01 Master Plan'!C$5:C$383,A42,'01 Master Plan'!H$5:H$383,"Blocked")</x:f>
        <x:v>0</x:v>
      </x:c>
      <x:c r="F42" s="133" t="n">
        <x:f>COUNTIFS('01 Master Plan'!C$5:C$383,A42,'01 Master Plan'!H$5:H$383,"Deferred")</x:f>
        <x:v>0</x:v>
      </x:c>
      <x:c r="G42" s="255" t="n">
        <x:f>IFERROR(B42/(B42+C42+D42+E42),0)</x:f>
        <x:v>0</x:v>
      </x:c>
    </x:row>
    <x:row r="43">
      <x:c r="A43" s="162" t="inlineStr">
        <x:is>
          <x:t xml:space="preserve">13G Ask Nexus Interactive Help</x:t>
        </x:is>
      </x:c>
      <x:c r="B43" s="162" t="n">
        <x:f>COUNTIFS('01 Master Plan'!C$5:C$383,A43,'01 Master Plan'!H$5:H$383,"Completed")+COUNTIFS('01 Master Plan'!C$5:C$383,A43,'01 Master Plan'!H$5:H$383,"Complete")</x:f>
        <x:v>0</x:v>
      </x:c>
      <x:c r="C43" s="162" t="n">
        <x:f>COUNTIFS('01 Master Plan'!C$5:C$383,A43,'01 Master Plan'!H$5:H$383,"In Progress")</x:f>
        <x:v>0</x:v>
      </x:c>
      <x:c r="D43" s="162" t="n">
        <x:f>COUNTIFS('01 Master Plan'!C$5:C$383,A43,'01 Master Plan'!H$5:H$383,"Not Started")</x:f>
        <x:v>10</x:v>
      </x:c>
      <x:c r="E43" s="162" t="n">
        <x:f>COUNTIFS('01 Master Plan'!C$5:C$383,A43,'01 Master Plan'!H$5:H$383,"Blocked")</x:f>
        <x:v>0</x:v>
      </x:c>
      <x:c r="F43" s="162" t="n">
        <x:f>COUNTIFS('01 Master Plan'!C$5:C$383,A43,'01 Master Plan'!H$5:H$383,"Deferred")</x:f>
        <x:v>0</x:v>
      </x:c>
      <x:c r="G43" s="257" t="n">
        <x:f>IFERROR(B43/(B43+C43+D43+E43),0)</x:f>
        <x:v>0</x:v>
      </x:c>
    </x:row>
    <x:row r="44">
      <x:c r="A44" s="28" t="inlineStr">
        <x:is>
          <x:t xml:space="preserve">13H Page-by-Page UI Upgrade</x:t>
        </x:is>
      </x:c>
      <x:c r="B44" s="28" t="n">
        <x:f>COUNTIFS('01 Master Plan'!C$5:C$383,A44,'01 Master Plan'!H$5:H$383,"Completed")+COUNTIFS('01 Master Plan'!C$5:C$383,A44,'01 Master Plan'!H$5:H$383,"Complete")</x:f>
        <x:v>0</x:v>
      </x:c>
      <x:c r="C44" s="28" t="n">
        <x:f>COUNTIFS('01 Master Plan'!C$5:C$383,A44,'01 Master Plan'!H$5:H$383,"In Progress")</x:f>
        <x:v>0</x:v>
      </x:c>
      <x:c r="D44" s="28" t="n">
        <x:f>COUNTIFS('01 Master Plan'!C$5:C$383,A44,'01 Master Plan'!H$5:H$383,"Not Started")</x:f>
        <x:v>20</x:v>
      </x:c>
      <x:c r="E44" s="28" t="n">
        <x:f>COUNTIFS('01 Master Plan'!C$5:C$383,A44,'01 Master Plan'!H$5:H$383,"Blocked")</x:f>
        <x:v>0</x:v>
      </x:c>
      <x:c r="F44" s="28" t="n">
        <x:f>COUNTIFS('01 Master Plan'!C$5:C$383,A44,'01 Master Plan'!H$5:H$383,"Deferred")</x:f>
        <x:v>0</x:v>
      </x:c>
      <x:c r="G44" s="258" t="n">
        <x:f>IFERROR(B44/(B44+C44+D44+E44),0)</x:f>
        <x:v>0</x:v>
      </x:c>
    </x:row>
    <x:row r="45">
      <x:c r="A45" s="28" t="inlineStr">
        <x:is>
          <x:t xml:space="preserve">13I UI 9.5 Quality Gate</x:t>
        </x:is>
      </x:c>
      <x:c r="B45" s="28" t="n">
        <x:f>COUNTIFS('01 Master Plan'!C$5:C$383,A45,'01 Master Plan'!H$5:H$383,"Completed")+COUNTIFS('01 Master Plan'!C$5:C$383,A45,'01 Master Plan'!H$5:H$383,"Complete")</x:f>
        <x:v>0</x:v>
      </x:c>
      <x:c r="C45" s="28" t="n">
        <x:f>COUNTIFS('01 Master Plan'!C$5:C$383,A45,'01 Master Plan'!H$5:H$383,"In Progress")</x:f>
        <x:v>0</x:v>
      </x:c>
      <x:c r="D45" s="28" t="n">
        <x:f>COUNTIFS('01 Master Plan'!C$5:C$383,A45,'01 Master Plan'!H$5:H$383,"Not Started")</x:f>
        <x:v>10</x:v>
      </x:c>
      <x:c r="E45" s="28" t="n">
        <x:f>COUNTIFS('01 Master Plan'!C$5:C$383,A45,'01 Master Plan'!H$5:H$383,"Blocked")</x:f>
        <x:v>0</x:v>
      </x:c>
      <x:c r="F45" s="28" t="n">
        <x:f>COUNTIFS('01 Master Plan'!C$5:C$383,A45,'01 Master Plan'!H$5:H$383,"Deferred")</x:f>
        <x:v>0</x:v>
      </x:c>
      <x:c r="G45" s="258" t="n">
        <x:f>IFERROR(B45/(B45+C45+D45+E45),0)</x:f>
        <x:v>0</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7</x:v>
      </x:c>
      <x:c r="C52" s="28" t="n">
        <x:f>COUNTIFS('01 Master Plan'!C$5:C$383,A52,'01 Master Plan'!H$5:H$383,"In Progress")</x:f>
        <x:v>0</x:v>
      </x:c>
      <x:c r="D52" s="28" t="n">
        <x:f>COUNTIFS('01 Master Plan'!C$5:C$383,A52,'01 Master Plan'!H$5:H$383,"Not Started")</x:f>
        <x:v>0</x:v>
      </x:c>
      <x:c r="E52" s="28" t="n">
        <x:f>COUNTIFS('01 Master Plan'!C$5:C$383,A52,'01 Master Plan'!H$5:H$383,"Blocked")</x:f>
        <x:v>0</x:v>
      </x:c>
      <x:c r="F52" s="28" t="n">
        <x:f>COUNTIFS('01 Master Plan'!C$5:C$383,A52,'01 Master Plan'!H$5:H$383,"Deferred")</x:f>
        <x:v>0</x:v>
      </x:c>
      <x:c r="G52" s="258" t="n">
        <x:f>IFERROR(B52/(B52+C52+D52+E52),0)</x:f>
        <x:v>1</x:v>
      </x:c>
    </x:row>
    <x:row r="53">
      <x:c r="A53" s="28" t="inlineStr">
        <x:is>
          <x:t xml:space="preserve">20 Launch Documentation</x:t>
        </x:is>
      </x:c>
      <x:c r="B53" s="28" t="n">
        <x:f>COUNTIFS('01 Master Plan'!C$5:C$383,A53,'01 Master Plan'!H$5:H$383,"Completed")+COUNTIFS('01 Master Plan'!C$5:C$383,A53,'01 Master Plan'!H$5:H$383,"Complete")</x:f>
        <x:v>2</x:v>
      </x:c>
      <x:c r="C53" s="28" t="n">
        <x:f>COUNTIFS('01 Master Plan'!C$5:C$383,A53,'01 Master Plan'!H$5:H$383,"In Progress")</x:f>
        <x:v>0</x:v>
      </x:c>
      <x:c r="D53" s="28" t="n">
        <x:f>COUNTIFS('01 Master Plan'!C$5:C$383,A53,'01 Master Plan'!H$5:H$383,"Not Started")</x:f>
        <x:v>10</x:v>
      </x:c>
      <x:c r="E53" s="28" t="n">
        <x:f>COUNTIFS('01 Master Plan'!C$5:C$383,A53,'01 Master Plan'!H$5:H$383,"Blocked")</x:f>
        <x:v>0</x:v>
      </x:c>
      <x:c r="F53" s="28" t="n">
        <x:f>COUNTIFS('01 Master Plan'!C$5:C$383,A53,'01 Master Plan'!H$5:H$383,"Deferred")</x:f>
        <x:v>0</x:v>
      </x:c>
      <x:c r="G53" s="258" t="n">
        <x:f>IFERROR(B53/(B53+C53+D53+E53),0)</x:f>
        <x:v>0.16666666666666666</x:v>
      </x:c>
    </x:row>
    <x:row r="54">
      <x:c r="A54" s="28" t="inlineStr">
        <x:is>
          <x:t xml:space="preserve">21 Final Launch Gate</x:t>
        </x:is>
      </x:c>
      <x:c r="B54" s="28" t="n">
        <x:f>COUNTIFS('01 Master Plan'!C$5:C$383,A54,'01 Master Plan'!H$5:H$383,"Completed")+COUNTIFS('01 Master Plan'!C$5:C$383,A54,'01 Master Plan'!H$5:H$383,"Complete")</x:f>
        <x:v>0</x:v>
      </x:c>
      <x:c r="C54" s="28" t="n">
        <x:f>COUNTIFS('01 Master Plan'!C$5:C$383,A54,'01 Master Plan'!H$5:H$383,"In Progress")</x:f>
        <x:v>0</x:v>
      </x:c>
      <x:c r="D54" s="28" t="n">
        <x:f>COUNTIFS('01 Master Plan'!C$5:C$383,A54,'01 Master Plan'!H$5:H$383,"Not Started")</x:f>
        <x:v>6</x:v>
      </x:c>
      <x:c r="E54" s="28" t="n">
        <x:f>COUNTIFS('01 Master Plan'!C$5:C$383,A54,'01 Master Plan'!H$5:H$383,"Blocked")</x:f>
        <x:v>0</x:v>
      </x:c>
      <x:c r="F54" s="28" t="n">
        <x:f>COUNTIFS('01 Master Plan'!C$5:C$383,A54,'01 Master Plan'!H$5:H$383,"Deferred")</x:f>
        <x:v>0</x:v>
      </x:c>
      <x:c r="G54" s="258" t="n">
        <x:f>IFERROR(B54/(B54+C54+D54+E54),0)</x:f>
        <x:v>0</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396a4bd47ebd40f4"/>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94e01c35fd264534"/>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604f6705d64c4125"/>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99c3b6f6b22b492c"/>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cc85f21f0e814fac"/>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inlineStr">
        <x:is>
          <x:t xml:space="preserve">Not Started</x:t>
        </x:is>
      </x:c>
      <x:c r="E5" s="133" t="str"/>
      <x:c r="F5" s="133" t="str"/>
      <x:c r="G5" s="133" t="inlineStr">
        <x:is>
          <x:t xml:space="preserve">G0/G1/G2</x:t>
        </x:is>
      </x:c>
      <x:c r="H5" s="249" t="n"/>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inlineStr">
        <x:is>
          <x:t xml:space="preserve">Not Started</x:t>
        </x:is>
      </x:c>
      <x:c r="E8" s="133" t="str"/>
      <x:c r="F8" s="133" t="str"/>
      <x:c r="G8" s="133" t="inlineStr">
        <x:is>
          <x:t xml:space="preserve">G4</x:t>
        </x:is>
      </x:c>
      <x:c r="H8" s="249" t="n"/>
      <x:c r="I8" s="32" t="str"/>
    </x:row>
    <x:row r="9">
      <x:c r="A9" s="133" t="inlineStr">
        <x:is>
          <x:t xml:space="preserve">Activity</x:t>
        </x:is>
      </x:c>
      <x:c r="B9" s="133" t="inlineStr">
        <x:is>
          <x:t xml:space="preserve">Activity Center lifecycle events pass</x:t>
        </x:is>
      </x:c>
      <x:c r="C9" s="133" t="inlineStr">
        <x:is>
          <x:t xml:space="preserve">P0</x:t>
        </x:is>
      </x:c>
      <x:c r="D9" s="133" t="inlineStr">
        <x:is>
          <x:t xml:space="preserve">Not Started</x:t>
        </x:is>
      </x:c>
      <x:c r="E9" s="133" t="str"/>
      <x:c r="F9" s="133" t="str"/>
      <x:c r="G9" s="133" t="inlineStr">
        <x:is>
          <x:t xml:space="preserve">G3</x:t>
        </x:is>
      </x:c>
      <x:c r="H9" s="249" t="n"/>
      <x:c r="I9" s="32" t="str"/>
    </x:row>
    <x:row r="10">
      <x:c r="A10" s="133" t="inlineStr">
        <x:is>
          <x:t xml:space="preserve">Security</x:t>
        </x:is>
      </x:c>
      <x:c r="B10" s="133" t="inlineStr">
        <x:is>
          <x:t xml:space="preserve">Security regression matrix passes</x:t>
        </x:is>
      </x:c>
      <x:c r="C10" s="133" t="inlineStr">
        <x:is>
          <x:t xml:space="preserve">P0</x:t>
        </x:is>
      </x:c>
      <x:c r="D10" s="133" t="inlineStr">
        <x:is>
          <x:t xml:space="preserve">Not Started</x:t>
        </x:is>
      </x:c>
      <x:c r="E10" s="133" t="str"/>
      <x:c r="F10" s="133" t="str"/>
      <x:c r="G10" s="133" t="inlineStr">
        <x:is>
          <x:t xml:space="preserve">G6</x:t>
        </x:is>
      </x:c>
      <x:c r="H10" s="249" t="n"/>
      <x:c r="I10" s="32" t="str"/>
    </x:row>
    <x:row r="11">
      <x:c r="A11" s="133" t="inlineStr">
        <x:is>
          <x:t xml:space="preserve">Intelligence</x:t>
        </x:is>
      </x:c>
      <x:c r="B11" s="133" t="inlineStr">
        <x:is>
          <x:t xml:space="preserve">Issuer/respondent intelligence isolation verified</x:t>
        </x:is>
      </x:c>
      <x:c r="C11" s="133" t="inlineStr">
        <x:is>
          <x:t xml:space="preserve">P0</x:t>
        </x:is>
      </x:c>
      <x:c r="D11" s="133" t="inlineStr">
        <x:is>
          <x:t xml:space="preserve">Not Started</x:t>
        </x:is>
      </x:c>
      <x:c r="E11" s="133" t="str"/>
      <x:c r="F11" s="133" t="str"/>
      <x:c r="G11" s="133" t="inlineStr">
        <x:is>
          <x:t xml:space="preserve">G7</x:t>
        </x:is>
      </x:c>
      <x:c r="H11" s="249" t="n"/>
      <x:c r="I11" s="32" t="str"/>
    </x:row>
    <x:row r="12">
      <x:c r="A12" s="133" t="inlineStr">
        <x:is>
          <x:t xml:space="preserve">Email</x:t>
        </x:is>
      </x:c>
      <x:c r="B12" s="133" t="inlineStr">
        <x:is>
          <x:t xml:space="preserve">Invitation/resend/continuation pass</x:t>
        </x:is>
      </x:c>
      <x:c r="C12" s="133" t="inlineStr">
        <x:is>
          <x:t xml:space="preserve">P0</x:t>
        </x:is>
      </x:c>
      <x:c r="D12" s="133" t="inlineStr">
        <x:is>
          <x:t xml:space="preserve">Not Started</x:t>
        </x:is>
      </x:c>
      <x:c r="E12" s="133" t="str"/>
      <x:c r="F12" s="133" t="str"/>
      <x:c r="G12" s="133" t="inlineStr">
        <x:is>
          <x:t xml:space="preserve">G8</x:t>
        </x:is>
      </x:c>
      <x:c r="H12" s="249" t="n"/>
      <x:c r="I12" s="32" t="str"/>
    </x:row>
    <x:row r="13">
      <x:c r="A13" s="133" t="inlineStr">
        <x:is>
          <x:t xml:space="preserve">Email</x:t>
        </x:is>
      </x:c>
      <x:c r="B13" s="133" t="inlineStr">
        <x:is>
          <x:t xml:space="preserve">RFI/addendum/award communications verified</x:t>
        </x:is>
      </x:c>
      <x:c r="C13" s="133" t="inlineStr">
        <x:is>
          <x:t xml:space="preserve">P0</x:t>
        </x:is>
      </x:c>
      <x:c r="D13" s="133" t="inlineStr">
        <x:is>
          <x:t xml:space="preserve">Not Started</x:t>
        </x:is>
      </x:c>
      <x:c r="E13" s="133" t="str"/>
      <x:c r="F13" s="133" t="str"/>
      <x:c r="G13" s="133" t="inlineStr">
        <x:is>
          <x:t xml:space="preserve">G8</x:t>
        </x:is>
      </x:c>
      <x:c r="H13" s="249" t="n"/>
      <x:c r="I13" s="32" t="str"/>
    </x:row>
    <x:row r="14">
      <x:c r="A14" s="133" t="inlineStr">
        <x:is>
          <x:t xml:space="preserve">Operations</x:t>
        </x:is>
      </x:c>
      <x:c r="B14" s="133" t="inlineStr">
        <x:is>
          <x:t xml:space="preserve">Production env vars verified</x:t>
        </x:is>
      </x:c>
      <x:c r="C14" s="133" t="inlineStr">
        <x:is>
          <x:t xml:space="preserve">P0</x:t>
        </x:is>
      </x:c>
      <x:c r="D14" s="133" t="inlineStr">
        <x:is>
          <x:t xml:space="preserve">Not Started</x:t>
        </x:is>
      </x:c>
      <x:c r="E14" s="133" t="str"/>
      <x:c r="F14" s="133" t="str"/>
      <x:c r="G14" s="133" t="inlineStr">
        <x:is>
          <x:t xml:space="preserve">G9</x:t>
        </x:is>
      </x:c>
      <x:c r="H14" s="249" t="n"/>
      <x:c r="I14" s="32" t="str"/>
    </x:row>
    <x:row r="15">
      <x:c r="A15" s="133" t="inlineStr">
        <x:is>
          <x:t xml:space="preserve">Operations</x:t>
        </x:is>
      </x:c>
      <x:c r="B15" s="133" t="inlineStr">
        <x:is>
          <x:t xml:space="preserve">Error tracking/logging verified</x:t>
        </x:is>
      </x:c>
      <x:c r="C15" s="133" t="inlineStr">
        <x:is>
          <x:t xml:space="preserve">P0</x:t>
        </x:is>
      </x:c>
      <x:c r="D15" s="133" t="inlineStr">
        <x:is>
          <x:t xml:space="preserve">Not Started</x:t>
        </x:is>
      </x:c>
      <x:c r="E15" s="133" t="str"/>
      <x:c r="F15" s="133" t="str"/>
      <x:c r="G15" s="133" t="inlineStr">
        <x:is>
          <x:t xml:space="preserve">G9</x:t>
        </x:is>
      </x:c>
      <x:c r="H15" s="249" t="n"/>
      <x:c r="I15" s="32" t="str"/>
    </x:row>
    <x:row r="16">
      <x:c r="A16" s="133" t="inlineStr">
        <x:is>
          <x:t xml:space="preserve">Operations</x:t>
        </x:is>
      </x:c>
      <x:c r="B16" s="133" t="inlineStr">
        <x:is>
          <x:t xml:space="preserve">Rollback and recovery procedures documented</x:t>
        </x:is>
      </x:c>
      <x:c r="C16" s="133" t="inlineStr">
        <x:is>
          <x:t xml:space="preserve">P0</x:t>
        </x:is>
      </x:c>
      <x:c r="D16" s="133" t="inlineStr">
        <x:is>
          <x:t xml:space="preserve">Not Started</x:t>
        </x:is>
      </x:c>
      <x:c r="E16" s="133" t="str"/>
      <x:c r="F16" s="133" t="str"/>
      <x:c r="G16" s="133" t="inlineStr">
        <x:is>
          <x:t xml:space="preserve">G9</x:t>
        </x:is>
      </x:c>
      <x:c r="H16" s="249" t="n"/>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inlineStr">
        <x:is>
          <x:t xml:space="preserve">Not Started</x:t>
        </x:is>
      </x:c>
      <x:c r="E17" s="133" t="str"/>
      <x:c r="F17" s="133" t="str"/>
      <x:c r="G17" s="133" t="inlineStr">
        <x:is>
          <x:t xml:space="preserve">G10</x:t>
        </x:is>
      </x:c>
      <x:c r="H17" s="249" t="n"/>
      <x:c r="I17" s="32" t="str"/>
    </x:row>
    <x:row r="18">
      <x:c r="A18" s="133" t="inlineStr">
        <x:is>
          <x:t xml:space="preserve">Security</x:t>
        </x:is>
      </x:c>
      <x:c r="B18" s="133" t="inlineStr">
        <x:is>
          <x:t xml:space="preserve">RSC/server payload leakage audit complete</x:t>
        </x:is>
      </x:c>
      <x:c r="C18" s="133" t="inlineStr">
        <x:is>
          <x:t xml:space="preserve">P0</x:t>
        </x:is>
      </x:c>
      <x:c r="D18" s="133" t="inlineStr">
        <x:is>
          <x:t xml:space="preserve">Not Started</x:t>
        </x:is>
      </x:c>
      <x:c r="E18" s="133" t="str"/>
      <x:c r="F18" s="133" t="str"/>
      <x:c r="G18" s="133" t="inlineStr">
        <x:is>
          <x:t xml:space="preserve">G10</x:t>
        </x:is>
      </x:c>
      <x:c r="H18" s="249" t="n"/>
      <x:c r="I18" s="32" t="str"/>
    </x:row>
    <x:row r="19">
      <x:c r="A19" s="133" t="inlineStr">
        <x:is>
          <x:t xml:space="preserve">Accessibility</x:t>
        </x:is>
      </x:c>
      <x:c r="B19" s="133" t="inlineStr">
        <x:is>
          <x:t xml:space="preserve">Keyboard/focus/forms/mobile sanity pass</x:t>
        </x:is>
      </x:c>
      <x:c r="C19" s="133" t="inlineStr">
        <x:is>
          <x:t xml:space="preserve">P0</x:t>
        </x:is>
      </x:c>
      <x:c r="D19" s="133" t="inlineStr">
        <x:is>
          <x:t xml:space="preserve">Not Started</x:t>
        </x:is>
      </x:c>
      <x:c r="E19" s="133" t="str"/>
      <x:c r="F19" s="133" t="str"/>
      <x:c r="G19" s="133" t="inlineStr">
        <x:is>
          <x:t xml:space="preserve">G10</x:t>
        </x:is>
      </x:c>
      <x:c r="H19" s="249" t="n"/>
      <x:c r="I19" s="32" t="str"/>
    </x:row>
    <x:row r="20">
      <x:c r="A20" s="133" t="inlineStr">
        <x:is>
          <x:t xml:space="preserve">Documentation</x:t>
        </x:is>
      </x:c>
      <x:c r="B20" s="133" t="inlineStr">
        <x:is>
          <x:t xml:space="preserve">Launch help/docs/support path ready</x:t>
        </x:is>
      </x:c>
      <x:c r="C20" s="133" t="inlineStr">
        <x:is>
          <x:t xml:space="preserve">P0</x:t>
        </x:is>
      </x:c>
      <x:c r="D20" s="133" t="inlineStr">
        <x:is>
          <x:t xml:space="preserve">Not Started</x:t>
        </x:is>
      </x:c>
      <x:c r="E20" s="133" t="str"/>
      <x:c r="F20" s="133" t="str"/>
      <x:c r="G20" s="133" t="inlineStr">
        <x:is>
          <x:t xml:space="preserve">G11</x:t>
        </x:is>
      </x:c>
      <x:c r="H20" s="249" t="n"/>
      <x:c r="I20" s="32" t="str"/>
    </x:row>
    <x:row r="21">
      <x:c r="A21" s="133" t="inlineStr">
        <x:is>
          <x:t xml:space="preserve">Marketing</x:t>
        </x:is>
      </x:c>
      <x:c r="B21" s="133" t="inlineStr">
        <x:is>
          <x:t xml:space="preserve">Available Now vs Planned reviewed</x:t>
        </x:is>
      </x:c>
      <x:c r="C21" s="133" t="inlineStr">
        <x:is>
          <x:t xml:space="preserve">P0</x:t>
        </x:is>
      </x:c>
      <x:c r="D21" s="133" t="inlineStr">
        <x:is>
          <x:t xml:space="preserve">Not Started</x:t>
        </x:is>
      </x:c>
      <x:c r="E21" s="133" t="str"/>
      <x:c r="F21" s="133" t="str"/>
      <x:c r="G21" s="133" t="inlineStr">
        <x:is>
          <x:t xml:space="preserve">G12</x:t>
        </x:is>
      </x:c>
      <x:c r="H21" s="249" t="n"/>
      <x:c r="I21" s="32" t="str"/>
    </x:row>
    <x:row r="22">
      <x:c r="A22" s="133" t="inlineStr">
        <x:is>
          <x:t xml:space="preserve">Marketing</x:t>
        </x:is>
      </x:c>
      <x:c r="B22" s="133" t="inlineStr">
        <x:is>
          <x:t xml:space="preserve">Screenshots/copy match actual product</x:t>
        </x:is>
      </x:c>
      <x:c r="C22" s="133" t="inlineStr">
        <x:is>
          <x:t xml:space="preserve">P1</x:t>
        </x:is>
      </x:c>
      <x:c r="D22" s="133" t="inlineStr">
        <x:is>
          <x:t xml:space="preserve">Not Started</x:t>
        </x:is>
      </x:c>
      <x:c r="E22" s="133" t="str"/>
      <x:c r="F22" s="133" t="str"/>
      <x:c r="G22" s="133" t="inlineStr">
        <x:is>
          <x:t xml:space="preserve">G12</x:t>
        </x:is>
      </x:c>
      <x:c r="H22" s="249" t="n"/>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Historical documented limitations remain preserved in their source evidence.</x:v>
      </x:c>
      <x:c r="G23" s="133" t="str">
        <x:v>G13</x:v>
      </x:c>
      <x:c r="H23" s="294" t="n">
        <x:v>46294</x:v>
      </x:c>
      <x:c r="I23" s="32" t="str">
        <x:v>UAT portion of G13 is complete. RC build/tests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inlineStr">
        <x:is>
          <x:t xml:space="preserve">Not Started</x:t>
        </x:is>
      </x:c>
      <x:c r="E24" s="133" t="str"/>
      <x:c r="F24" s="133" t="str"/>
      <x:c r="G24" s="133" t="inlineStr">
        <x:is>
          <x:t xml:space="preserve">G13</x:t>
        </x:is>
      </x:c>
      <x:c r="H24" s="249" t="n"/>
      <x:c r="I24" s="32" t="str"/>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inlineStr">
        <x:is>
          <x:t xml:space="preserve">Not Started</x:t>
        </x:is>
      </x:c>
      <x:c r="G37" t="inlineStr">
        <x:is>
          <x:t xml:space="preserve">G0A</x:t>
        </x:is>
      </x:c>
      <x:c r="H37" s="252" t="n"/>
    </x:row>
    <x:row r="38">
      <x:c r="A38" t="inlineStr">
        <x:is>
          <x:t xml:space="preserve">Corporate Platform</x:t>
        </x:is>
      </x:c>
      <x:c r="B38" t="inlineStr">
        <x:is>
          <x:t xml:space="preserve">Root homepage represents NexusPavilion Inc. and product portfolio correctly</x:t>
        </x:is>
      </x:c>
      <x:c r="C38" t="inlineStr">
        <x:is>
          <x:t xml:space="preserve">P0</x:t>
        </x:is>
      </x:c>
      <x:c r="D38" t="inlineStr">
        <x:is>
          <x:t xml:space="preserve">Not Started</x:t>
        </x:is>
      </x:c>
      <x:c r="G38" t="inlineStr">
        <x:is>
          <x:t xml:space="preserve">G0A/G12</x:t>
        </x:is>
      </x:c>
      <x:c r="H38" s="252" t="n"/>
    </x:row>
    <x:row r="39">
      <x:c r="A39" t="inlineStr">
        <x:is>
          <x:t xml:space="preserve">Routing</x:t>
        </x:is>
      </x:c>
      <x:c r="B39" t="inlineStr">
        <x:is>
          <x:t xml:space="preserve">RFQ invitation/auth/deep-link regressions pass after root-page change</x:t>
        </x:is>
      </x:c>
      <x:c r="C39" t="inlineStr">
        <x:is>
          <x:t xml:space="preserve">P0</x:t>
        </x:is>
      </x:c>
      <x:c r="D39" t="inlineStr">
        <x:is>
          <x:t xml:space="preserve">Not Started</x:t>
        </x:is>
      </x:c>
      <x:c r="G39" t="inlineStr">
        <x:is>
          <x:t xml:space="preserve">G0A/G6</x:t>
        </x:is>
      </x:c>
      <x:c r="H39" s="252" t="n"/>
    </x:row>
    <x:row r="40">
      <x:c r="A40" t="inlineStr">
        <x:is>
          <x:t xml:space="preserve">Brand</x:t>
        </x:is>
      </x:c>
      <x:c r="B40" t="inlineStr">
        <x:is>
          <x:t xml:space="preserve">Intelligent Procurement product attribution is consistent across public/app surfaces</x:t>
        </x:is>
      </x:c>
      <x:c r="C40" t="inlineStr">
        <x:is>
          <x:t xml:space="preserve">P0</x:t>
        </x:is>
      </x:c>
      <x:c r="D40" t="inlineStr">
        <x:is>
          <x:t xml:space="preserve">Not Started</x:t>
        </x:is>
      </x:c>
      <x:c r="G40" t="inlineStr">
        <x:is>
          <x:t xml:space="preserve">G0A/G12</x:t>
        </x:is>
      </x:c>
      <x:c r="H40" s="252" t="n"/>
    </x:row>
    <x:row r="41">
      <x:c r="A41" t="inlineStr">
        <x:is>
          <x:t xml:space="preserve">Legal</x:t>
        </x:is>
      </x:c>
      <x:c r="B41" t="inlineStr">
        <x:is>
          <x:t xml:space="preserve">Corporate footer/legal links and NexusPavilion Inc. attribution reviewed</x:t>
        </x:is>
      </x:c>
      <x:c r="C41" t="inlineStr">
        <x:is>
          <x:t xml:space="preserve">P0</x:t>
        </x:is>
      </x:c>
      <x:c r="D41" t="inlineStr">
        <x:is>
          <x:t xml:space="preserve">Not Started</x:t>
        </x:is>
      </x:c>
      <x:c r="G41" t="inlineStr">
        <x:is>
          <x:t xml:space="preserve">G0A/G12</x:t>
        </x:is>
      </x:c>
      <x:c r="H41" s="252" t="n"/>
    </x:row>
    <x:row r="42">
      <x:c r="A42" t="inlineStr">
        <x:is>
          <x:t xml:space="preserve">Marketing</x:t>
        </x:is>
      </x:c>
      <x:c r="B42" t="inlineStr">
        <x:is>
          <x:t xml:space="preserve">No unreleased product/project is presented as launch-ready</x:t>
        </x:is>
      </x:c>
      <x:c r="C42" t="inlineStr">
        <x:is>
          <x:t xml:space="preserve">P0</x:t>
        </x:is>
      </x:c>
      <x:c r="D42" t="inlineStr">
        <x:is>
          <x:t xml:space="preserve">Not Started</x:t>
        </x:is>
      </x:c>
      <x:c r="G42" t="inlineStr">
        <x:is>
          <x:t xml:space="preserve">G12</x:t>
        </x:is>
      </x:c>
      <x:c r="H42" s="252" t="n"/>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e04c8d25134f4e34"/>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row r="1161">
      <x:c r="A1161" t="n">
        <x:v>46295</x:v>
      </x:c>
      <x:c r="B1161" t="str">
        <x:v>Phase 19 / 19-06</x:v>
      </x:c>
      <x:c r="C1161" t="str">
        <x:v>19-06 Sales Workflow Story Closed</x:v>
      </x:c>
      <x:c r="D1161" t="str">
        <x:v>executive-benchmark-engine</x:v>
      </x:c>
      <x:c r="E1161" t="str">
        <x:v>EVIDENCE-ONLY — published HEAD a11ecba13548e22ecccca2ac9f0f8651f6eaed1e</x:v>
      </x:c>
      <x:c r="F1161" t="str">
        <x:v>Created the launch sales workflow story from the current product architecture: Company Workspace establishes company identity/access context; Procurement Center carries issuer and respondent RFQ participation; secure supplier invitation and respondent access feed the same governed RFQ; Private RFI handles bilateral clarification while formal Addenda handle material clarifications; quotation submission/revalidation feeds deadline-governed commercial evaluation and issuer-controlled award.</x:v>
      </x:c>
      <x:c r="G1161" t="str">
        <x:v>Read-only architecture review of the RFQ marketplace, supplier invitation delivery, Private RFI workspace, quotation submission workspace and quote comparison surfaces. No code or application-data mutation required.</x:v>
      </x:c>
      <x:c r="H1161" t="str">
        <x:v>PASS / 19-06 CLOSED / FROZEN</x:v>
      </x:c>
      <x:c r="I1161" t="str">
        <x:v>Narrative explicitly avoids unsupported autonomous/AI claims, automatic-award language and Contract/PO lifecycle automation. Workspace Membership and RFQ Invitation remain distinct business flows.</x:v>
      </x:c>
      <x:c r="J1161" t="str">
        <x:v>Next canonical Master Plan task: Phase 19 / 19-07 — Create investor platform story.</x:v>
      </x:c>
    </x:row>
    <x:row r="1162">
      <x:c r="A1162" t="n">
        <x:v>46295</x:v>
      </x:c>
      <x:c r="B1162" t="str">
        <x:v>Phase 19 / 19-07</x:v>
      </x:c>
      <x:c r="C1162" t="str">
        <x:v>19-07 Investor Platform Story Closed / Phase 19 Complete</x:v>
      </x:c>
      <x:c r="D1162" t="str">
        <x:v>executive-benchmark-engine</x:v>
      </x:c>
      <x:c r="E1162" t="str">
        <x:v>EVIDENCE-ONLY — published HEAD 51aa24863e66813b7cbde774c4cae760a5e1bb8a</x:v>
      </x:c>
      <x:c r="F1162" t="str">
        <x:v>Established the investor platform narrative with an explicit present-vs-roadmap boundary. Current foundation is Intelligent Procurement's governed Company Workspace → Procurement Center architecture and implemented RFQ, respondent, clarification, quotation, evaluation, supplier-intelligence, executive-decision-support, and issuer-controlled award workflows. Roadmap expansion is separately framed around post-launch Contract/PO/Mobilization automation, Advanced Benchmarking, Autonomous Sourcing Agents, and future real Nexus Pavilion Inc. portfolio initiatives.</x:v>
      </x:c>
      <x:c r="G1162" t="str">
        <x:v>Read-only reconciliation of the canonical Master Plan / Scope &amp; Roadmap and Corporate Platform truthfulness rules. No code, database, public copy, or application-data mutation required.</x:v>
      </x:c>
      <x:c r="H1162" t="str">
        <x:v>PASS / 19-07 CLOSED / PHASE 19 COMPLETE / FROZEN</x:v>
      </x:c>
      <x:c r="I1162" t="str">
        <x:v>Future capabilities remain explicitly non-current; unreleased corporate initiatives remain hidden by default unless approved for truthful non-live disclosure. No invented future product, unsupported AI claim, valuation, revenue, adoption, market-size, or investment-return claim was introduced.</x:v>
      </x:c>
      <x:c r="J1162" t="str">
        <x:v>Next canonical Master Plan task: Phase 20 / 20-01 — Getting Started.</x:v>
      </x:c>
    </x:row>
    <x:row r="1163">
      <x:c r="A1163" t="n">
        <x:v>46295</x:v>
      </x:c>
      <x:c r="B1163" t="str">
        <x:v>Phase 20 / 20-01</x:v>
      </x:c>
      <x:c r="C1163" t="str">
        <x:v>20-01 Getting Started Guide Published</x:v>
      </x:c>
      <x:c r="D1163" t="str">
        <x:v>executive-benchmark-engine</x:v>
      </x:c>
      <x:c r="E1163" t="str">
        <x:v>eee3601e69ceee1144ed43cbb06b596fcf0e87c4</x:v>
      </x:c>
      <x:c r="F1163" t="str">
        <x:v>Published the Intelligent Procurement Getting Started guide. It gives new users a single high-level orientation to Company Workspace, Procurement Center, sign-in/onboarding, issuer/respondent participation, governed RFQ progression, first actions, and the decision-support boundary.</x:v>
      </x:c>
      <x:c r="G1163" t="str">
        <x:v>Repository search confirmed no equivalent launch-ready guide. Exact source compare verified a one-file documentation-only commit at docs/launch/GETTING_STARTED.md. No build/runtime validation was required for the Markdown-only change; no application code or data changed.</x:v>
      </x:c>
      <x:c r="H1163" t="str">
        <x:v>PASS / 20-01 CLOSED / FROZEN / G11 IN PROGRESS</x:v>
      </x:c>
      <x:c r="I1163" t="str">
        <x:v>Guide deliberately stays at overview level so detailed company onboarding, RFQ creation, invitation, response, RFI, quote, evaluation, award, permission, support, and privacy/security procedures remain owned by 20-02 through 20-12.</x:v>
      </x:c>
      <x:c r="J1163" t="str">
        <x:v>Next canonical Master Plan task: Phase 20 / 20-02 — Create Company.</x:v>
      </x:c>
    </x:row>
    <x:row r="1164">
      <x:c r="A1164" t="n">
        <x:v>46295</x:v>
      </x:c>
      <x:c r="B1164" t="str">
        <x:v>Phase 20 / 20-02</x:v>
      </x:c>
      <x:c r="C1164" t="str">
        <x:v>20-02 Create Company Guide Published</x:v>
      </x:c>
      <x:c r="D1164" t="str">
        <x:v>executive-benchmark-engine</x:v>
      </x:c>
      <x:c r="E1164" t="str">
        <x:v>8bf0eb96db3c41c8d475076660d50cf3effb91b6</x:v>
      </x:c>
      <x:c r="F1164" t="str">
        <x:v>Published the Intelligent Procurement Create Company guide. The guide documents Company Workspace onboarding from identity and organization type through professional identity, activation, RFQ continuation, recovery/duplicate protection, post-activation checks, and troubleshooting.</x:v>
      </x:c>
      <x:c r="G1164" t="str">
        <x:v>Read-only implementation review of src/app/create-company/page.tsx, src/app/api/companies/create/route.ts, src/lib/auth/workspace-bootstrap.ts, src/lib/auth/login-continuation.ts, and active root middleware.ts. Exact source compare verified a one-file documentation-only commit at docs/launch/CREATE_COMPANY.md. No build/runtime validation was required for the Markdown-only source change.</x:v>
      </x:c>
      <x:c r="H1164" t="str">
        <x:v>PASS / 20-02 CLOSED / FROZEN / G11 IN PROGRESS</x:v>
      </x:c>
      <x:c r="I1164" t="str">
        <x:v>Workspace Membership and RFQ Invitation remain separate business flows. The guide explicitly warns against duplicate company creation during recovery or incomplete bootstrap states.</x:v>
      </x:c>
      <x:c r="J1164" t="str">
        <x:v>Next canonical Master Plan task: Phase 20 / 20-03 — Create RFQ.</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86f6cfad243e4dc9"/>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0a898c8071534801"/>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inlineStr">
        <x:is>
          <x:t xml:space="preserve">Not Started</x:t>
        </x:is>
      </x:c>
      <x:c r="J5" s="133" t="str"/>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inlineStr">
        <x:is>
          <x:t xml:space="preserve">Not Started</x:t>
        </x:is>
      </x:c>
      <x:c r="J6" s="133" t="str"/>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inlineStr">
        <x:is>
          <x:t xml:space="preserve">Not Started</x:t>
        </x:is>
      </x:c>
      <x:c r="J9" s="133" t="str"/>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inlineStr">
        <x:is>
          <x:t xml:space="preserve">Not Started</x:t>
        </x:is>
      </x:c>
      <x:c r="J10" s="133" t="str"/>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inlineStr">
        <x:is>
          <x:t xml:space="preserve">Not Started</x:t>
        </x:is>
      </x:c>
      <x:c r="J11" s="133" t="str"/>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inlineStr">
        <x:is>
          <x:t xml:space="preserve">Not Started</x:t>
        </x:is>
      </x:c>
      <x:c r="J12" s="133" t="str"/>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inlineStr">
        <x:is>
          <x:t xml:space="preserve">Not Started</x:t>
        </x:is>
      </x:c>
      <x:c r="J13" s="133" t="str"/>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f7959dcbf3e3473c"/>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str">
        <x:f>IF(COUNT(C5:L5)&lt;10,"",C5*0.10+D5*0.15+E5*0.15+F5*0.10+G5*0.10+H5*0.10+I5*0.10+J5*0.10+K5*0.05+L5*0.05)</x:f>
      </x:c>
      <x:c r="N5" s="269" t="n">
        <x:v>9.5</x:v>
      </x:c>
      <x:c r="O5" s="28" t="str">
        <x:f>IF(M5="","Not Scored",IF(AND(B5="Yes",M5&lt;9),"BLOCK",IF(M5&gt;=9.5,"Ready",IF(M5&gt;=9,"Needs Polish","Below Target"))))</x:f>
        <x:v>Not Scored</x:v>
      </x:c>
      <x:c r="P5" s="28" t="str"/>
      <x:c r="Q5" s="28" t="str"/>
      <x:c r="S5" t="inlineStr">
        <x:is>
          <x:t xml:space="preserve">Pages Scored</x:t>
        </x:is>
      </x:c>
      <x:c r="T5" t="n">
        <x:f>COUNT(M5:M27)</x:f>
        <x:v>0</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str">
        <x:f>IF(COUNT(C6:L6)&lt;10,"",C6*0.10+D6*0.15+E6*0.15+F6*0.10+G6*0.10+H6*0.10+I6*0.10+J6*0.10+K6*0.05+L6*0.05)</x:f>
      </x:c>
      <x:c r="N6" s="269" t="n">
        <x:v>9.5</x:v>
      </x:c>
      <x:c r="O6" s="28" t="str">
        <x:f>IF(M6="","Not Scored",IF(AND(B6="Yes",M6&lt;9),"BLOCK",IF(M6&gt;=9.5,"Ready",IF(M6&gt;=9,"Needs Polish","Below Target"))))</x:f>
        <x:v>Not Scored</x:v>
      </x:c>
      <x:c r="P6" s="28" t="str"/>
      <x:c r="Q6" s="28" t="str"/>
      <x:c r="S6" t="inlineStr">
        <x:is>
          <x:t xml:space="preserve">Average Score</x:t>
        </x:is>
      </x:c>
      <x:c r="T6" s="253" t="n">
        <x:f>IFERROR(AVERAGE(M5:M27),0)</x:f>
        <x:v>0</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str">
        <x:f>IF(COUNT(C7:L7)&lt;10,"",C7*0.10+D7*0.15+E7*0.15+F7*0.10+G7*0.10+H7*0.10+I7*0.10+J7*0.10+K7*0.05+L7*0.05)</x:f>
      </x:c>
      <x:c r="N7" s="269" t="n">
        <x:v>9.5</x:v>
      </x:c>
      <x:c r="O7" s="28" t="str">
        <x:f>IF(M7="","Not Scored",IF(AND(B7="Yes",M7&lt;9),"BLOCK",IF(M7&gt;=9.5,"Ready",IF(M7&gt;=9,"Needs Polish","Below Target"))))</x:f>
        <x:v>Not Scored</x:v>
      </x:c>
      <x:c r="P7" s="28" t="str"/>
      <x:c r="Q7" s="28" t="str"/>
      <x:c r="S7" t="inlineStr">
        <x:is>
          <x:t xml:space="preserve">Critical Below 9.0</x:t>
        </x:is>
      </x:c>
      <x:c r="T7" s="253" t="n">
        <x:f>COUNTIFS(B5:B27,"Yes",M5:M27,"&lt;9",M5:M27,"&gt;0")</x:f>
        <x:v>0</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str">
        <x:f>IF(COUNT(C8:L8)&lt;10,"",C8*0.10+D8*0.15+E8*0.15+F8*0.10+G8*0.10+H8*0.10+I8*0.10+J8*0.10+K8*0.05+L8*0.05)</x:f>
      </x:c>
      <x:c r="N8" s="269" t="n">
        <x:v>9.5</x:v>
      </x:c>
      <x:c r="O8" s="28" t="str">
        <x:f>IF(M8="","Not Scored",IF(AND(B8="Yes",M8&lt;9),"BLOCK",IF(M8&gt;=9.5,"Ready",IF(M8&gt;=9,"Needs Polish","Below Target"))))</x:f>
        <x:v>Not Scored</x:v>
      </x:c>
      <x:c r="P8" s="28" t="str"/>
      <x:c r="Q8" s="28" t="str"/>
      <x:c r="S8" t="inlineStr">
        <x:is>
          <x:t xml:space="preserve">Pages Ready ≥9.5</x:t>
        </x:is>
      </x:c>
      <x:c r="T8" s="253" t="n">
        <x:f>COUNTIF(O5:O27,"Ready")</x:f>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str">
        <x:f>IF(COUNT(C9:L9)&lt;10,"",C9*0.10+D9*0.15+E9*0.15+F9*0.10+G9*0.10+H9*0.10+I9*0.10+J9*0.10+K9*0.05+L9*0.05)</x:f>
      </x:c>
      <x:c r="N9" s="269" t="n">
        <x:v>9.5</x:v>
      </x:c>
      <x:c r="O9" s="28" t="str">
        <x:f>IF(M9="","Not Scored",IF(AND(B9="Yes",M9&lt;9),"BLOCK",IF(M9&gt;=9.5,"Ready",IF(M9&gt;=9,"Needs Polish","Below Target"))))</x:f>
        <x:v>Not Scored</x:v>
      </x:c>
      <x:c r="P9" s="28" t="str"/>
      <x:c r="Q9" s="28" t="str"/>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str">
        <x:f>IF(COUNT(C10:L10)&lt;10,"",C10*0.10+D10*0.15+E10*0.15+F10*0.10+G10*0.10+H10*0.10+I10*0.10+J10*0.10+K10*0.05+L10*0.05)</x:f>
      </x:c>
      <x:c r="N10" s="269" t="n">
        <x:v>9.5</x:v>
      </x:c>
      <x:c r="O10" s="28" t="str">
        <x:f>IF(M10="","Not Scored",IF(AND(B10="Yes",M10&lt;9),"BLOCK",IF(M10&gt;=9.5,"Ready",IF(M10&gt;=9,"Needs Polish","Below Target"))))</x:f>
        <x:v>Not Scored</x:v>
      </x:c>
      <x:c r="P10" s="28" t="str"/>
      <x:c r="Q10" s="28" t="str"/>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t="str">
        <x:f>IF(COUNT(C11:L11)&lt;10,"",C11*0.10+D11*0.15+E11*0.15+F11*0.10+G11*0.10+H11*0.10+I11*0.10+J11*0.10+K11*0.05+L11*0.05)</x:f>
      </x:c>
      <x:c r="N11" s="269" t="n">
        <x:v>9.5</x:v>
      </x:c>
      <x:c r="O11" s="28" t="str">
        <x:f>IF(M11="","Not Scored",IF(AND(B11="Yes",M11&lt;9),"BLOCK",IF(M11&gt;=9.5,"Ready",IF(M11&gt;=9,"Needs Polish","Below Target"))))</x:f>
        <x:v>Not Scored</x:v>
      </x:c>
      <x:c r="P11" s="28" t="str"/>
      <x:c r="Q11" s="28" t="str"/>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t="str">
        <x:f>IF(COUNT(C12:L12)&lt;10,"",C12*0.10+D12*0.15+E12*0.15+F12*0.10+G12*0.10+H12*0.10+I12*0.10+J12*0.10+K12*0.05+L12*0.05)</x:f>
      </x:c>
      <x:c r="N12" s="269" t="n">
        <x:v>9.5</x:v>
      </x:c>
      <x:c r="O12" s="28" t="str">
        <x:f>IF(M12="","Not Scored",IF(AND(B12="Yes",M12&lt;9),"BLOCK",IF(M12&gt;=9.5,"Ready",IF(M12&gt;=9,"Needs Polish","Below Target"))))</x:f>
        <x:v>Not Scored</x:v>
      </x:c>
      <x:c r="P12" s="28" t="str"/>
      <x:c r="Q12" s="28" t="str"/>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t="str">
        <x:f>IF(COUNT(C13:L13)&lt;10,"",C13*0.10+D13*0.15+E13*0.15+F13*0.10+G13*0.10+H13*0.10+I13*0.10+J13*0.10+K13*0.05+L13*0.05)</x:f>
      </x:c>
      <x:c r="N13" s="269" t="n">
        <x:v>9.5</x:v>
      </x:c>
      <x:c r="O13" s="28" t="str">
        <x:f>IF(M13="","Not Scored",IF(AND(B13="Yes",M13&lt;9),"BLOCK",IF(M13&gt;=9.5,"Ready",IF(M13&gt;=9,"Needs Polish","Below Target"))))</x:f>
        <x:v>Not Scored</x:v>
      </x:c>
      <x:c r="P13" s="28" t="str"/>
      <x:c r="Q13" s="28" t="str"/>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t="str">
        <x:f>IF(COUNT(C14:L14)&lt;10,"",C14*0.10+D14*0.15+E14*0.15+F14*0.10+G14*0.10+H14*0.10+I14*0.10+J14*0.10+K14*0.05+L14*0.05)</x:f>
      </x:c>
      <x:c r="N14" s="269" t="n">
        <x:v>9.5</x:v>
      </x:c>
      <x:c r="O14" s="28" t="str">
        <x:f>IF(M14="","Not Scored",IF(AND(B14="Yes",M14&lt;9),"BLOCK",IF(M14&gt;=9.5,"Ready",IF(M14&gt;=9,"Needs Polish","Below Target"))))</x:f>
        <x:v>Not Scored</x:v>
      </x:c>
      <x:c r="P14" s="28" t="str"/>
      <x:c r="Q14" s="28" t="str"/>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str">
        <x:f>IF(COUNT(C15:L15)&lt;10,"",C15*0.10+D15*0.15+E15*0.15+F15*0.10+G15*0.10+H15*0.10+I15*0.10+J15*0.10+K15*0.05+L15*0.05)</x:f>
      </x:c>
      <x:c r="N15" s="269" t="n">
        <x:v>9.5</x:v>
      </x:c>
      <x:c r="O15" s="28" t="str">
        <x:f>IF(M15="","Not Scored",IF(AND(B15="Yes",M15&lt;9),"BLOCK",IF(M15&gt;=9.5,"Ready",IF(M15&gt;=9,"Needs Polish","Below Target"))))</x:f>
        <x:v>Not Scored</x:v>
      </x:c>
      <x:c r="P15" s="28" t="str"/>
      <x:c r="Q15" s="28" t="str"/>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str">
        <x:f>IF(COUNT(C16:L16)&lt;10,"",C16*0.10+D16*0.15+E16*0.15+F16*0.10+G16*0.10+H16*0.10+I16*0.10+J16*0.10+K16*0.05+L16*0.05)</x:f>
      </x:c>
      <x:c r="N16" s="269" t="n">
        <x:v>9.5</x:v>
      </x:c>
      <x:c r="O16" s="28" t="str">
        <x:f>IF(M16="","Not Scored",IF(AND(B16="Yes",M16&lt;9),"BLOCK",IF(M16&gt;=9.5,"Ready",IF(M16&gt;=9,"Needs Polish","Below Target"))))</x:f>
        <x:v>Not Scored</x:v>
      </x:c>
      <x:c r="P16" s="28" t="str"/>
      <x:c r="Q16" s="28" t="str"/>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t="str">
        <x:f>IF(COUNT(C17:L17)&lt;10,"",C17*0.10+D17*0.15+E17*0.15+F17*0.10+G17*0.10+H17*0.10+I17*0.10+J17*0.10+K17*0.05+L17*0.05)</x:f>
      </x:c>
      <x:c r="N17" s="269" t="n">
        <x:v>9.5</x:v>
      </x:c>
      <x:c r="O17" s="28" t="str">
        <x:f>IF(M17="","Not Scored",IF(AND(B17="Yes",M17&lt;9),"BLOCK",IF(M17&gt;=9.5,"Ready",IF(M17&gt;=9,"Needs Polish","Below Target"))))</x:f>
        <x:v>Not Scored</x:v>
      </x:c>
      <x:c r="P17" s="28" t="str"/>
      <x:c r="Q17" s="28" t="str"/>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str">
        <x:f>IF(COUNT(C18:L18)&lt;10,"",C18*0.10+D18*0.15+E18*0.15+F18*0.10+G18*0.10+H18*0.10+I18*0.10+J18*0.10+K18*0.05+L18*0.05)</x:f>
      </x:c>
      <x:c r="N18" s="269" t="n">
        <x:v>9.5</x:v>
      </x:c>
      <x:c r="O18" s="28" t="str">
        <x:f>IF(M18="","Not Scored",IF(AND(B18="Yes",M18&lt;9),"BLOCK",IF(M18&gt;=9.5,"Ready",IF(M18&gt;=9,"Needs Polish","Below Target"))))</x:f>
        <x:v>Not Scored</x:v>
      </x:c>
      <x:c r="P18" s="28" t="str"/>
      <x:c r="Q18" s="28" t="str"/>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t="str">
        <x:f>IF(COUNT(C19:L19)&lt;10,"",C19*0.10+D19*0.15+E19*0.15+F19*0.10+G19*0.10+H19*0.10+I19*0.10+J19*0.10+K19*0.05+L19*0.05)</x:f>
      </x:c>
      <x:c r="N19" s="269" t="n">
        <x:v>9.5</x:v>
      </x:c>
      <x:c r="O19" s="28" t="str">
        <x:f>IF(M19="","Not Scored",IF(AND(B19="Yes",M19&lt;9),"BLOCK",IF(M19&gt;=9.5,"Ready",IF(M19&gt;=9,"Needs Polish","Below Target"))))</x:f>
        <x:v>Not Scored</x:v>
      </x:c>
      <x:c r="P19" s="28" t="str"/>
      <x:c r="Q19" s="28" t="str"/>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t="str">
        <x:f>IF(COUNT(C20:L20)&lt;10,"",C20*0.10+D20*0.15+E20*0.15+F20*0.10+G20*0.10+H20*0.10+I20*0.10+J20*0.10+K20*0.05+L20*0.05)</x:f>
      </x:c>
      <x:c r="N20" s="269" t="n">
        <x:v>9.5</x:v>
      </x:c>
      <x:c r="O20" s="28" t="str">
        <x:f>IF(M20="","Not Scored",IF(AND(B20="Yes",M20&lt;9),"BLOCK",IF(M20&gt;=9.5,"Ready",IF(M20&gt;=9,"Needs Polish","Below Target"))))</x:f>
        <x:v>Not Scored</x:v>
      </x:c>
      <x:c r="P20" s="28" t="str"/>
      <x:c r="Q20" s="28" t="str"/>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t="str">
        <x:f>IF(COUNT(C21:L21)&lt;10,"",C21*0.10+D21*0.15+E21*0.15+F21*0.10+G21*0.10+H21*0.10+I21*0.10+J21*0.10+K21*0.05+L21*0.05)</x:f>
      </x:c>
      <x:c r="N21" s="269" t="n">
        <x:v>9.5</x:v>
      </x:c>
      <x:c r="O21" s="28" t="str">
        <x:f>IF(M21="","Not Scored",IF(AND(B21="Yes",M21&lt;9),"BLOCK",IF(M21&gt;=9.5,"Ready",IF(M21&gt;=9,"Needs Polish","Below Target"))))</x:f>
        <x:v>Not Scored</x:v>
      </x:c>
      <x:c r="P21" s="28" t="str"/>
      <x:c r="Q21" s="28" t="str"/>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t="str">
        <x:f>IF(COUNT(C22:L22)&lt;10,"",C22*0.10+D22*0.15+E22*0.15+F22*0.10+G22*0.10+H22*0.10+I22*0.10+J22*0.10+K22*0.05+L22*0.05)</x:f>
      </x:c>
      <x:c r="N22" s="269" t="n">
        <x:v>9.5</x:v>
      </x:c>
      <x:c r="O22" s="28" t="str">
        <x:f>IF(M22="","Not Scored",IF(AND(B22="Yes",M22&lt;9),"BLOCK",IF(M22&gt;=9.5,"Ready",IF(M22&gt;=9,"Needs Polish","Below Target"))))</x:f>
        <x:v>Not Scored</x:v>
      </x:c>
      <x:c r="P22" s="28" t="str"/>
      <x:c r="Q22" s="28" t="str"/>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t="str">
        <x:f>IF(COUNT(C23:L23)&lt;10,"",C23*0.10+D23*0.15+E23*0.15+F23*0.10+G23*0.10+H23*0.10+I23*0.10+J23*0.10+K23*0.05+L23*0.05)</x:f>
      </x:c>
      <x:c r="N23" s="269" t="n">
        <x:v>9.5</x:v>
      </x:c>
      <x:c r="O23" s="28" t="str">
        <x:f>IF(M23="","Not Scored",IF(AND(B23="Yes",M23&lt;9),"BLOCK",IF(M23&gt;=9.5,"Ready",IF(M23&gt;=9,"Needs Polish","Below Target"))))</x:f>
        <x:v>Not Scored</x:v>
      </x:c>
      <x:c r="P23" s="28" t="str"/>
      <x:c r="Q23" s="28" t="str"/>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t="str">
        <x:f>IF(COUNT(C24:L24)&lt;10,"",C24*0.10+D24*0.15+E24*0.15+F24*0.10+G24*0.10+H24*0.10+I24*0.10+J24*0.10+K24*0.05+L24*0.05)</x:f>
      </x:c>
      <x:c r="N24" s="269" t="n">
        <x:v>9.5</x:v>
      </x:c>
      <x:c r="O24" s="28" t="str">
        <x:f>IF(M24="","Not Scored",IF(AND(B24="Yes",M24&lt;9),"BLOCK",IF(M24&gt;=9.5,"Ready",IF(M24&gt;=9,"Needs Polish","Below Target"))))</x:f>
        <x:v>Not Scored</x:v>
      </x:c>
      <x:c r="P24" s="28" t="str"/>
      <x:c r="Q24" s="28" t="str"/>
    </x:row>
    <x:row r="25">
      <x:c r="A25" t="inlineStr">
        <x:is>
          <x:t xml:space="preserve">NexusPavilion Inc. Corporate Home</x:t>
        </x:is>
      </x:c>
      <x:c r="B25" t="inlineStr">
        <x:is>
          <x:t xml:space="preserve">Yes</x:t>
        </x:is>
      </x:c>
      <x:c r="M25" s="253" t="str">
        <x:f>IF(COUNT(C25:L25)&lt;10,"",C25*0.10+D25*0.15+E25*0.15+F25*0.10+G25*0.10+H25*0.10+I25*0.10+J25*0.10+K25*0.05+L25*0.05)</x:f>
      </x:c>
      <x:c r="N25" s="253" t="n">
        <x:v>9.5</x:v>
      </x:c>
      <x:c r="O25" t="str">
        <x:f>IF(M25="","Not Scored",IF(AND(B25="Yes",M25&lt;9),"BLOCK",IF(M25&gt;=9.5,"Ready",IF(M25&gt;=9,"Needs Polish","Below Target"))))</x:f>
        <x:v>Not Scored</x:v>
      </x:c>
    </x:row>
    <x:row r="26">
      <x:c r="A26" t="inlineStr">
        <x:is>
          <x:t xml:space="preserve">Intelligent Procurement Product Landing</x:t>
        </x:is>
      </x:c>
      <x:c r="B26" t="inlineStr">
        <x:is>
          <x:t xml:space="preserve">Yes</x:t>
        </x:is>
      </x:c>
      <x:c r="M26" s="253" t="str">
        <x:f>IF(COUNT(C26:L26)&lt;10,"",C26*0.10+D26*0.15+E26*0.15+F26*0.10+G26*0.10+H26*0.10+I26*0.10+J26*0.10+K26*0.05+L26*0.05)</x:f>
      </x:c>
      <x:c r="N26" s="253" t="n">
        <x:v>9.5</x:v>
      </x:c>
      <x:c r="O26" t="str">
        <x:f>IF(M26="","Not Scored",IF(AND(B26="Yes",M26&lt;9),"BLOCK",IF(M26&gt;=9.5,"Ready",IF(M26&gt;=9,"Needs Polish","Below Target"))))</x:f>
        <x:v>Not Scored</x:v>
      </x:c>
    </x:row>
    <x:row r="27">
      <x:c r="A27" t="inlineStr">
        <x:is>
          <x:t xml:space="preserve">Product Entry / Authentication</x:t>
        </x:is>
      </x:c>
      <x:c r="B27" t="inlineStr">
        <x:is>
          <x:t xml:space="preserve">Yes</x:t>
        </x:is>
      </x:c>
      <x:c r="M27" s="253" t="str">
        <x:f>IF(COUNT(C27:L27)&lt;10,"",C27*0.10+D27*0.15+E27*0.15+F27*0.10+G27*0.10+H27*0.10+I27*0.10+J27*0.10+K27*0.05+L27*0.05)</x:f>
      </x:c>
      <x:c r="N27" s="253" t="n">
        <x:v>9.5</x:v>
      </x:c>
      <x:c r="O27" t="str">
        <x:f>IF(M27="","Not Scored",IF(AND(B27="Yes",M27&lt;9),"BLOCK",IF(M27&gt;=9.5,"Ready",IF(M27&gt;=9,"Needs Polish","Below Target"))))</x:f>
        <x:v>Not Scored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3bd324ba84044646"/>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576fcb3a7bab4019"/>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592e50b283c946ba"/>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