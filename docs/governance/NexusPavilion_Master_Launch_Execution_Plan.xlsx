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b2d1daf040453d" /></Relationships>
</file>

<file path=xl/workbook.xml><?xml version="1.0" encoding="utf-8"?>
<x:workbook xmlns:x="http://schemas.openxmlformats.org/spreadsheetml/2006/main">
  <x:sheets>
    <x:sheet xmlns:r="http://schemas.openxmlformats.org/officeDocument/2006/relationships" name="01 Master Plan" sheetId="1" r:id="Rd1eaec94f5844307"/>
    <x:sheet xmlns:r="http://schemas.openxmlformats.org/officeDocument/2006/relationships" name="03 Launch Gates" sheetId="2" r:id="R4d019da714a34d72"/>
    <x:sheet xmlns:r="http://schemas.openxmlformats.org/officeDocument/2006/relationships" name="00 Dashboard" sheetId="3" r:id="R5f9539154ab14993"/>
    <x:sheet xmlns:r="http://schemas.openxmlformats.org/officeDocument/2006/relationships" name="04 Cursor Tasks" sheetId="4" r:id="R014a8e3b5bd94daf"/>
    <x:sheet xmlns:r="http://schemas.openxmlformats.org/officeDocument/2006/relationships" name="05 UAT Matrix" sheetId="5" r:id="R7fc21b0ff92f4d88"/>
    <x:sheet xmlns:r="http://schemas.openxmlformats.org/officeDocument/2006/relationships" name="06 Security Matrix" sheetId="6" r:id="R93435472f8e7488d"/>
    <x:sheet xmlns:r="http://schemas.openxmlformats.org/officeDocument/2006/relationships" name="07 Risks" sheetId="7" r:id="R484a14c40cf44a40"/>
    <x:sheet xmlns:r="http://schemas.openxmlformats.org/officeDocument/2006/relationships" name="08 Architecture" sheetId="8" r:id="Rd3f24f1fab834b9d"/>
    <x:sheet xmlns:r="http://schemas.openxmlformats.org/officeDocument/2006/relationships" name="09 Release Checklist" sheetId="9" r:id="R2bee6969bc434ff9"/>
    <x:sheet xmlns:r="http://schemas.openxmlformats.org/officeDocument/2006/relationships" name="10 Change Log" sheetId="10" r:id="Ra162a53068634092"/>
    <x:sheet xmlns:r="http://schemas.openxmlformats.org/officeDocument/2006/relationships" name="11 Scope &amp; Roadmap" sheetId="11" r:id="R65f427f64504442d"/>
    <x:sheet xmlns:r="http://schemas.openxmlformats.org/officeDocument/2006/relationships" name="12 How to Use" sheetId="12" r:id="R8a6b0e88c62644ec"/>
    <x:sheet xmlns:r="http://schemas.openxmlformats.org/officeDocument/2006/relationships" name="13 UI Program" sheetId="13" r:id="Rd9c1ed231cd74b1d"/>
    <x:sheet xmlns:r="http://schemas.openxmlformats.org/officeDocument/2006/relationships" name="14 UI Scorecard" sheetId="14" r:id="R386077c58e3541eb"/>
    <x:sheet xmlns:r="http://schemas.openxmlformats.org/officeDocument/2006/relationships" name="15 Motion Guidance" sheetId="15" r:id="R6112790143f24108"/>
    <x:sheet xmlns:r="http://schemas.openxmlformats.org/officeDocument/2006/relationships" name="16 Design Standards" sheetId="16" r:id="R93ed7eb8967544ad"/>
    <x:sheet xmlns:r="http://schemas.openxmlformats.org/officeDocument/2006/relationships" name="17 Corporate Platform" sheetId="17" r:id="Rc9c92a472a334b30"/>
    <x:sheet xmlns:r="http://schemas.openxmlformats.org/officeDocument/2006/relationships" name="18 Analytics Reuse Map" sheetId="18" r:id="Rd41271a412e64414"/>
    <x:sheet xmlns:r="http://schemas.openxmlformats.org/officeDocument/2006/relationships" name="19 Executive Insights Discovery" sheetId="19" r:id="R326d644508d44d35"/>
    <x:sheet xmlns:r="http://schemas.openxmlformats.org/officeDocument/2006/relationships" name="20 Procurement Insights Discovery" sheetId="20" r:id="R4006e9db78674bb2"/>
    <x:sheet xmlns:r="http://schemas.openxmlformats.org/officeDocument/2006/relationships" name="21 Commercial Insights Discovery" sheetId="21" r:id="R341fe73e6f83416c"/>
    <x:sheet xmlns:r="http://schemas.openxmlformats.org/officeDocument/2006/relationships" name="22 Project Insights Discovery" sheetId="22" r:id="Rff10262a99f34738"/>
    <x:sheet xmlns:r="http://schemas.openxmlformats.org/officeDocument/2006/relationships" name="23 Performance Discovery" sheetId="23" r:id="R4d2b23945d6d439c"/>
    <x:sheet xmlns:r="http://schemas.openxmlformats.org/officeDocument/2006/relationships" name="24 Risk Compliance Discovery" sheetId="24" r:id="R2ad288c44f77489c"/>
    <x:sheet xmlns:r="http://schemas.openxmlformats.org/officeDocument/2006/relationships" name="25 Commercial Handoff" sheetId="25" r:id="Rad0af9a63d094cb9"/>
    <x:sheet xmlns:r="http://schemas.openxmlformats.org/officeDocument/2006/relationships" name="26 RFQ Governance" sheetId="26" r:id="Re74dd5e987f746d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022f21c674e47a3" /><Relationship Type="http://schemas.openxmlformats.org/officeDocument/2006/relationships/theme" Target="/xl/theme/theme1.xml" Id="R247a1828d79b4802" /><Relationship Type="http://schemas.openxmlformats.org/officeDocument/2006/relationships/sharedStrings" Target="/xl/sharedStrings.xml" Id="R584a16dd9e3e42e8" /><Relationship Type="http://schemas.openxmlformats.org/officeDocument/2006/relationships/worksheet" Target="/xl/worksheets/sheet1.xml" Id="Rd1eaec94f5844307" /><Relationship Type="http://schemas.openxmlformats.org/officeDocument/2006/relationships/worksheet" Target="/xl/worksheets/sheet2.xml" Id="R4d019da714a34d72" /><Relationship Type="http://schemas.openxmlformats.org/officeDocument/2006/relationships/worksheet" Target="/xl/worksheets/sheet3.xml" Id="R5f9539154ab14993" /><Relationship Type="http://schemas.openxmlformats.org/officeDocument/2006/relationships/worksheet" Target="/xl/worksheets/sheet4.xml" Id="R014a8e3b5bd94daf" /><Relationship Type="http://schemas.openxmlformats.org/officeDocument/2006/relationships/worksheet" Target="/xl/worksheets/sheet5.xml" Id="R7fc21b0ff92f4d88" /><Relationship Type="http://schemas.openxmlformats.org/officeDocument/2006/relationships/worksheet" Target="/xl/worksheets/sheet6.xml" Id="R93435472f8e7488d" /><Relationship Type="http://schemas.openxmlformats.org/officeDocument/2006/relationships/worksheet" Target="/xl/worksheets/sheet7.xml" Id="R484a14c40cf44a40" /><Relationship Type="http://schemas.openxmlformats.org/officeDocument/2006/relationships/worksheet" Target="/xl/worksheets/sheet8.xml" Id="Rd3f24f1fab834b9d" /><Relationship Type="http://schemas.openxmlformats.org/officeDocument/2006/relationships/worksheet" Target="/xl/worksheets/sheet9.xml" Id="R2bee6969bc434ff9" /><Relationship Type="http://schemas.openxmlformats.org/officeDocument/2006/relationships/worksheet" Target="/xl/worksheets/sheet10.xml" Id="Ra162a53068634092" /><Relationship Type="http://schemas.openxmlformats.org/officeDocument/2006/relationships/worksheet" Target="/xl/worksheets/sheet11.xml" Id="R65f427f64504442d" /><Relationship Type="http://schemas.openxmlformats.org/officeDocument/2006/relationships/worksheet" Target="/xl/worksheets/sheet12.xml" Id="R8a6b0e88c62644ec" /><Relationship Type="http://schemas.openxmlformats.org/officeDocument/2006/relationships/worksheet" Target="/xl/worksheets/sheet13.xml" Id="Rd9c1ed231cd74b1d" /><Relationship Type="http://schemas.openxmlformats.org/officeDocument/2006/relationships/worksheet" Target="/xl/worksheets/sheet14.xml" Id="R386077c58e3541eb" /><Relationship Type="http://schemas.openxmlformats.org/officeDocument/2006/relationships/worksheet" Target="/xl/worksheets/sheet15.xml" Id="R6112790143f24108" /><Relationship Type="http://schemas.openxmlformats.org/officeDocument/2006/relationships/worksheet" Target="/xl/worksheets/sheet16.xml" Id="R93ed7eb8967544ad" /><Relationship Type="http://schemas.openxmlformats.org/officeDocument/2006/relationships/worksheet" Target="/xl/worksheets/sheet17.xml" Id="Rc9c92a472a334b30" /><Relationship Type="http://schemas.openxmlformats.org/officeDocument/2006/relationships/worksheet" Target="/xl/worksheets/sheet18.xml" Id="Rd41271a412e64414" /><Relationship Type="http://schemas.openxmlformats.org/officeDocument/2006/relationships/worksheet" Target="/xl/worksheets/sheet19.xml" Id="R326d644508d44d35" /><Relationship Type="http://schemas.openxmlformats.org/officeDocument/2006/relationships/worksheet" Target="/xl/worksheets/sheet20.xml" Id="R4006e9db78674bb2" /><Relationship Type="http://schemas.openxmlformats.org/officeDocument/2006/relationships/worksheet" Target="/xl/worksheets/sheet21.xml" Id="R341fe73e6f83416c" /><Relationship Type="http://schemas.openxmlformats.org/officeDocument/2006/relationships/worksheet" Target="/xl/worksheets/sheet22.xml" Id="Rff10262a99f34738" /><Relationship Type="http://schemas.openxmlformats.org/officeDocument/2006/relationships/worksheet" Target="/xl/worksheets/sheet23.xml" Id="R4d2b23945d6d439c" /><Relationship Type="http://schemas.openxmlformats.org/officeDocument/2006/relationships/worksheet" Target="/xl/worksheets/sheet24.xml" Id="R2ad288c44f77489c" /><Relationship Type="http://schemas.openxmlformats.org/officeDocument/2006/relationships/worksheet" Target="/xl/worksheets/sheet25.xml" Id="Rad0af9a63d094cb9" /><Relationship Type="http://schemas.openxmlformats.org/officeDocument/2006/relationships/worksheet" Target="/xl/worksheets/sheet26.xml" Id="Re74dd5e987f746da" /></Relationships>
</file>

<file path=xl/drawings/_rels/drawing1.xml.rels>&#65279;<?xml version="1.0" encoding="utf-8"?><Relationships xmlns="http://schemas.openxmlformats.org/package/2006/relationships"><Relationship Type="http://schemas.openxmlformats.org/officeDocument/2006/relationships/chart" Target="/xl/drawings/charts/chart1.xml" Id="Rbda1c1420196495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da1c1420196495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17359c11b064f37" /></Relationships>
</file>

<file path=xl/worksheets/_rels/sheet2.xml.rels>&#65279;<?xml version="1.0" encoding="utf-8"?><Relationships xmlns="http://schemas.openxmlformats.org/package/2006/relationships"><Relationship Type="http://schemas.openxmlformats.org/officeDocument/2006/relationships/table" Target="/xl/tables/table2.xml" Id="R7e4acfebe78b4996" /></Relationships>
</file>

<file path=xl/worksheets/_rels/sheet3.xml.rels>&#65279;<?xml version="1.0" encoding="utf-8"?><Relationships xmlns="http://schemas.openxmlformats.org/package/2006/relationships"><Relationship Type="http://schemas.openxmlformats.org/officeDocument/2006/relationships/drawing" Target="/xl/drawings/drawing1.xml" Id="R6689e9735611427d" /></Relationships>
</file>

<file path=xl/worksheets/_rels/sheet4.xml.rels>&#65279;<?xml version="1.0" encoding="utf-8"?><Relationships xmlns="http://schemas.openxmlformats.org/package/2006/relationships"><Relationship Type="http://schemas.openxmlformats.org/officeDocument/2006/relationships/table" Target="/xl/tables/table3.xml" Id="R773386acd30f4df6" /></Relationships>
</file>

<file path=xl/worksheets/_rels/sheet5.xml.rels>&#65279;<?xml version="1.0" encoding="utf-8"?><Relationships xmlns="http://schemas.openxmlformats.org/package/2006/relationships"><Relationship Type="http://schemas.openxmlformats.org/officeDocument/2006/relationships/table" Target="/xl/tables/table4.xml" Id="R5850525fa1b64fe3" /></Relationships>
</file>

<file path=xl/worksheets/_rels/sheet6.xml.rels>&#65279;<?xml version="1.0" encoding="utf-8"?><Relationships xmlns="http://schemas.openxmlformats.org/package/2006/relationships"><Relationship Type="http://schemas.openxmlformats.org/officeDocument/2006/relationships/table" Target="/xl/tables/table5.xml" Id="Re56c7aaa084449a2" /></Relationships>
</file>

<file path=xl/worksheets/_rels/sheet7.xml.rels>&#65279;<?xml version="1.0" encoding="utf-8"?><Relationships xmlns="http://schemas.openxmlformats.org/package/2006/relationships"><Relationship Type="http://schemas.openxmlformats.org/officeDocument/2006/relationships/table" Target="/xl/tables/table6.xml" Id="Rcf8a3cb2f26d4155" /></Relationships>
</file>

<file path=xl/worksheets/_rels/sheet9.xml.rels>&#65279;<?xml version="1.0" encoding="utf-8"?><Relationships xmlns="http://schemas.openxmlformats.org/package/2006/relationships"><Relationship Type="http://schemas.openxmlformats.org/officeDocument/2006/relationships/table" Target="/xl/tables/table7.xml" Id="R7d7a89d17c144fef" /></Relationships>
</file>

<file path=xl/worksheets/_rels/sheet10.xml.rels>&#65279;<?xml version="1.0" encoding="utf-8"?><Relationships xmlns="http://schemas.openxmlformats.org/package/2006/relationships"><Relationship Type="http://schemas.openxmlformats.org/officeDocument/2006/relationships/table" Target="/xl/tables/table8.xml" Id="Rec975af27a2c4596" /></Relationships>
</file>

<file path=xl/worksheets/_rels/sheet11.xml.rels>&#65279;<?xml version="1.0" encoding="utf-8"?><Relationships xmlns="http://schemas.openxmlformats.org/package/2006/relationships"><Relationship Type="http://schemas.openxmlformats.org/officeDocument/2006/relationships/table" Target="/xl/tables/table9.xml" Id="R9749414d0cbd46ac" /></Relationships>
</file>

<file path=xl/worksheets/_rels/sheet13.xml.rels>&#65279;<?xml version="1.0" encoding="utf-8"?><Relationships xmlns="http://schemas.openxmlformats.org/package/2006/relationships"><Relationship Type="http://schemas.openxmlformats.org/officeDocument/2006/relationships/table" Target="/xl/tables/table10.xml" Id="R33f2394fe72d4335" /></Relationships>
</file>

<file path=xl/worksheets/_rels/sheet14.xml.rels>&#65279;<?xml version="1.0" encoding="utf-8"?><Relationships xmlns="http://schemas.openxmlformats.org/package/2006/relationships"><Relationship Type="http://schemas.openxmlformats.org/officeDocument/2006/relationships/table" Target="/xl/tables/table11.xml" Id="Rf79bc2f1610843c0" /></Relationships>
</file>

<file path=xl/worksheets/_rels/sheet15.xml.rels>&#65279;<?xml version="1.0" encoding="utf-8"?><Relationships xmlns="http://schemas.openxmlformats.org/package/2006/relationships"><Relationship Type="http://schemas.openxmlformats.org/officeDocument/2006/relationships/table" Target="/xl/tables/table12.xml" Id="R4ca5ebda17dd48cd" /></Relationships>
</file>

<file path=xl/worksheets/_rels/sheet16.xml.rels>&#65279;<?xml version="1.0" encoding="utf-8"?><Relationships xmlns="http://schemas.openxmlformats.org/package/2006/relationships"><Relationship Type="http://schemas.openxmlformats.org/officeDocument/2006/relationships/table" Target="/xl/tables/table13.xml" Id="R116176759a3b4fe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17359c11b064f3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e4acfebe78b4996"/>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296</x:v>
      </x:c>
      <x:c r="D6" s="133" t="inlineStr">
        <x:is>
          <x:t xml:space="preserve">G0A — Corporate platform architecture ready</x:t>
        </x:is>
      </x:c>
      <x:c r="E6" s="32" t="str">
        <x:f>'03 Launch Gates'!D20</x:f>
        <x:v>Completed</x:v>
      </x:c>
      <x:c r="G6" t="inlineStr">
        <x:is>
          <x:t xml:space="preserve">UI Tasks Complete</x:t>
        </x:is>
      </x:c>
      <x:c r="H6" t="n">
        <x:f>SUM(B36:B46)</x:f>
        <x:v>74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4</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0.8065395095367848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2</x:v>
      </x:c>
      <x:c r="C41" s="133" t="n">
        <x:f>COUNTIFS('01 Master Plan'!C$5:C$383,A41,'01 Master Plan'!H$5:H$383,"In Progress")</x:f>
        <x:v>0</x:v>
      </x:c>
      <x:c r="D41" s="133" t="n">
        <x:f>COUNTIFS('01 Master Plan'!C$5:C$383,A41,'01 Master Plan'!H$5:H$383,"Not Started")</x:f>
        <x:v>9</x:v>
      </x:c>
      <x:c r="E41" s="133" t="n">
        <x:f>COUNTIFS('01 Master Plan'!C$5:C$383,A41,'01 Master Plan'!H$5:H$383,"Blocked")</x:f>
        <x:v>2</x:v>
      </x:c>
      <x:c r="F41" s="133" t="n">
        <x:f>COUNTIFS('01 Master Plan'!C$5:C$383,A41,'01 Master Plan'!H$5:H$383,"Deferred")</x:f>
        <x:v>0</x:v>
      </x:c>
      <x:c r="G41" s="255" t="n">
        <x:f>IFERROR(B41/(B41+C41+D41+E41),0)</x:f>
        <x:v>0.15384615384615385</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689e9735611427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773386acd30f4df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850525fa1b64fe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e56c7aaa084449a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f8a3cb2f26d415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d7a89d17c144fe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ec975af27a2c459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749414d0cbd46ac"/>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and 13E-04 PASS/CLOSED. 13E-02 and 13E-03 remain BLOCKED/Open because RFQ create/publish flows expose no stable completion surface without changing navigation/state semantics. 13D-04 and 13D-05 remain BLOCKED/Open under their prior unblock criteria. Existing RFQ invitation delivery feedback already satisfies truthful sent/skipped/failed and retry requirements. Next executable canonical task: 13E-05 Implement RFI submitted completion moment.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3f2394fe72d433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f79bc2f1610843c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ca5ebda17dd48c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16176759a3b4fe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