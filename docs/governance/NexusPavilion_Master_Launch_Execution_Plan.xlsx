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959208c61a34f12" /></Relationships>
</file>

<file path=xl/workbook.xml><?xml version="1.0" encoding="utf-8"?>
<x:workbook xmlns:x="http://schemas.openxmlformats.org/spreadsheetml/2006/main">
  <x:sheets>
    <x:sheet xmlns:r="http://schemas.openxmlformats.org/officeDocument/2006/relationships" name="01 Master Plan" sheetId="1" r:id="R96c22316401340c5"/>
    <x:sheet xmlns:r="http://schemas.openxmlformats.org/officeDocument/2006/relationships" name="03 Launch Gates" sheetId="2" r:id="R0acf41c0ff2c49c9"/>
    <x:sheet xmlns:r="http://schemas.openxmlformats.org/officeDocument/2006/relationships" name="00 Dashboard" sheetId="3" r:id="R195e39e117f1431b"/>
    <x:sheet xmlns:r="http://schemas.openxmlformats.org/officeDocument/2006/relationships" name="04 Cursor Tasks" sheetId="4" r:id="R6c9417dbf4324315"/>
    <x:sheet xmlns:r="http://schemas.openxmlformats.org/officeDocument/2006/relationships" name="05 UAT Matrix" sheetId="5" r:id="Reb8d9f96b9ba48f9"/>
    <x:sheet xmlns:r="http://schemas.openxmlformats.org/officeDocument/2006/relationships" name="06 Security Matrix" sheetId="6" r:id="Re467b1d2b4024780"/>
    <x:sheet xmlns:r="http://schemas.openxmlformats.org/officeDocument/2006/relationships" name="07 Risks" sheetId="7" r:id="Rd2282774e4484450"/>
    <x:sheet xmlns:r="http://schemas.openxmlformats.org/officeDocument/2006/relationships" name="08 Architecture" sheetId="8" r:id="R82afdfb2f9f44e11"/>
    <x:sheet xmlns:r="http://schemas.openxmlformats.org/officeDocument/2006/relationships" name="09 Release Checklist" sheetId="9" r:id="R04e8d6f5e0164ab2"/>
    <x:sheet xmlns:r="http://schemas.openxmlformats.org/officeDocument/2006/relationships" name="10 Change Log" sheetId="10" r:id="Raf8816892860443a"/>
    <x:sheet xmlns:r="http://schemas.openxmlformats.org/officeDocument/2006/relationships" name="11 Scope &amp; Roadmap" sheetId="11" r:id="R9e060465d3a3498d"/>
    <x:sheet xmlns:r="http://schemas.openxmlformats.org/officeDocument/2006/relationships" name="12 How to Use" sheetId="12" r:id="R044e91be8b844e34"/>
    <x:sheet xmlns:r="http://schemas.openxmlformats.org/officeDocument/2006/relationships" name="13 UI Program" sheetId="13" r:id="Rcb1e9ac938304bf3"/>
    <x:sheet xmlns:r="http://schemas.openxmlformats.org/officeDocument/2006/relationships" name="14 UI Scorecard" sheetId="14" r:id="Rb1080f1d60684f02"/>
    <x:sheet xmlns:r="http://schemas.openxmlformats.org/officeDocument/2006/relationships" name="15 Motion Guidance" sheetId="15" r:id="Rf1773ab2019e4877"/>
    <x:sheet xmlns:r="http://schemas.openxmlformats.org/officeDocument/2006/relationships" name="16 Design Standards" sheetId="16" r:id="R952e87b63a8d44d4"/>
    <x:sheet xmlns:r="http://schemas.openxmlformats.org/officeDocument/2006/relationships" name="17 Corporate Platform" sheetId="17" r:id="R94eccd5042e3487a"/>
    <x:sheet xmlns:r="http://schemas.openxmlformats.org/officeDocument/2006/relationships" name="18 Analytics Reuse Map" sheetId="18" r:id="R1cef8c8edab345b2"/>
    <x:sheet xmlns:r="http://schemas.openxmlformats.org/officeDocument/2006/relationships" name="19 Executive Insights Discovery" sheetId="19" r:id="Ra6d2de158f0f41f7"/>
    <x:sheet xmlns:r="http://schemas.openxmlformats.org/officeDocument/2006/relationships" name="20 Procurement Insights Discovery" sheetId="20" r:id="R89a81634b86540eb"/>
    <x:sheet xmlns:r="http://schemas.openxmlformats.org/officeDocument/2006/relationships" name="21 Commercial Insights Discovery" sheetId="21" r:id="R0c136f7ab45948fe"/>
    <x:sheet xmlns:r="http://schemas.openxmlformats.org/officeDocument/2006/relationships" name="22 Project Insights Discovery" sheetId="22" r:id="Rf3194106d38844b9"/>
    <x:sheet xmlns:r="http://schemas.openxmlformats.org/officeDocument/2006/relationships" name="23 Performance Discovery" sheetId="23" r:id="Rfa71b1e71ea54ff5"/>
    <x:sheet xmlns:r="http://schemas.openxmlformats.org/officeDocument/2006/relationships" name="24 Risk Compliance Discovery" sheetId="24" r:id="Rd89d4b70716f43ab"/>
    <x:sheet xmlns:r="http://schemas.openxmlformats.org/officeDocument/2006/relationships" name="25 Commercial Handoff" sheetId="25" r:id="Rbcfc8c13fceb4100"/>
    <x:sheet xmlns:r="http://schemas.openxmlformats.org/officeDocument/2006/relationships" name="26 RFQ Governance" sheetId="26" r:id="Re43878c33866427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6b731a7685547c2" /><Relationship Type="http://schemas.openxmlformats.org/officeDocument/2006/relationships/theme" Target="/xl/theme/theme1.xml" Id="R3f4786c3068a4ba9" /><Relationship Type="http://schemas.openxmlformats.org/officeDocument/2006/relationships/sharedStrings" Target="/xl/sharedStrings.xml" Id="R02b85510fa614ab7" /><Relationship Type="http://schemas.openxmlformats.org/officeDocument/2006/relationships/worksheet" Target="/xl/worksheets/sheet1.xml" Id="R96c22316401340c5" /><Relationship Type="http://schemas.openxmlformats.org/officeDocument/2006/relationships/worksheet" Target="/xl/worksheets/sheet2.xml" Id="R0acf41c0ff2c49c9" /><Relationship Type="http://schemas.openxmlformats.org/officeDocument/2006/relationships/worksheet" Target="/xl/worksheets/sheet3.xml" Id="R195e39e117f1431b" /><Relationship Type="http://schemas.openxmlformats.org/officeDocument/2006/relationships/worksheet" Target="/xl/worksheets/sheet4.xml" Id="R6c9417dbf4324315" /><Relationship Type="http://schemas.openxmlformats.org/officeDocument/2006/relationships/worksheet" Target="/xl/worksheets/sheet5.xml" Id="Reb8d9f96b9ba48f9" /><Relationship Type="http://schemas.openxmlformats.org/officeDocument/2006/relationships/worksheet" Target="/xl/worksheets/sheet6.xml" Id="Re467b1d2b4024780" /><Relationship Type="http://schemas.openxmlformats.org/officeDocument/2006/relationships/worksheet" Target="/xl/worksheets/sheet7.xml" Id="Rd2282774e4484450" /><Relationship Type="http://schemas.openxmlformats.org/officeDocument/2006/relationships/worksheet" Target="/xl/worksheets/sheet8.xml" Id="R82afdfb2f9f44e11" /><Relationship Type="http://schemas.openxmlformats.org/officeDocument/2006/relationships/worksheet" Target="/xl/worksheets/sheet9.xml" Id="R04e8d6f5e0164ab2" /><Relationship Type="http://schemas.openxmlformats.org/officeDocument/2006/relationships/worksheet" Target="/xl/worksheets/sheet10.xml" Id="Raf8816892860443a" /><Relationship Type="http://schemas.openxmlformats.org/officeDocument/2006/relationships/worksheet" Target="/xl/worksheets/sheet11.xml" Id="R9e060465d3a3498d" /><Relationship Type="http://schemas.openxmlformats.org/officeDocument/2006/relationships/worksheet" Target="/xl/worksheets/sheet12.xml" Id="R044e91be8b844e34" /><Relationship Type="http://schemas.openxmlformats.org/officeDocument/2006/relationships/worksheet" Target="/xl/worksheets/sheet13.xml" Id="Rcb1e9ac938304bf3" /><Relationship Type="http://schemas.openxmlformats.org/officeDocument/2006/relationships/worksheet" Target="/xl/worksheets/sheet14.xml" Id="Rb1080f1d60684f02" /><Relationship Type="http://schemas.openxmlformats.org/officeDocument/2006/relationships/worksheet" Target="/xl/worksheets/sheet15.xml" Id="Rf1773ab2019e4877" /><Relationship Type="http://schemas.openxmlformats.org/officeDocument/2006/relationships/worksheet" Target="/xl/worksheets/sheet16.xml" Id="R952e87b63a8d44d4" /><Relationship Type="http://schemas.openxmlformats.org/officeDocument/2006/relationships/worksheet" Target="/xl/worksheets/sheet17.xml" Id="R94eccd5042e3487a" /><Relationship Type="http://schemas.openxmlformats.org/officeDocument/2006/relationships/worksheet" Target="/xl/worksheets/sheet18.xml" Id="R1cef8c8edab345b2" /><Relationship Type="http://schemas.openxmlformats.org/officeDocument/2006/relationships/worksheet" Target="/xl/worksheets/sheet19.xml" Id="Ra6d2de158f0f41f7" /><Relationship Type="http://schemas.openxmlformats.org/officeDocument/2006/relationships/worksheet" Target="/xl/worksheets/sheet20.xml" Id="R89a81634b86540eb" /><Relationship Type="http://schemas.openxmlformats.org/officeDocument/2006/relationships/worksheet" Target="/xl/worksheets/sheet21.xml" Id="R0c136f7ab45948fe" /><Relationship Type="http://schemas.openxmlformats.org/officeDocument/2006/relationships/worksheet" Target="/xl/worksheets/sheet22.xml" Id="Rf3194106d38844b9" /><Relationship Type="http://schemas.openxmlformats.org/officeDocument/2006/relationships/worksheet" Target="/xl/worksheets/sheet23.xml" Id="Rfa71b1e71ea54ff5" /><Relationship Type="http://schemas.openxmlformats.org/officeDocument/2006/relationships/worksheet" Target="/xl/worksheets/sheet24.xml" Id="Rd89d4b70716f43ab" /><Relationship Type="http://schemas.openxmlformats.org/officeDocument/2006/relationships/worksheet" Target="/xl/worksheets/sheet25.xml" Id="Rbcfc8c13fceb4100" /><Relationship Type="http://schemas.openxmlformats.org/officeDocument/2006/relationships/worksheet" Target="/xl/worksheets/sheet26.xml" Id="Re43878c338664277" /></Relationships>
</file>

<file path=xl/drawings/_rels/drawing1.xml.rels>&#65279;<?xml version="1.0" encoding="utf-8"?><Relationships xmlns="http://schemas.openxmlformats.org/package/2006/relationships"><Relationship Type="http://schemas.openxmlformats.org/officeDocument/2006/relationships/chart" Target="/xl/drawings/charts/chart1.xml" Id="Rbea02326743a482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ea02326743a482f"/>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58a4a58950f4fba" /></Relationships>
</file>

<file path=xl/worksheets/_rels/sheet2.xml.rels>&#65279;<?xml version="1.0" encoding="utf-8"?><Relationships xmlns="http://schemas.openxmlformats.org/package/2006/relationships"><Relationship Type="http://schemas.openxmlformats.org/officeDocument/2006/relationships/table" Target="/xl/tables/table2.xml" Id="Rc1a546e89ea94a88" /></Relationships>
</file>

<file path=xl/worksheets/_rels/sheet3.xml.rels>&#65279;<?xml version="1.0" encoding="utf-8"?><Relationships xmlns="http://schemas.openxmlformats.org/package/2006/relationships"><Relationship Type="http://schemas.openxmlformats.org/officeDocument/2006/relationships/drawing" Target="/xl/drawings/drawing1.xml" Id="Ra042fa05629c4192" /></Relationships>
</file>

<file path=xl/worksheets/_rels/sheet4.xml.rels>&#65279;<?xml version="1.0" encoding="utf-8"?><Relationships xmlns="http://schemas.openxmlformats.org/package/2006/relationships"><Relationship Type="http://schemas.openxmlformats.org/officeDocument/2006/relationships/table" Target="/xl/tables/table3.xml" Id="Ra615d854976047eb" /></Relationships>
</file>

<file path=xl/worksheets/_rels/sheet5.xml.rels>&#65279;<?xml version="1.0" encoding="utf-8"?><Relationships xmlns="http://schemas.openxmlformats.org/package/2006/relationships"><Relationship Type="http://schemas.openxmlformats.org/officeDocument/2006/relationships/table" Target="/xl/tables/table4.xml" Id="R6179adbcd2264477" /></Relationships>
</file>

<file path=xl/worksheets/_rels/sheet6.xml.rels>&#65279;<?xml version="1.0" encoding="utf-8"?><Relationships xmlns="http://schemas.openxmlformats.org/package/2006/relationships"><Relationship Type="http://schemas.openxmlformats.org/officeDocument/2006/relationships/table" Target="/xl/tables/table5.xml" Id="Ra8873755aec54dbd" /></Relationships>
</file>

<file path=xl/worksheets/_rels/sheet7.xml.rels>&#65279;<?xml version="1.0" encoding="utf-8"?><Relationships xmlns="http://schemas.openxmlformats.org/package/2006/relationships"><Relationship Type="http://schemas.openxmlformats.org/officeDocument/2006/relationships/table" Target="/xl/tables/table6.xml" Id="Rb9ea736a1bad4690" /></Relationships>
</file>

<file path=xl/worksheets/_rels/sheet9.xml.rels>&#65279;<?xml version="1.0" encoding="utf-8"?><Relationships xmlns="http://schemas.openxmlformats.org/package/2006/relationships"><Relationship Type="http://schemas.openxmlformats.org/officeDocument/2006/relationships/table" Target="/xl/tables/table7.xml" Id="Rb9a726db0fd64612" /></Relationships>
</file>

<file path=xl/worksheets/_rels/sheet10.xml.rels>&#65279;<?xml version="1.0" encoding="utf-8"?><Relationships xmlns="http://schemas.openxmlformats.org/package/2006/relationships"><Relationship Type="http://schemas.openxmlformats.org/officeDocument/2006/relationships/table" Target="/xl/tables/table8.xml" Id="R2f61bb79f63845d4" /></Relationships>
</file>

<file path=xl/worksheets/_rels/sheet11.xml.rels>&#65279;<?xml version="1.0" encoding="utf-8"?><Relationships xmlns="http://schemas.openxmlformats.org/package/2006/relationships"><Relationship Type="http://schemas.openxmlformats.org/officeDocument/2006/relationships/table" Target="/xl/tables/table9.xml" Id="R44f9281dd4514325" /></Relationships>
</file>

<file path=xl/worksheets/_rels/sheet13.xml.rels>&#65279;<?xml version="1.0" encoding="utf-8"?><Relationships xmlns="http://schemas.openxmlformats.org/package/2006/relationships"><Relationship Type="http://schemas.openxmlformats.org/officeDocument/2006/relationships/table" Target="/xl/tables/table10.xml" Id="R780ad3c892794d09" /></Relationships>
</file>

<file path=xl/worksheets/_rels/sheet14.xml.rels>&#65279;<?xml version="1.0" encoding="utf-8"?><Relationships xmlns="http://schemas.openxmlformats.org/package/2006/relationships"><Relationship Type="http://schemas.openxmlformats.org/officeDocument/2006/relationships/table" Target="/xl/tables/table11.xml" Id="Re6b4b1e4c69f4a4e" /></Relationships>
</file>

<file path=xl/worksheets/_rels/sheet15.xml.rels>&#65279;<?xml version="1.0" encoding="utf-8"?><Relationships xmlns="http://schemas.openxmlformats.org/package/2006/relationships"><Relationship Type="http://schemas.openxmlformats.org/officeDocument/2006/relationships/table" Target="/xl/tables/table12.xml" Id="Rdc04e877acac4f1d" /></Relationships>
</file>

<file path=xl/worksheets/_rels/sheet16.xml.rels>&#65279;<?xml version="1.0" encoding="utf-8"?><Relationships xmlns="http://schemas.openxmlformats.org/package/2006/relationships"><Relationship Type="http://schemas.openxmlformats.org/officeDocument/2006/relationships/table" Target="/xl/tables/table13.xml" Id="R648aa61a4bea4577"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658a4a58950f4fba"/>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c1a546e89ea94a88"/>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322</x:v>
      </x:c>
      <x:c r="D6" s="133" t="inlineStr">
        <x:is>
          <x:t xml:space="preserve">G0A — Corporate platform architecture ready</x:t>
        </x:is>
      </x:c>
      <x:c r="E6" s="32" t="str">
        <x:f>'03 Launch Gates'!D20</x:f>
        <x:v>Completed</x:v>
      </x:c>
      <x:c r="G6" t="inlineStr">
        <x:is>
          <x:t xml:space="preserve">UI Tasks Complete</x:t>
        </x:is>
      </x:c>
      <x:c r="H6" t="n">
        <x:f>SUM(B36:B46)</x:f>
        <x:v>100</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0.8773841961852861</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0.8981818181818182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5</x:v>
      </x:c>
      <x:c r="C43" s="162" t="n">
        <x:f>COUNTIFS('01 Master Plan'!C$5:C$383,A43,'01 Master Plan'!H$5:H$383,"In Progress")</x:f>
        <x:v>0</x:v>
      </x:c>
      <x:c r="D43" s="162" t="n">
        <x:f>COUNTIFS('01 Master Plan'!C$5:C$383,A43,'01 Master Plan'!H$5:H$383,"Not Started")</x:f>
        <x:v>5</x:v>
      </x:c>
      <x:c r="E43" s="162" t="n">
        <x:f>COUNTIFS('01 Master Plan'!C$5:C$383,A43,'01 Master Plan'!H$5:H$383,"Blocked")</x:f>
        <x:v>0</x:v>
      </x:c>
      <x:c r="F43" s="162" t="n">
        <x:f>COUNTIFS('01 Master Plan'!C$5:C$383,A43,'01 Master Plan'!H$5:H$383,"Deferred")</x:f>
        <x:v>0</x:v>
      </x:c>
      <x:c r="G43" s="257" t="n">
        <x:f>IFERROR(B43/(B43+C43+D43+E43),0)</x:f>
        <x:v>0.5</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a042fa05629c4192"/>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a615d854976047eb"/>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6179adbcd2264477"/>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a8873755aec54dbd"/>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b9ea736a1bad4690"/>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b9a726db0fd64612"/>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2f61bb79f63845d4"/>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44f9281dd4514325"/>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In Progress</x:v>
      </x:c>
      <x:c r="J11" s="133" t="str">
        <x:v>U6 / Phase 13G IN PROGRESS — 13G-01 through 13G-05 PASS/CLOSED/PUBLISHED. Ask Nexus now has trust boundaries, caller-authorized context, deterministic suggested questions, explicit Guide This Page replay, and safe caller-authorized deep-link metadata routed through the canonical trust policy. Next executable canonical task: 13G-06 Support Why is this flagged? evidence 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780ad3c892794d09"/>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e6b4b1e4c69f4a4e"/>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dc04e877acac4f1d"/>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648aa61a4bea4577"/>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