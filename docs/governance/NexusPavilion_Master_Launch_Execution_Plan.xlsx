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500f9d8a094a18" /></Relationships>
</file>

<file path=xl/workbook.xml><?xml version="1.0" encoding="utf-8"?>
<x:workbook xmlns:x="http://schemas.openxmlformats.org/spreadsheetml/2006/main">
  <x:sheets>
    <x:sheet xmlns:r="http://schemas.openxmlformats.org/officeDocument/2006/relationships" name="01 Master Plan" sheetId="1" r:id="R9aeb9cfe37b44f83"/>
    <x:sheet xmlns:r="http://schemas.openxmlformats.org/officeDocument/2006/relationships" name="03 Launch Gates" sheetId="2" r:id="Ra0ff91f7a44a4549"/>
    <x:sheet xmlns:r="http://schemas.openxmlformats.org/officeDocument/2006/relationships" name="00 Dashboard" sheetId="3" r:id="Rdb170f8728e641ac"/>
    <x:sheet xmlns:r="http://schemas.openxmlformats.org/officeDocument/2006/relationships" name="04 Cursor Tasks" sheetId="4" r:id="R457ff18eaa9e4a8e"/>
    <x:sheet xmlns:r="http://schemas.openxmlformats.org/officeDocument/2006/relationships" name="05 UAT Matrix" sheetId="5" r:id="R4e138dfeb9224cae"/>
    <x:sheet xmlns:r="http://schemas.openxmlformats.org/officeDocument/2006/relationships" name="06 Security Matrix" sheetId="6" r:id="Re717562632ca4d3f"/>
    <x:sheet xmlns:r="http://schemas.openxmlformats.org/officeDocument/2006/relationships" name="07 Risks" sheetId="7" r:id="Rb78be68c860b47dc"/>
    <x:sheet xmlns:r="http://schemas.openxmlformats.org/officeDocument/2006/relationships" name="08 Architecture" sheetId="8" r:id="R32689c1effd44152"/>
    <x:sheet xmlns:r="http://schemas.openxmlformats.org/officeDocument/2006/relationships" name="09 Release Checklist" sheetId="9" r:id="R1705f6cfcd624222"/>
    <x:sheet xmlns:r="http://schemas.openxmlformats.org/officeDocument/2006/relationships" name="10 Change Log" sheetId="10" r:id="Rbcadd2e1381943f5"/>
    <x:sheet xmlns:r="http://schemas.openxmlformats.org/officeDocument/2006/relationships" name="11 Scope &amp; Roadmap" sheetId="11" r:id="R08ad272d2b2247ae"/>
    <x:sheet xmlns:r="http://schemas.openxmlformats.org/officeDocument/2006/relationships" name="12 How to Use" sheetId="12" r:id="R912a5ed28ba74fef"/>
    <x:sheet xmlns:r="http://schemas.openxmlformats.org/officeDocument/2006/relationships" name="13 UI Program" sheetId="13" r:id="R7dcd0090932d4f36"/>
    <x:sheet xmlns:r="http://schemas.openxmlformats.org/officeDocument/2006/relationships" name="14 UI Scorecard" sheetId="14" r:id="R796ede15656d4bd0"/>
    <x:sheet xmlns:r="http://schemas.openxmlformats.org/officeDocument/2006/relationships" name="15 Motion Guidance" sheetId="15" r:id="R8f9c11af26bc4c0b"/>
    <x:sheet xmlns:r="http://schemas.openxmlformats.org/officeDocument/2006/relationships" name="16 Design Standards" sheetId="16" r:id="Rc2754742d42f467b"/>
    <x:sheet xmlns:r="http://schemas.openxmlformats.org/officeDocument/2006/relationships" name="17 Corporate Platform" sheetId="17" r:id="R3b3811a647284b07"/>
    <x:sheet xmlns:r="http://schemas.openxmlformats.org/officeDocument/2006/relationships" name="18 Analytics Reuse Map" sheetId="18" r:id="R528f41d08bf54756"/>
    <x:sheet xmlns:r="http://schemas.openxmlformats.org/officeDocument/2006/relationships" name="19 Executive Insights Discovery" sheetId="19" r:id="Rac8fb98280b7423a"/>
    <x:sheet xmlns:r="http://schemas.openxmlformats.org/officeDocument/2006/relationships" name="20 Procurement Insights Discovery" sheetId="20" r:id="R3da22776354e46d6"/>
    <x:sheet xmlns:r="http://schemas.openxmlformats.org/officeDocument/2006/relationships" name="21 Commercial Insights Discovery" sheetId="21" r:id="Re20e803548e24243"/>
    <x:sheet xmlns:r="http://schemas.openxmlformats.org/officeDocument/2006/relationships" name="22 Project Insights Discovery" sheetId="22" r:id="R52a104d8dbc34cce"/>
    <x:sheet xmlns:r="http://schemas.openxmlformats.org/officeDocument/2006/relationships" name="23 Performance Discovery" sheetId="23" r:id="Rb374d350c3a64bea"/>
    <x:sheet xmlns:r="http://schemas.openxmlformats.org/officeDocument/2006/relationships" name="24 Risk Compliance Discovery" sheetId="24" r:id="R87a7c8d28c14423d"/>
    <x:sheet xmlns:r="http://schemas.openxmlformats.org/officeDocument/2006/relationships" name="25 Commercial Handoff" sheetId="25" r:id="Rb072d079c87841f0"/>
    <x:sheet xmlns:r="http://schemas.openxmlformats.org/officeDocument/2006/relationships" name="26 RFQ Governance" sheetId="26" r:id="R7a284175522f4a1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6274c95d7544a6d" /><Relationship Type="http://schemas.openxmlformats.org/officeDocument/2006/relationships/theme" Target="/xl/theme/theme1.xml" Id="R9fc3c55a3ec8428a" /><Relationship Type="http://schemas.openxmlformats.org/officeDocument/2006/relationships/sharedStrings" Target="/xl/sharedStrings.xml" Id="Rdab57505b633487e" /><Relationship Type="http://schemas.openxmlformats.org/officeDocument/2006/relationships/worksheet" Target="/xl/worksheets/sheet1.xml" Id="R9aeb9cfe37b44f83" /><Relationship Type="http://schemas.openxmlformats.org/officeDocument/2006/relationships/worksheet" Target="/xl/worksheets/sheet2.xml" Id="Ra0ff91f7a44a4549" /><Relationship Type="http://schemas.openxmlformats.org/officeDocument/2006/relationships/worksheet" Target="/xl/worksheets/sheet3.xml" Id="Rdb170f8728e641ac" /><Relationship Type="http://schemas.openxmlformats.org/officeDocument/2006/relationships/worksheet" Target="/xl/worksheets/sheet4.xml" Id="R457ff18eaa9e4a8e" /><Relationship Type="http://schemas.openxmlformats.org/officeDocument/2006/relationships/worksheet" Target="/xl/worksheets/sheet5.xml" Id="R4e138dfeb9224cae" /><Relationship Type="http://schemas.openxmlformats.org/officeDocument/2006/relationships/worksheet" Target="/xl/worksheets/sheet6.xml" Id="Re717562632ca4d3f" /><Relationship Type="http://schemas.openxmlformats.org/officeDocument/2006/relationships/worksheet" Target="/xl/worksheets/sheet7.xml" Id="Rb78be68c860b47dc" /><Relationship Type="http://schemas.openxmlformats.org/officeDocument/2006/relationships/worksheet" Target="/xl/worksheets/sheet8.xml" Id="R32689c1effd44152" /><Relationship Type="http://schemas.openxmlformats.org/officeDocument/2006/relationships/worksheet" Target="/xl/worksheets/sheet9.xml" Id="R1705f6cfcd624222" /><Relationship Type="http://schemas.openxmlformats.org/officeDocument/2006/relationships/worksheet" Target="/xl/worksheets/sheet10.xml" Id="Rbcadd2e1381943f5" /><Relationship Type="http://schemas.openxmlformats.org/officeDocument/2006/relationships/worksheet" Target="/xl/worksheets/sheet11.xml" Id="R08ad272d2b2247ae" /><Relationship Type="http://schemas.openxmlformats.org/officeDocument/2006/relationships/worksheet" Target="/xl/worksheets/sheet12.xml" Id="R912a5ed28ba74fef" /><Relationship Type="http://schemas.openxmlformats.org/officeDocument/2006/relationships/worksheet" Target="/xl/worksheets/sheet13.xml" Id="R7dcd0090932d4f36" /><Relationship Type="http://schemas.openxmlformats.org/officeDocument/2006/relationships/worksheet" Target="/xl/worksheets/sheet14.xml" Id="R796ede15656d4bd0" /><Relationship Type="http://schemas.openxmlformats.org/officeDocument/2006/relationships/worksheet" Target="/xl/worksheets/sheet15.xml" Id="R8f9c11af26bc4c0b" /><Relationship Type="http://schemas.openxmlformats.org/officeDocument/2006/relationships/worksheet" Target="/xl/worksheets/sheet16.xml" Id="Rc2754742d42f467b" /><Relationship Type="http://schemas.openxmlformats.org/officeDocument/2006/relationships/worksheet" Target="/xl/worksheets/sheet17.xml" Id="R3b3811a647284b07" /><Relationship Type="http://schemas.openxmlformats.org/officeDocument/2006/relationships/worksheet" Target="/xl/worksheets/sheet18.xml" Id="R528f41d08bf54756" /><Relationship Type="http://schemas.openxmlformats.org/officeDocument/2006/relationships/worksheet" Target="/xl/worksheets/sheet19.xml" Id="Rac8fb98280b7423a" /><Relationship Type="http://schemas.openxmlformats.org/officeDocument/2006/relationships/worksheet" Target="/xl/worksheets/sheet20.xml" Id="R3da22776354e46d6" /><Relationship Type="http://schemas.openxmlformats.org/officeDocument/2006/relationships/worksheet" Target="/xl/worksheets/sheet21.xml" Id="Re20e803548e24243" /><Relationship Type="http://schemas.openxmlformats.org/officeDocument/2006/relationships/worksheet" Target="/xl/worksheets/sheet22.xml" Id="R52a104d8dbc34cce" /><Relationship Type="http://schemas.openxmlformats.org/officeDocument/2006/relationships/worksheet" Target="/xl/worksheets/sheet23.xml" Id="Rb374d350c3a64bea" /><Relationship Type="http://schemas.openxmlformats.org/officeDocument/2006/relationships/worksheet" Target="/xl/worksheets/sheet24.xml" Id="R87a7c8d28c14423d" /><Relationship Type="http://schemas.openxmlformats.org/officeDocument/2006/relationships/worksheet" Target="/xl/worksheets/sheet25.xml" Id="Rb072d079c87841f0" /><Relationship Type="http://schemas.openxmlformats.org/officeDocument/2006/relationships/worksheet" Target="/xl/worksheets/sheet26.xml" Id="R7a284175522f4a10" /></Relationships>
</file>

<file path=xl/drawings/_rels/drawing1.xml.rels>&#65279;<?xml version="1.0" encoding="utf-8"?><Relationships xmlns="http://schemas.openxmlformats.org/package/2006/relationships"><Relationship Type="http://schemas.openxmlformats.org/officeDocument/2006/relationships/chart" Target="/xl/drawings/charts/chart1.xml" Id="R206c012f39544ca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06c012f39544ca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f64f3bdf2bb49c2" /></Relationships>
</file>

<file path=xl/worksheets/_rels/sheet2.xml.rels>&#65279;<?xml version="1.0" encoding="utf-8"?><Relationships xmlns="http://schemas.openxmlformats.org/package/2006/relationships"><Relationship Type="http://schemas.openxmlformats.org/officeDocument/2006/relationships/table" Target="/xl/tables/table2.xml" Id="Re0d60fe97d4043a4" /></Relationships>
</file>

<file path=xl/worksheets/_rels/sheet3.xml.rels>&#65279;<?xml version="1.0" encoding="utf-8"?><Relationships xmlns="http://schemas.openxmlformats.org/package/2006/relationships"><Relationship Type="http://schemas.openxmlformats.org/officeDocument/2006/relationships/drawing" Target="/xl/drawings/drawing1.xml" Id="Rcec697dad9984352" /></Relationships>
</file>

<file path=xl/worksheets/_rels/sheet4.xml.rels>&#65279;<?xml version="1.0" encoding="utf-8"?><Relationships xmlns="http://schemas.openxmlformats.org/package/2006/relationships"><Relationship Type="http://schemas.openxmlformats.org/officeDocument/2006/relationships/table" Target="/xl/tables/table3.xml" Id="R942b3f9fbd6442ac" /></Relationships>
</file>

<file path=xl/worksheets/_rels/sheet5.xml.rels>&#65279;<?xml version="1.0" encoding="utf-8"?><Relationships xmlns="http://schemas.openxmlformats.org/package/2006/relationships"><Relationship Type="http://schemas.openxmlformats.org/officeDocument/2006/relationships/table" Target="/xl/tables/table4.xml" Id="R2958113d68d345d4" /></Relationships>
</file>

<file path=xl/worksheets/_rels/sheet6.xml.rels>&#65279;<?xml version="1.0" encoding="utf-8"?><Relationships xmlns="http://schemas.openxmlformats.org/package/2006/relationships"><Relationship Type="http://schemas.openxmlformats.org/officeDocument/2006/relationships/table" Target="/xl/tables/table5.xml" Id="R58f01d0bc0ac40d2" /></Relationships>
</file>

<file path=xl/worksheets/_rels/sheet7.xml.rels>&#65279;<?xml version="1.0" encoding="utf-8"?><Relationships xmlns="http://schemas.openxmlformats.org/package/2006/relationships"><Relationship Type="http://schemas.openxmlformats.org/officeDocument/2006/relationships/table" Target="/xl/tables/table6.xml" Id="Rc94fff2595fa41ab" /></Relationships>
</file>

<file path=xl/worksheets/_rels/sheet9.xml.rels>&#65279;<?xml version="1.0" encoding="utf-8"?><Relationships xmlns="http://schemas.openxmlformats.org/package/2006/relationships"><Relationship Type="http://schemas.openxmlformats.org/officeDocument/2006/relationships/table" Target="/xl/tables/table7.xml" Id="R27a4194620e745ed" /></Relationships>
</file>

<file path=xl/worksheets/_rels/sheet10.xml.rels>&#65279;<?xml version="1.0" encoding="utf-8"?><Relationships xmlns="http://schemas.openxmlformats.org/package/2006/relationships"><Relationship Type="http://schemas.openxmlformats.org/officeDocument/2006/relationships/table" Target="/xl/tables/table8.xml" Id="R09093dcbdbe64e32" /></Relationships>
</file>

<file path=xl/worksheets/_rels/sheet11.xml.rels>&#65279;<?xml version="1.0" encoding="utf-8"?><Relationships xmlns="http://schemas.openxmlformats.org/package/2006/relationships"><Relationship Type="http://schemas.openxmlformats.org/officeDocument/2006/relationships/table" Target="/xl/tables/table9.xml" Id="Rab66859123bd4bbe" /></Relationships>
</file>

<file path=xl/worksheets/_rels/sheet13.xml.rels>&#65279;<?xml version="1.0" encoding="utf-8"?><Relationships xmlns="http://schemas.openxmlformats.org/package/2006/relationships"><Relationship Type="http://schemas.openxmlformats.org/officeDocument/2006/relationships/table" Target="/xl/tables/table10.xml" Id="Rb5d1b0f513bf473e" /></Relationships>
</file>

<file path=xl/worksheets/_rels/sheet14.xml.rels>&#65279;<?xml version="1.0" encoding="utf-8"?><Relationships xmlns="http://schemas.openxmlformats.org/package/2006/relationships"><Relationship Type="http://schemas.openxmlformats.org/officeDocument/2006/relationships/table" Target="/xl/tables/table11.xml" Id="R83d40cff4ad14b4b" /></Relationships>
</file>

<file path=xl/worksheets/_rels/sheet15.xml.rels>&#65279;<?xml version="1.0" encoding="utf-8"?><Relationships xmlns="http://schemas.openxmlformats.org/package/2006/relationships"><Relationship Type="http://schemas.openxmlformats.org/officeDocument/2006/relationships/table" Target="/xl/tables/table12.xml" Id="Rd6bebab5d9224319" /></Relationships>
</file>

<file path=xl/worksheets/_rels/sheet16.xml.rels>&#65279;<?xml version="1.0" encoding="utf-8"?><Relationships xmlns="http://schemas.openxmlformats.org/package/2006/relationships"><Relationship Type="http://schemas.openxmlformats.org/officeDocument/2006/relationships/table" Target="/xl/tables/table13.xml" Id="R63001c20d2d4404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f64f3bdf2bb49c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e0d60fe97d4043a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313</x:v>
      </x:c>
      <x:c r="D6" s="133" t="inlineStr">
        <x:is>
          <x:t xml:space="preserve">G0A — Corporate platform architecture ready</x:t>
        </x:is>
      </x:c>
      <x:c r="E6" s="32" t="str">
        <x:f>'03 Launch Gates'!D20</x:f>
        <x:v>Completed</x:v>
      </x:c>
      <x:c r="G6" t="inlineStr">
        <x:is>
          <x:t xml:space="preserve">UI Tasks Complete</x:t>
        </x:is>
      </x:c>
      <x:c r="H6" t="n">
        <x:f>SUM(B36:B46)</x:f>
        <x:v>91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0.8528610354223434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0.8836363636363637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10</x:v>
      </x:c>
      <x:c r="C42" s="133" t="n">
        <x:f>COUNTIFS('01 Master Plan'!C$5:C$383,A42,'01 Master Plan'!H$5:H$383,"In Progress")</x:f>
        <x:v>0</x:v>
      </x:c>
      <x:c r="D42" s="133" t="n">
        <x:f>COUNTIFS('01 Master Plan'!C$5:C$383,A42,'01 Master Plan'!H$5:H$383,"Not Started")</x:f>
        <x:v>4</x:v>
      </x:c>
      <x:c r="E42" s="133" t="n">
        <x:f>COUNTIFS('01 Master Plan'!C$5:C$383,A42,'01 Master Plan'!H$5:H$383,"Blocked")</x:f>
        <x:v>0</x:v>
      </x:c>
      <x:c r="F42" s="133" t="n">
        <x:f>COUNTIFS('01 Master Plan'!C$5:C$383,A42,'01 Master Plan'!H$5:H$383,"Deferred")</x:f>
        <x:v>0</x:v>
      </x:c>
      <x:c r="G42" s="255" t="n">
        <x:f>IFERROR(B42/(B42+C42+D42+E42),0)</x:f>
        <x:v>0.7142857142857143</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ec697dad998435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42b3f9fbd6442a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958113d68d345d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8f01d0bc0ac40d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94fff2595fa41a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7a4194620e745e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9093dcbdbe64e3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b66859123bd4bb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13F-10 PASS/CLOSED/PUBLISHED. Quotation readiness guidance now reuses the shared Guidance Card and is grounded only in existing completeness evidence plus explicit Addendum acknowledgement state; compliance/document readiness is never fabricated. Next executable canonical task: 13F-11 Add evaluation exception guidance.</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13F-10 PASS/CLOSED/PUBLISHED. Quotation readiness guidance now reuses the shared Guidance Card and is grounded only in existing completeness evidence plus explicit Addendum acknowledgement state; compliance/document readiness is never fabricated. Next executable canonical task: 13F-11 Add evaluation exception guidance.</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5d1b0f513bf473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3d40cff4ad14b4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6bebab5d922431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3001c20d2d4404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