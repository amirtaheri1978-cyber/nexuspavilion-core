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8f0f6d93e1a4a6f" /></Relationships>
</file>

<file path=xl/workbook.xml><?xml version="1.0" encoding="utf-8"?>
<x:workbook xmlns:x="http://schemas.openxmlformats.org/spreadsheetml/2006/main">
  <x:sheets>
    <x:sheet xmlns:r="http://schemas.openxmlformats.org/officeDocument/2006/relationships" name="01 Master Plan" sheetId="1" r:id="Ra0c3826d810142f6"/>
    <x:sheet xmlns:r="http://schemas.openxmlformats.org/officeDocument/2006/relationships" name="03 Launch Gates" sheetId="2" r:id="R30ce4c5d622843df"/>
    <x:sheet xmlns:r="http://schemas.openxmlformats.org/officeDocument/2006/relationships" name="00 Dashboard" sheetId="3" r:id="Ra5539b46a1004ab8"/>
    <x:sheet xmlns:r="http://schemas.openxmlformats.org/officeDocument/2006/relationships" name="04 Cursor Tasks" sheetId="4" r:id="R928f658f13cd4c9a"/>
    <x:sheet xmlns:r="http://schemas.openxmlformats.org/officeDocument/2006/relationships" name="05 UAT Matrix" sheetId="5" r:id="R22ddb5e309c04680"/>
    <x:sheet xmlns:r="http://schemas.openxmlformats.org/officeDocument/2006/relationships" name="06 Security Matrix" sheetId="6" r:id="R28441d9068dd4042"/>
    <x:sheet xmlns:r="http://schemas.openxmlformats.org/officeDocument/2006/relationships" name="07 Risks" sheetId="7" r:id="Rc0490dde6e6d4003"/>
    <x:sheet xmlns:r="http://schemas.openxmlformats.org/officeDocument/2006/relationships" name="08 Architecture" sheetId="8" r:id="Rada2af6946374109"/>
    <x:sheet xmlns:r="http://schemas.openxmlformats.org/officeDocument/2006/relationships" name="09 Release Checklist" sheetId="9" r:id="Rcfc6469677e44cb0"/>
    <x:sheet xmlns:r="http://schemas.openxmlformats.org/officeDocument/2006/relationships" name="10 Change Log" sheetId="10" r:id="R7960b0f4c37f4c1d"/>
    <x:sheet xmlns:r="http://schemas.openxmlformats.org/officeDocument/2006/relationships" name="11 Scope &amp; Roadmap" sheetId="11" r:id="R510ee5eff0fc490d"/>
    <x:sheet xmlns:r="http://schemas.openxmlformats.org/officeDocument/2006/relationships" name="12 How to Use" sheetId="12" r:id="R95bfbe543dba4e86"/>
    <x:sheet xmlns:r="http://schemas.openxmlformats.org/officeDocument/2006/relationships" name="13 UI Program" sheetId="13" r:id="Ra334f6ff4132491a"/>
    <x:sheet xmlns:r="http://schemas.openxmlformats.org/officeDocument/2006/relationships" name="14 UI Scorecard" sheetId="14" r:id="R0ea08bb9be724b22"/>
    <x:sheet xmlns:r="http://schemas.openxmlformats.org/officeDocument/2006/relationships" name="15 Motion Guidance" sheetId="15" r:id="Ra13ef70a81a14a3d"/>
    <x:sheet xmlns:r="http://schemas.openxmlformats.org/officeDocument/2006/relationships" name="16 Design Standards" sheetId="16" r:id="R02cf0471d05341ea"/>
    <x:sheet xmlns:r="http://schemas.openxmlformats.org/officeDocument/2006/relationships" name="17 Corporate Platform" sheetId="17" r:id="R32ed5b261ad84641"/>
    <x:sheet xmlns:r="http://schemas.openxmlformats.org/officeDocument/2006/relationships" name="18 Analytics Reuse Map" sheetId="18" r:id="Re4877b1571f54737"/>
    <x:sheet xmlns:r="http://schemas.openxmlformats.org/officeDocument/2006/relationships" name="19 Executive Insights Discovery" sheetId="19" r:id="Rc83f4ada926242d8"/>
    <x:sheet xmlns:r="http://schemas.openxmlformats.org/officeDocument/2006/relationships" name="20 Procurement Insights Discovery" sheetId="20" r:id="Rdc0d7afab3704613"/>
    <x:sheet xmlns:r="http://schemas.openxmlformats.org/officeDocument/2006/relationships" name="21 Commercial Insights Discovery" sheetId="21" r:id="R2b584de7db554741"/>
    <x:sheet xmlns:r="http://schemas.openxmlformats.org/officeDocument/2006/relationships" name="22 Project Insights Discovery" sheetId="22" r:id="R8aadae92f3ac405d"/>
    <x:sheet xmlns:r="http://schemas.openxmlformats.org/officeDocument/2006/relationships" name="23 Performance Discovery" sheetId="23" r:id="Rcf8ce828930b446f"/>
    <x:sheet xmlns:r="http://schemas.openxmlformats.org/officeDocument/2006/relationships" name="24 Risk Compliance Discovery" sheetId="24" r:id="R907165292c404bce"/>
    <x:sheet xmlns:r="http://schemas.openxmlformats.org/officeDocument/2006/relationships" name="25 Commercial Handoff" sheetId="25" r:id="R9bce44fffebb4926"/>
    <x:sheet xmlns:r="http://schemas.openxmlformats.org/officeDocument/2006/relationships" name="26 RFQ Governance" sheetId="26" r:id="R470cfaee1d1c462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cd0a6e9daca4a3d" /><Relationship Type="http://schemas.openxmlformats.org/officeDocument/2006/relationships/theme" Target="/xl/theme/theme1.xml" Id="R4f9bbc94c40e4aa2" /><Relationship Type="http://schemas.openxmlformats.org/officeDocument/2006/relationships/sharedStrings" Target="/xl/sharedStrings.xml" Id="Ra7c4dfc0a751471f" /><Relationship Type="http://schemas.openxmlformats.org/officeDocument/2006/relationships/worksheet" Target="/xl/worksheets/sheet1.xml" Id="Ra0c3826d810142f6" /><Relationship Type="http://schemas.openxmlformats.org/officeDocument/2006/relationships/worksheet" Target="/xl/worksheets/sheet2.xml" Id="R30ce4c5d622843df" /><Relationship Type="http://schemas.openxmlformats.org/officeDocument/2006/relationships/worksheet" Target="/xl/worksheets/sheet3.xml" Id="Ra5539b46a1004ab8" /><Relationship Type="http://schemas.openxmlformats.org/officeDocument/2006/relationships/worksheet" Target="/xl/worksheets/sheet4.xml" Id="R928f658f13cd4c9a" /><Relationship Type="http://schemas.openxmlformats.org/officeDocument/2006/relationships/worksheet" Target="/xl/worksheets/sheet5.xml" Id="R22ddb5e309c04680" /><Relationship Type="http://schemas.openxmlformats.org/officeDocument/2006/relationships/worksheet" Target="/xl/worksheets/sheet6.xml" Id="R28441d9068dd4042" /><Relationship Type="http://schemas.openxmlformats.org/officeDocument/2006/relationships/worksheet" Target="/xl/worksheets/sheet7.xml" Id="Rc0490dde6e6d4003" /><Relationship Type="http://schemas.openxmlformats.org/officeDocument/2006/relationships/worksheet" Target="/xl/worksheets/sheet8.xml" Id="Rada2af6946374109" /><Relationship Type="http://schemas.openxmlformats.org/officeDocument/2006/relationships/worksheet" Target="/xl/worksheets/sheet9.xml" Id="Rcfc6469677e44cb0" /><Relationship Type="http://schemas.openxmlformats.org/officeDocument/2006/relationships/worksheet" Target="/xl/worksheets/sheet10.xml" Id="R7960b0f4c37f4c1d" /><Relationship Type="http://schemas.openxmlformats.org/officeDocument/2006/relationships/worksheet" Target="/xl/worksheets/sheet11.xml" Id="R510ee5eff0fc490d" /><Relationship Type="http://schemas.openxmlformats.org/officeDocument/2006/relationships/worksheet" Target="/xl/worksheets/sheet12.xml" Id="R95bfbe543dba4e86" /><Relationship Type="http://schemas.openxmlformats.org/officeDocument/2006/relationships/worksheet" Target="/xl/worksheets/sheet13.xml" Id="Ra334f6ff4132491a" /><Relationship Type="http://schemas.openxmlformats.org/officeDocument/2006/relationships/worksheet" Target="/xl/worksheets/sheet14.xml" Id="R0ea08bb9be724b22" /><Relationship Type="http://schemas.openxmlformats.org/officeDocument/2006/relationships/worksheet" Target="/xl/worksheets/sheet15.xml" Id="Ra13ef70a81a14a3d" /><Relationship Type="http://schemas.openxmlformats.org/officeDocument/2006/relationships/worksheet" Target="/xl/worksheets/sheet16.xml" Id="R02cf0471d05341ea" /><Relationship Type="http://schemas.openxmlformats.org/officeDocument/2006/relationships/worksheet" Target="/xl/worksheets/sheet17.xml" Id="R32ed5b261ad84641" /><Relationship Type="http://schemas.openxmlformats.org/officeDocument/2006/relationships/worksheet" Target="/xl/worksheets/sheet18.xml" Id="Re4877b1571f54737" /><Relationship Type="http://schemas.openxmlformats.org/officeDocument/2006/relationships/worksheet" Target="/xl/worksheets/sheet19.xml" Id="Rc83f4ada926242d8" /><Relationship Type="http://schemas.openxmlformats.org/officeDocument/2006/relationships/worksheet" Target="/xl/worksheets/sheet20.xml" Id="Rdc0d7afab3704613" /><Relationship Type="http://schemas.openxmlformats.org/officeDocument/2006/relationships/worksheet" Target="/xl/worksheets/sheet21.xml" Id="R2b584de7db554741" /><Relationship Type="http://schemas.openxmlformats.org/officeDocument/2006/relationships/worksheet" Target="/xl/worksheets/sheet22.xml" Id="R8aadae92f3ac405d" /><Relationship Type="http://schemas.openxmlformats.org/officeDocument/2006/relationships/worksheet" Target="/xl/worksheets/sheet23.xml" Id="Rcf8ce828930b446f" /><Relationship Type="http://schemas.openxmlformats.org/officeDocument/2006/relationships/worksheet" Target="/xl/worksheets/sheet24.xml" Id="R907165292c404bce" /><Relationship Type="http://schemas.openxmlformats.org/officeDocument/2006/relationships/worksheet" Target="/xl/worksheets/sheet25.xml" Id="R9bce44fffebb4926" /><Relationship Type="http://schemas.openxmlformats.org/officeDocument/2006/relationships/worksheet" Target="/xl/worksheets/sheet26.xml" Id="R470cfaee1d1c462f" /></Relationships>
</file>

<file path=xl/drawings/_rels/drawing1.xml.rels>&#65279;<?xml version="1.0" encoding="utf-8"?><Relationships xmlns="http://schemas.openxmlformats.org/package/2006/relationships"><Relationship Type="http://schemas.openxmlformats.org/officeDocument/2006/relationships/chart" Target="/xl/drawings/charts/chart1.xml" Id="R9dc28f97ea1d4f3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dc28f97ea1d4f3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1662e570ec74711" /></Relationships>
</file>

<file path=xl/worksheets/_rels/sheet2.xml.rels>&#65279;<?xml version="1.0" encoding="utf-8"?><Relationships xmlns="http://schemas.openxmlformats.org/package/2006/relationships"><Relationship Type="http://schemas.openxmlformats.org/officeDocument/2006/relationships/table" Target="/xl/tables/table2.xml" Id="Ra40c6a748f60413c" /></Relationships>
</file>

<file path=xl/worksheets/_rels/sheet3.xml.rels>&#65279;<?xml version="1.0" encoding="utf-8"?><Relationships xmlns="http://schemas.openxmlformats.org/package/2006/relationships"><Relationship Type="http://schemas.openxmlformats.org/officeDocument/2006/relationships/drawing" Target="/xl/drawings/drawing1.xml" Id="R4bf5ee3ea28b47f3" /></Relationships>
</file>

<file path=xl/worksheets/_rels/sheet4.xml.rels>&#65279;<?xml version="1.0" encoding="utf-8"?><Relationships xmlns="http://schemas.openxmlformats.org/package/2006/relationships"><Relationship Type="http://schemas.openxmlformats.org/officeDocument/2006/relationships/table" Target="/xl/tables/table3.xml" Id="Rf8090bd89b4a4b09" /></Relationships>
</file>

<file path=xl/worksheets/_rels/sheet5.xml.rels>&#65279;<?xml version="1.0" encoding="utf-8"?><Relationships xmlns="http://schemas.openxmlformats.org/package/2006/relationships"><Relationship Type="http://schemas.openxmlformats.org/officeDocument/2006/relationships/table" Target="/xl/tables/table4.xml" Id="Rd341dbd13a414ee0" /></Relationships>
</file>

<file path=xl/worksheets/_rels/sheet6.xml.rels>&#65279;<?xml version="1.0" encoding="utf-8"?><Relationships xmlns="http://schemas.openxmlformats.org/package/2006/relationships"><Relationship Type="http://schemas.openxmlformats.org/officeDocument/2006/relationships/table" Target="/xl/tables/table5.xml" Id="R269b75478a5940b1" /></Relationships>
</file>

<file path=xl/worksheets/_rels/sheet7.xml.rels>&#65279;<?xml version="1.0" encoding="utf-8"?><Relationships xmlns="http://schemas.openxmlformats.org/package/2006/relationships"><Relationship Type="http://schemas.openxmlformats.org/officeDocument/2006/relationships/table" Target="/xl/tables/table6.xml" Id="R67dd6ade0bcc4823" /></Relationships>
</file>

<file path=xl/worksheets/_rels/sheet9.xml.rels>&#65279;<?xml version="1.0" encoding="utf-8"?><Relationships xmlns="http://schemas.openxmlformats.org/package/2006/relationships"><Relationship Type="http://schemas.openxmlformats.org/officeDocument/2006/relationships/table" Target="/xl/tables/table7.xml" Id="R55ef7d1c67ee47f4" /></Relationships>
</file>

<file path=xl/worksheets/_rels/sheet10.xml.rels>&#65279;<?xml version="1.0" encoding="utf-8"?><Relationships xmlns="http://schemas.openxmlformats.org/package/2006/relationships"><Relationship Type="http://schemas.openxmlformats.org/officeDocument/2006/relationships/table" Target="/xl/tables/table8.xml" Id="R929c9439235e44af" /></Relationships>
</file>

<file path=xl/worksheets/_rels/sheet11.xml.rels>&#65279;<?xml version="1.0" encoding="utf-8"?><Relationships xmlns="http://schemas.openxmlformats.org/package/2006/relationships"><Relationship Type="http://schemas.openxmlformats.org/officeDocument/2006/relationships/table" Target="/xl/tables/table9.xml" Id="R0b09b0d360064579" /></Relationships>
</file>

<file path=xl/worksheets/_rels/sheet13.xml.rels>&#65279;<?xml version="1.0" encoding="utf-8"?><Relationships xmlns="http://schemas.openxmlformats.org/package/2006/relationships"><Relationship Type="http://schemas.openxmlformats.org/officeDocument/2006/relationships/table" Target="/xl/tables/table10.xml" Id="Rdc27bc90dabe453f" /></Relationships>
</file>

<file path=xl/worksheets/_rels/sheet14.xml.rels>&#65279;<?xml version="1.0" encoding="utf-8"?><Relationships xmlns="http://schemas.openxmlformats.org/package/2006/relationships"><Relationship Type="http://schemas.openxmlformats.org/officeDocument/2006/relationships/table" Target="/xl/tables/table11.xml" Id="R877951c9d3b1450e" /></Relationships>
</file>

<file path=xl/worksheets/_rels/sheet15.xml.rels>&#65279;<?xml version="1.0" encoding="utf-8"?><Relationships xmlns="http://schemas.openxmlformats.org/package/2006/relationships"><Relationship Type="http://schemas.openxmlformats.org/officeDocument/2006/relationships/table" Target="/xl/tables/table12.xml" Id="R988fa5544b474c86" /></Relationships>
</file>

<file path=xl/worksheets/_rels/sheet16.xml.rels>&#65279;<?xml version="1.0" encoding="utf-8"?><Relationships xmlns="http://schemas.openxmlformats.org/package/2006/relationships"><Relationship Type="http://schemas.openxmlformats.org/officeDocument/2006/relationships/table" Target="/xl/tables/table13.xml" Id="Re378ec41775b4a42"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v>✓</x:v>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str">
        <x:v>Completed</x:v>
      </x:c>
      <x:c r="I331" s="133" t="str">
        <x:v>Project Owner / Product / Engineering</x:v>
      </x:c>
      <x:c r="J331" s="133" t="str"/>
      <x:c r="K331" s="133" t="inlineStr">
        <x:is>
          <x:t xml:space="preserve">13H-20</x:t>
        </x:is>
      </x:c>
      <x:c r="L331" s="133" t="str"/>
      <x:c r="M331" s="133" t="str">
        <x:v>PASS / CORE UI RESCORE CLOSED WITH EXPLICIT ISSUER-SURFACE WAIVER — The user explicitly authorized skipping the three remaining issuer-only surfaces that could not be verified without a legitimate issuer-owned RFQ: Market Engagement &amp; Publishing, Issuer RFI/Addenda Management, and Evaluation &amp; Award. No synthetic scores were assigned; these surfaces remain documented as intentionally unverified/waived for this gate.</x:v>
      </x:c>
      <x:c r="N331" s="249" t="n"/>
      <x:c r="O331" s="249" t="n">
        <x:v>46297</x:v>
      </x:c>
      <x:c r="P331" s="135" t="str">
        <x:v>13I-01 closed from the verified 17-surface score matrix plus explicit user authorization to waive the three issuer-only surfaces. Verified scores: Executive Overview 9.1; Procurement Center Landing 9.2 provisional/respondent-context; RFQ Drafting &amp; Configuration 9.4; Respondent RFQ Review &amp; Scoping 9.3; Respondent RFI/Addenda 9.4; Quote/Proposal Preparation 9.4; Submission &amp; Award Tracking 9.5; Activity Center 9.4; Project Portfolio 9.5; Company Network 9.3; Strategic Insights 9.4; Identity &amp; Profile 9.6; Team &amp; Access 9.5; Capabilities &amp; Qualifications 9.5; Compliance &amp; Documents 9.5; Policies &amp; Approvals 9.5; Integrations &amp; Settings 9.5. Three issuer-only surfaces remain intentionally unscored; no score was fabricated and the waiver does not constitute evidence that those surfaces meet 9.0 or 9.5 thresholds. The acknowledgement-state launch defect discovered during scoring was remediated and published at ffc784b7bc5c32e032ebc1888480667c78c2bb88. Next canonical task: 13I-02 — Require no critical page below 9.0.</x:v>
      </x:c>
    </x:row>
    <x:row r="332">
      <x:c r="A332" s="133" t="str">
        <x:v>✓</x:v>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str">
        <x:v>Completed</x:v>
      </x:c>
      <x:c r="I332" s="133" t="str">
        <x:v>Project Owner / Product / Engineering</x:v>
      </x:c>
      <x:c r="J332" s="133" t="str"/>
      <x:c r="K332" s="133" t="inlineStr">
        <x:is>
          <x:t xml:space="preserve">13I-01</x:t>
        </x:is>
      </x:c>
      <x:c r="L332" s="133" t="str"/>
      <x:c r="M332" s="133" t="str">
        <x:v>PASS / NO VERIFIED CRITICAL PAGE BELOW 9.0 — Across all 17 scored/verified core surfaces, the minimum weighted score is 9.1. The three issuer-only surfaces are excluded from this gate by explicit user waiver and remain unscored, not treated as passing evidence.</x:v>
      </x:c>
      <x:c r="N332" s="249" t="n"/>
      <x:c r="O332" s="249" t="n">
        <x:v>46297</x:v>
      </x:c>
      <x:c r="P332" s="135" t="str">
        <x:v>Evidence: minimum verified core-page score is Executive Overview at 9.1/10. No verified/scored core page remains below the 9.0 UI sign-off threshold after the closed-addendum acknowledgement remediation. Authorized skip applies only to the three unavailable issuer-only surfaces; they are not assigned passing scores and remain an explicit evidence limitation. Next canonical task: 13I-03 — Target overall core-page average ≥ 9.5.</x:v>
      </x:c>
    </x:row>
    <x:row r="333">
      <x:c r="A333" s="133" t="str">
        <x:v>✓</x:v>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str">
        <x:v>Average weighted UI score across verified core pages is at least 9.4/10, per explicit user-approved threshold revision.</x:v>
      </x:c>
      <x:c r="G333" s="133" t="inlineStr">
        <x:is>
          <x:t xml:space="preserve">P0</x:t>
        </x:is>
      </x:c>
      <x:c r="H333" s="133" t="str">
        <x:v>Completed</x:v>
      </x:c>
      <x:c r="I333" s="133" t="str">
        <x:v>Project Owner / Product / Engineering</x:v>
      </x:c>
      <x:c r="J333" s="133" t="str"/>
      <x:c r="K333" s="133" t="inlineStr">
        <x:is>
          <x:t xml:space="preserve">13I-01</x:t>
        </x:is>
      </x:c>
      <x:c r="L333" s="133" t="str"/>
      <x:c r="M333" s="133" t="str">
        <x:v>PASS / VERIFIED CORE-PAGE AVERAGE ≥ 9.4 — The user explicitly approved 9.4 as the acceptable overall average threshold for 13I-03. The 17 verified/scored core surfaces average approximately 9.41/10. Three issuer-only surfaces remain waived/unscored and are not included as passing evidence.</x:v>
      </x:c>
      <x:c r="N333" s="249" t="n"/>
      <x:c r="O333" s="249" t="n">
        <x:v>46297</x:v>
      </x:c>
      <x:c r="P333" s="135" t="str">
        <x:v>Requirement change recorded explicitly: 13I-03 overall average target revised from ≥9.5 to ≥9.4. This does not change 13I-02: no verified critical page may be below 9.0. Verified matrix average is approximately 9.41/10 across 17 scored surfaces, therefore the revised threshold is met. Issuer-only Market Engagement &amp; Publishing, Issuer RFI/Addenda Management, and Evaluation &amp; Award remain authorized-waiver/unscored surfaces and are excluded from the computed average rather than assigned synthetic values. Next canonical task: 13I-04 — Run dark-mode consistency audit.</x:v>
      </x:c>
    </x:row>
    <x:row r="334">
      <x:c r="A334" s="133" t="str">
        <x:v>✓</x:v>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str">
        <x:v>Completed</x:v>
      </x:c>
      <x:c r="I334" s="133" t="str">
        <x:v>Project Owner / Product / Engineering</x:v>
      </x:c>
      <x:c r="J334" s="133" t="str"/>
      <x:c r="K334" s="133" t="inlineStr">
        <x:is>
          <x:t xml:space="preserve">13I-01</x:t>
        </x:is>
      </x:c>
      <x:c r="L334" s="133" t="str"/>
      <x:c r="M334" s="133" t="str">
        <x:v>PASS / DARK-MODE CONSISTENCY AUDIT — Evidence-only closeout. Representative authenticated surfaces across Dashboard, Procurement Center, RFQ Drafting, Respondent RFQ Workspace, Activity Center, Strategic Insights, Project Portfolio, and Workspace Settings were verified at desktop/tablet/mobile with no conflicting dark-surface language, semantic status-color conflicts, CTA hierarchy conflicts, typography-system conflicts, or mobile light-surface leaks.</x:v>
      </x:c>
      <x:c r="N334" s="249" t="n"/>
      <x:c r="O334" s="249" t="n">
        <x:v>46297</x:v>
      </x:c>
      <x:c r="P334" s="135" t="str">
        <x:v>Read-only audit on canonical HEAD 6781f1e59ce5a8885c3e32830e096860bc3ac1d7 using isolated clean worktree C:\Users\amirt\Documents\nexuspavilion-13i-04. All eight representative authenticated surfaces PASS at 1440/1024/390. Body background remained consistently #07111F / rgb(7,17,31) where measured. No P0, P1, or actionable P2 dark-mode findings were identified. No conflicting surface language, semantic status colors, CTA hierarchy, typography-system conflicts, obvious contrast blockers, or mobile dark-surface defects were observed. Activity Center retains some cyan-300/raw gold class aliases, but these produced no visible inconsistency and therefore do not justify reopening the closed surface. No files changed. Main dirty repository untouched. Next canonical task: 13I-05 — Run motion consistency and annoyance audit.</x:v>
      </x:c>
    </x:row>
    <x:row r="335">
      <x:c r="A335" s="133" t="str">
        <x:v>✓</x:v>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str">
        <x:v>Completed</x:v>
      </x:c>
      <x:c r="I335" s="133" t="str">
        <x:v>Project Owner / Product / Engineering</x:v>
      </x:c>
      <x:c r="J335" s="133" t="str"/>
      <x:c r="K335" s="133" t="inlineStr">
        <x:is>
          <x:t xml:space="preserve">13I-01</x:t>
        </x:is>
      </x:c>
      <x:c r="L335" s="133" t="str"/>
      <x:c r="M335" s="133" t="str">
        <x:v>PASS / MOTION CONSISTENCY AND ANNOYANCE AUDIT — Evidence-only closeout. Representative authenticated surfaces were verified at desktop/tablet/mobile with no excessive continuous animation, repeated popup/toast annoyance, motion-related layout shifts, performance issues, or mobile motion defects.</x:v>
      </x:c>
      <x:c r="N335" s="249" t="n"/>
      <x:c r="O335" s="249" t="n">
        <x:v>46297</x:v>
      </x:c>
      <x:c r="P335" s="135" t="str">
        <x:v>Read-only audit on canonical HEAD 86534b5c1442a654b39f5802578442d3f088901d using isolated clean worktree C:\Users\amirt\Documents\nexuspavilion-13i-05. Across Executive Overview, Procurement Center, RFQ Drafting, Respondent RFQ Workspace, Quote/Proposal Preparation, Activity Center, Strategic Insights, and Workspace Settings, steady-state pages showed zero infinite CSS animations. No P0 or P1 findings were identified. One P2 finding remains: Strategic Insights export action cards use hover:-translate-y-1 without a reduced-motion guard; a latent animate-ping in CEO action center also lacks a reduced-motion guard but was not active in the current insufficient-data state. These are non-blocking for 13I-05 and should be explicitly checked under 13I-06 motion/accessibility regression rather than reopening completed surfaces now. No files changed. Main dirty repository untouched. Next canonical task: 13I-06 — Run motion/accessibility regression.</x:v>
      </x:c>
    </x:row>
    <x:row r="336">
      <x:c r="A336" s="133" t="str">
        <x:v>✓</x:v>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str">
        <x:v>Completed</x:v>
      </x:c>
      <x:c r="I336" s="133" t="str">
        <x:v>Project Owner / Product / Engineering</x:v>
      </x:c>
      <x:c r="J336" s="133" t="str"/>
      <x:c r="K336" s="133" t="inlineStr">
        <x:is>
          <x:t xml:space="preserve">13I-01</x:t>
        </x:is>
      </x:c>
      <x:c r="L336" s="133" t="inlineStr">
        <x:is>
          <x:t xml:space="preserve">G10</x:t>
        </x:is>
      </x:c>
      <x:c r="M336" s="133" t="str">
        <x:v>PASS / MOTION &amp; ACCESSIBILITY REGRESSION — Evidence-only closeout. Representative authenticated surfaces passed reduced-motion, keyboard navigation, focus visibility, labels/semantics, observable contrast, and responsive accessibility checks with no P0/P1 accessibility defects.</x:v>
      </x:c>
      <x:c r="N336" s="249" t="n"/>
      <x:c r="O336" s="249" t="n">
        <x:v>46297</x:v>
      </x:c>
      <x:c r="P336" s="135" t="str">
        <x:v>Read-only audit on canonical HEAD 0c9663ba0f0826a5564e27dbe643941ba460f5cc using isolated clean worktree C:\Users\amirt\Documents\nexuspavilion-13i-06. prefers-reduced-motion: reduce was confirmed active; global globals.css guards suppress animation-name and transition-property under reduced motion. Executive Overview, Procurement Center, RFQ Drafting, Respondent RFQ Workspace, Quote/Proposal Preparation, Activity Center, Strategic Insights, and Workspace Settings all PASS across reduced motion, keyboard, focus, labels/semantics, contrast observation, and responsive accessibility. Closed Addendum accessibility regression PASS: Acknowledgement Status: Closed, explicit closed-window copy, historical Unacknowledged state retained, no Acknowledge control, and status is not color-only. No keyboard traps, unreachable critical controls, focus visibility defects, label/semantic defects, obvious contrast blockers, material reduced-motion defects, or mobile accessibility defects were found. One P2 remains: Analytics export cards retain hover:-translate-y-1 without a local motion-reduce utility, but global reduced-motion CSS suppresses transitions and no information is lost. CEO Action Center animate-ping is globally suppressed under reduced-motion and is not a current P0/P1. No files changed. Main dirty repository untouched. Next canonical task: 13I-07 — Run UI performance regression.</x:v>
      </x:c>
    </x:row>
    <x:row r="337">
      <x:c r="A337" s="133" t="str">
        <x:v>✓</x:v>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str">
        <x:v>Completed</x:v>
      </x:c>
      <x:c r="I337" s="133" t="str">
        <x:v>Project Owner / Product / Engineering</x:v>
      </x:c>
      <x:c r="J337" s="133" t="str"/>
      <x:c r="K337" s="133" t="inlineStr">
        <x:is>
          <x:t xml:space="preserve">13I-01</x:t>
        </x:is>
      </x:c>
      <x:c r="L337" s="133" t="inlineStr">
        <x:is>
          <x:t xml:space="preserve">G10</x:t>
        </x:is>
      </x:c>
      <x:c r="M337" s="133" t="str">
        <x:v>PASS / UI PERFORMANCE REGRESSION — Evidence-only closeout. Representative authenticated surfaces passed production-build load, interaction responsiveness, layout stability, motion/help impact, and responsive performance checks with no P0/P1 performance regressions.</x:v>
      </x:c>
      <x:c r="N337" s="249" t="n"/>
      <x:c r="O337" s="249" t="n">
        <x:v>46297</x:v>
      </x:c>
      <x:c r="P337" s="135" t="str">
        <x:v>Read-only audit on canonical HEAD f2f8f0e29d78bbcc0446bf17f23b774cfdec7781 using isolated clean worktree C:\Users\amirt\Documents\nexuspavilion-13i-07 and production next start on :3045. Executive Overview, Procurement Center, RFQ Drafting, Respondent RFQ Workspace, Quote/Proposal Preparation, Activity Center, Strategic Insights, and Workspace Settings all PASS at 1440/1024/390 for initial usability, interaction responsiveness, layout stability, and motion/help impact. No persistent UI freezes, material input lag, material scroll jank, repeated request loops, major content layout shifts, motion-related performance degradation, help-panel performance degradation, or console/runtime performance regressions were observed. Measured examples included DCL approximately 0.4–0.9s on Dashboard, short longtasks only (~83ms max observed), RFQ Drafting typing approximately 0–0.3ms/key, and Workspace Settings typing approximately 0.2ms average. Two P2 observations remain non-blocking: Strategic Insights is DOM-heavy (~2.2–2.4k nodes / ~22k scroll height) but showed zero longtasks during scroll; Next.js hover/link RSC prefetches produced short repeated fetches without responsiveness degradation. Sidebar/menu expansion can inflate CLS when intentionally toggled, but no major content instability was observed during normal route load. No files changed. Main dirty repository untouched. Next canonical task: 13I-08 — Verify logo/footer/brand consistency.</x:v>
      </x:c>
    </x:row>
    <x:row r="338">
      <x:c r="A338" s="133" t="str">
        <x:v>✓</x:v>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str">
        <x:v>Completed</x:v>
      </x:c>
      <x:c r="I338" s="133" t="str">
        <x:v>Project Owner / Product / Engineering</x:v>
      </x:c>
      <x:c r="J338" s="133" t="str"/>
      <x:c r="K338" s="133" t="inlineStr">
        <x:is>
          <x:t xml:space="preserve">13I-01</x:t>
        </x:is>
      </x:c>
      <x:c r="L338" s="133" t="str"/>
      <x:c r="M338" s="133" t="str">
        <x:v>PASS / LOGO, FOOTER &amp; BRAND CONSISTENCY — Evidence-only closeout. Canonical logo assets/components, authenticated sidebar/topbar, collapsed/mobile branding, footer attribution, and parent/product naming were verified across representative authenticated surfaces with no P0/P1/P2 brand inconsistencies.</x:v>
      </x:c>
      <x:c r="N338" s="249" t="n"/>
      <x:c r="O338" s="249" t="n">
        <x:v>46297</x:v>
      </x:c>
      <x:c r="P338" s="135" t="str">
        <x:v>Read-only audit on canonical HEAD 283f35e5031490652b4f644367694632f2f590bd using isolated clean worktree C:\Users\amirt\Documents\nexuspavilion-13i-08. Canonical branding uses src/components/branding/nexus-pavilion-logo.tsx with /public/branding/logo-horizontal-1024.png for expanded sidebar and /public/branding/logo-icon-512.png for collapsed/mobile/topbar. Authenticated attribution is provided by src/components/application-footer.tsx within src/components/app-shell.tsx. Executive Overview, Procurement Center, RFQ Drafting, Respondent RFQ Workspace, Activity Center, Strategic Insights, Project Portfolio, and Workspace Settings all PASS at desktop/tablet/mobile. Authenticated footer copy consistently presents 'Intelligent Procurement · A Nexus Pavilion Inc. product' with Privacy/Terms/Support. Corporate parent/product separation PASS; no rejected product-name references; no personal Gmail exposed in audited authenticated branding; no wrong/recreated logo, distortion, clipping, or footer inconsistency observed. A member profile may display a user's Gmail address, but this is user identity data rather than corporate/product branding attribution and is not a defect under this task. No files changed. Main dirty repository untouched. Next canonical task: 13I-09 — Capture final representative screenshots.</x:v>
      </x:c>
    </x:row>
    <x:row r="339">
      <x:c r="A339" s="133" t="str">
        <x:v>✓</x:v>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str">
        <x:v>Completed</x:v>
      </x:c>
      <x:c r="I339" s="133" t="str">
        <x:v>Project Owner / Product / Engineering</x:v>
      </x:c>
      <x:c r="J339" s="133" t="str"/>
      <x:c r="K339" s="133" t="inlineStr">
        <x:is>
          <x:t xml:space="preserve">13I-03</x:t>
        </x:is>
      </x:c>
      <x:c r="L339" s="133" t="inlineStr">
        <x:is>
          <x:t xml:space="preserve">G12</x:t>
        </x:is>
      </x:c>
      <x:c r="M339" s="133" t="str">
        <x:v>PASS / FINAL REPRESENTATIVE SCREENSHOT CAPTURE — Evidence-only closeout. Sixteen screenshots were captured from the canonical production build: eight desktop and eight true 390 CSS-pixel mobile views across the representative authenticated surfaces. All images passed visual review with no P0/P1 screenshot defects.</x:v>
      </x:c>
      <x:c r="N339" s="249" t="n"/>
      <x:c r="O339" s="249" t="n">
        <x:v>46297</x:v>
      </x:c>
      <x:c r="P339" s="135" t="str">
        <x:v>Read-only capture on canonical HEAD 196cbf7e8b52d8bc862108ed776d44b069fd0317 using isolated clean worktree C:\Users\amirt\Documents\nexuspavilion-13i-09. Evidence directory: C:\Users\amirt\Documents\nexuspavilion-13i-09-evidence. Captured 16 screenshots total: 8 desktop at 2880x1620 representing 1440 CSS @2x and 8 mobile at 780x1620 representing 390 CSS @2x. Routes: Executive Overview, Procurement Center, RFQ Drafting, Respondent RFQ Workspace, Activity Center, Strategic Insights, Project Portfolio, Workspace Settings. All 16 were classified INTERNAL EVIDENCE ONLY because the live authenticated state contains company identity, commercial context, draft/UAT/internal procurement data, or other non-marketing-safe production evidence. No secrets, tokens, environment variables, or inappropriate contact leakage were exposed. Three P2 observations only: mobile company-name truncation is expected responsive behavior; Harbor Point source data contains 'Developmet' typo; Activity/RFQ surfaces include real UAT/test addendum titles. Logo consistency, brand separation, dark-mode consistency, responsive presentation, and confidentiality review all PASS. No files changed. Main dirty repository untouched. Next canonical task: 13I-10 — Enterprise Experience sign-off.</x:v>
      </x:c>
    </x:row>
    <x:row r="340">
      <x:c r="A340" s="136" t="str">
        <x:v>✓</x:v>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str">
        <x:v>Completed</x:v>
      </x:c>
      <x:c r="I340" s="136" t="str">
        <x:v>Project Owner / Product / Engineering</x:v>
      </x:c>
      <x:c r="J340" s="136" t="str"/>
      <x:c r="K340" s="136" t="inlineStr">
        <x:is>
          <x:t xml:space="preserve">13I-09</x:t>
        </x:is>
      </x:c>
      <x:c r="L340" s="136" t="inlineStr">
        <x:is>
          <x:t xml:space="preserve">G10A</x:t>
        </x:is>
      </x:c>
      <x:c r="M340" s="136" t="str">
        <x:v>PASS / ENTERPRISE EXPERIENCE SIGN-OFF — Phase 13I evidence reviewed and accepted. 13I-01 through 13I-09 are closed under their documented evidence boundaries; verified minimum is 9.1/10, verified 17-surface average is approximately 9.41/10 against the explicitly approved &gt;=9.4 threshold, and no unresolved P0/P1 enterprise-experience defect remains.</x:v>
      </x:c>
      <x:c r="N340" s="251" t="n"/>
      <x:c r="O340" s="251" t="n">
        <x:v>46297</x:v>
      </x:c>
      <x:c r="P340" s="138" t="str">
        <x:v>13I-10 final sign-off reviewed on canonical HEAD 05851fc487b3c9a6a6aecb76aae755229802abf8 using isolated clean worktree C:\Users\amirt\Documents\nexuspavilion-13i-10. Visual quality, motion discipline, accessibility, performance, responsive behavior, brand consistency, procurement truthfulness/governance, and screenshot/evidence integrity all PASS. Three issuer-only surfaces remain explicitly waived/unscored; no synthetic scores were assigned. Known P2 observations remain non-blocking. This closes Phase 13I only and does NOT grant Production Go/No-Go. G13 remains independently blocked. G10A may now close because its explicit pending condition—completion of 13I-01 through 13I-10—is satisfied.</x:v>
      </x:c>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1662e570ec7471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Completed</x:v>
      </x:c>
      <x:c r="E19" t="str">
        <x:v>Project Owner / Product / Engineering</x:v>
      </x:c>
      <x:c r="F19" t="str">
        <x:v>G10A CLOSED — Enterprise UI &amp; guidance evidence is complete. Shared dark-first executive design foundation and authenticated shell are established; 13I-01 through 13I-10 are Completed. Final verified score matrix contains 17 scored core surfaces with minimum 9.1/10 and average approximately 9.41/10 against the explicitly approved &gt;=9.4 threshold; three issuer-only surfaces remain authorized-waiver/unscored with no synthetic values. Dark-mode consistency, motion consistency/annoyance, reduced-motion/accessibility, UI performance, canonical logo/footer/brand separation, and final representative screenshot evidence all PASS with no unresolved P0/P1 enterprise-experience defect.</x:v>
      </x:c>
      <x:c r="G19" s="252" t="n">
        <x:v>46297</x:v>
      </x:c>
      <x:c r="H19" t="str">
        <x:v>G10A CLOSED by Enterprise Experience sign-off at 13I-10. This certifies enterprise UI/guidance readiness only. It does not close G7 or G13 and does not authorize Production cutover. Next canonical evidence task: reconcile G7 Intelligence permissions because its recorded blockers 13G-02 and 13G-08 are now Completed/Published, while the gate ledger remains In Progress.</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a40c6a748f60413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357</x:v>
      </x:c>
      <x:c r="D6" s="133" t="inlineStr">
        <x:is>
          <x:t xml:space="preserve">G0A — Corporate platform architecture ready</x:t>
        </x:is>
      </x:c>
      <x:c r="E6" s="32" t="str">
        <x:f>'03 Launch Gates'!D20</x:f>
        <x:v>Completed</x:v>
      </x:c>
      <x:c r="G6" t="inlineStr">
        <x:is>
          <x:t xml:space="preserve">UI Tasks Complete</x:t>
        </x:is>
      </x:c>
      <x:c r="H6" t="n">
        <x:f>SUM(B36:B46)</x:f>
        <x:v>135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0.9727520435967303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0.9818181818181818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14</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Completed</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10</x:v>
      </x:c>
      <x:c r="C45" s="28" t="n">
        <x:f>COUNTIFS('01 Master Plan'!C$5:C$383,A45,'01 Master Plan'!H$5:H$383,"In Progress")</x:f>
        <x:v>0</x:v>
      </x:c>
      <x:c r="D45" s="28" t="n">
        <x:f>COUNTIFS('01 Master Plan'!C$5:C$383,A45,'01 Master Plan'!H$5:H$383,"Not Started")</x:f>
        <x:v>0</x:v>
      </x:c>
      <x:c r="E45" s="28" t="n">
        <x:f>COUNTIFS('01 Master Plan'!C$5:C$383,A45,'01 Master Plan'!H$5:H$383,"Blocked")</x:f>
        <x:v>0</x:v>
      </x:c>
      <x:c r="F45" s="28" t="n">
        <x:f>COUNTIFS('01 Master Plan'!C$5:C$383,A45,'01 Master Plan'!H$5:H$383,"Deferred")</x:f>
        <x:v>0</x:v>
      </x:c>
      <x:c r="G45" s="258" t="n">
        <x:f>IFERROR(B45/(B45+C45+D45+E45),0)</x:f>
        <x:v>1</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4bf5ee3ea28b47f3"/>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8090bd89b4a4b0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341dbd13a414ee0"/>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269b75478a5940b1"/>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7dd6ade0bcc482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str">
        <x:v>Completed</x:v>
      </x:c>
      <x:c r="E28" t="str">
        <x:v>Project Owner / Product / Engineering</x:v>
      </x:c>
      <x:c r="F28" t="str">
        <x:v>13I-04/13I-08 evidence confirms dark-first semantic design system and shared components are consistently rendered across representative authenticated surfaces.</x:v>
      </x:c>
      <x:c r="G28" t="inlineStr">
        <x:is>
          <x:t xml:space="preserve">G10A</x:t>
        </x:is>
      </x:c>
      <x:c r="H28" s="252" t="n">
        <x:v>46297</x:v>
      </x:c>
    </x:row>
    <x:row r="29">
      <x:c r="A29" t="inlineStr">
        <x:is>
          <x:t xml:space="preserve">Experience</x:t>
        </x:is>
      </x:c>
      <x:c r="B29" t="inlineStr">
        <x:is>
          <x:t xml:space="preserve">Authenticated Workspace Shell/sidebar/context header/footer consistent</x:t>
        </x:is>
      </x:c>
      <x:c r="C29" t="inlineStr">
        <x:is>
          <x:t xml:space="preserve">P0</x:t>
        </x:is>
      </x:c>
      <x:c r="D29" t="str">
        <x:v>Completed</x:v>
      </x:c>
      <x:c r="E29" t="str">
        <x:v>Project Owner / Product / Engineering</x:v>
      </x:c>
      <x:c r="F29" t="str">
        <x:v>13I-08 confirms authenticated sidebar/topbar/mobile shell and ApplicationFooter branding/attribution consistency across representative routes.</x:v>
      </x:c>
      <x:c r="G29" t="inlineStr">
        <x:is>
          <x:t xml:space="preserve">G10A</x:t>
        </x:is>
      </x:c>
      <x:c r="H29" s="252" t="n">
        <x:v>46297</x:v>
      </x:c>
    </x:row>
    <x:row r="30">
      <x:c r="A30" t="inlineStr">
        <x:is>
          <x:t xml:space="preserve">Experience</x:t>
        </x:is>
      </x:c>
      <x:c r="B30" t="str">
        <x:v>Core page weighted UI average ≥ 9.4 (approved revision)</x:v>
      </x:c>
      <x:c r="C30" t="inlineStr">
        <x:is>
          <x:t xml:space="preserve">P0</x:t>
        </x:is>
      </x:c>
      <x:c r="D30" t="str">
        <x:v>Completed</x:v>
      </x:c>
      <x:c r="E30" t="str">
        <x:v>Project Owner / Product / Engineering</x:v>
      </x:c>
      <x:c r="F30" t="str">
        <x:v>Approved threshold revised from &gt;=9.5 to &gt;=9.4 by explicit Project Owner decision; 17 verified core surfaces average approximately 9.41/10. Three issuer-only surfaces remain waived/unscored.</x:v>
      </x:c>
      <x:c r="G30" t="inlineStr">
        <x:is>
          <x:t xml:space="preserve">G10A</x:t>
        </x:is>
      </x:c>
      <x:c r="H30" s="252" t="n">
        <x:v>46297</x:v>
      </x:c>
    </x:row>
    <x:row r="31">
      <x:c r="A31" t="inlineStr">
        <x:is>
          <x:t xml:space="preserve">Experience</x:t>
        </x:is>
      </x:c>
      <x:c r="B31" t="inlineStr">
        <x:is>
          <x:t xml:space="preserve">No launch-critical page below 9.0</x:t>
        </x:is>
      </x:c>
      <x:c r="C31" t="inlineStr">
        <x:is>
          <x:t xml:space="preserve">P0</x:t>
        </x:is>
      </x:c>
      <x:c r="D31" t="str">
        <x:v>Completed</x:v>
      </x:c>
      <x:c r="E31" t="str">
        <x:v>Project Owner / Product / Engineering</x:v>
      </x:c>
      <x:c r="F31" t="str">
        <x:v>13I-02 PASS: no verified critical page below 9.0; minimum verified score 9.1/10.</x:v>
      </x:c>
      <x:c r="G31" t="inlineStr">
        <x:is>
          <x:t xml:space="preserve">G10A</x:t>
        </x:is>
      </x:c>
      <x:c r="H31" s="252" t="n">
        <x:v>46297</x:v>
      </x:c>
    </x:row>
    <x:row r="32">
      <x:c r="A32" t="inlineStr">
        <x:is>
          <x:t xml:space="preserve">Motion</x:t>
        </x:is>
      </x:c>
      <x:c r="B32" t="inlineStr">
        <x:is>
          <x:t xml:space="preserve">Milestone/attention/error animations use shared motion system</x:t>
        </x:is>
      </x:c>
      <x:c r="C32" t="inlineStr">
        <x:is>
          <x:t xml:space="preserve">P0</x:t>
        </x:is>
      </x:c>
      <x:c r="D32" t="str">
        <x:v>Completed</x:v>
      </x:c>
      <x:c r="E32" t="str">
        <x:v>Project Owner / Product / Engineering</x:v>
      </x:c>
      <x:c r="F32" t="str">
        <x:v>13I-05 PASS: no P0/P1 excessive or disruptive motion; steady-state representative surfaces showed zero infinite CSS animations.</x:v>
      </x:c>
      <x:c r="G32" t="inlineStr">
        <x:is>
          <x:t xml:space="preserve">G10A</x:t>
        </x:is>
      </x:c>
      <x:c r="H32" s="252" t="n">
        <x:v>46297</x:v>
      </x:c>
    </x:row>
    <x:row r="33">
      <x:c r="A33" t="inlineStr">
        <x:is>
          <x:t xml:space="preserve">Motion</x:t>
        </x:is>
      </x:c>
      <x:c r="B33" t="inlineStr">
        <x:is>
          <x:t xml:space="preserve">Reduced-motion behavior verified</x:t>
        </x:is>
      </x:c>
      <x:c r="C33" t="inlineStr">
        <x:is>
          <x:t xml:space="preserve">P0</x:t>
        </x:is>
      </x:c>
      <x:c r="D33" t="str">
        <x:v>Completed</x:v>
      </x:c>
      <x:c r="E33" t="str">
        <x:v>Project Owner / Product / Engineering</x:v>
      </x:c>
      <x:c r="F33" t="str">
        <x:v>13I-06 PASS: prefers-reduced-motion guard verified; keyboard, focus, labels/semantics, observable contrast and responsive accessibility pass with no P0/P1 defects.</x:v>
      </x:c>
      <x:c r="G33" t="inlineStr">
        <x:is>
          <x:t xml:space="preserve">G10/G10A</x:t>
        </x:is>
      </x:c>
      <x:c r="H33" s="252" t="n">
        <x:v>46297</x:v>
      </x:c>
    </x:row>
    <x:row r="34">
      <x:c r="A34" t="inlineStr">
        <x:is>
          <x:t xml:space="preserve">Guidance</x:t>
        </x:is>
      </x:c>
      <x:c r="B34" t="inlineStr">
        <x:is>
          <x:t xml:space="preserve">Proactive guidance follows eligibility/frequency/memory rules</x:t>
        </x:is>
      </x:c>
      <x:c r="C34" t="inlineStr">
        <x:is>
          <x:t xml:space="preserve">P0</x:t>
        </x:is>
      </x:c>
      <x:c r="D34" t="str">
        <x:v>Completed</x:v>
      </x:c>
      <x:c r="E34" t="str">
        <x:v>Project Owner / Product / Engineering</x:v>
      </x:c>
      <x:c r="F34" t="str">
        <x:v>13F guidance framework is complete and 13I experience audits found no P0/P1 guidance/motion annoyance regression.</x:v>
      </x:c>
      <x:c r="G34" t="inlineStr">
        <x:is>
          <x:t xml:space="preserve">G10A</x:t>
        </x:is>
      </x:c>
      <x:c r="H34" s="252" t="n">
        <x:v>46297</x:v>
      </x:c>
    </x:row>
    <x:row r="35">
      <x:c r="A35" t="inlineStr">
        <x:is>
          <x:t xml:space="preserve">Help</x:t>
        </x:is>
      </x:c>
      <x:c r="B35" t="inlineStr">
        <x:is>
          <x:t xml:space="preserve">Ask Nexus permission/evidence behavior verified</x:t>
        </x:is>
      </x:c>
      <x:c r="C35" t="inlineStr">
        <x:is>
          <x:t xml:space="preserve">P0</x:t>
        </x:is>
      </x:c>
      <x:c r="D35" t="str">
        <x:v>Completed</x:v>
      </x:c>
      <x:c r="E35" t="str">
        <x:v>Project Owner / Product / Engineering</x:v>
      </x:c>
      <x:c r="F35" t="str">
        <x:v>Ask Nexus 13G-02 authorized context and 13G-08 RFQ permission-scope testing are Completed/Published; 13I evidence preserves governance/truthfulness boundaries. G7 gate sign-off remains a separate ledger action.</x:v>
      </x:c>
      <x:c r="G35" t="inlineStr">
        <x:is>
          <x:t xml:space="preserve">G7/G10A</x:t>
        </x:is>
      </x:c>
      <x:c r="H35" s="252" t="n">
        <x:v>46297</x:v>
      </x:c>
    </x:row>
    <x:row r="36">
      <x:c r="A36" t="inlineStr">
        <x:is>
          <x:t xml:space="preserve">Brand</x:t>
        </x:is>
      </x:c>
      <x:c r="B36" t="inlineStr">
        <x:is>
          <x:t xml:space="preserve">Canonical logo and enterprise footer verified across shells</x:t>
        </x:is>
      </x:c>
      <x:c r="C36" t="inlineStr">
        <x:is>
          <x:t xml:space="preserve">P1</x:t>
        </x:is>
      </x:c>
      <x:c r="D36" t="str">
        <x:v>Completed</x:v>
      </x:c>
      <x:c r="E36" t="str">
        <x:v>Project Owner / Product / Engineering</x:v>
      </x:c>
      <x:c r="F36" t="str">
        <x:v>13I-08 PASS: canonical logo assets, authenticated shell branding, footer attribution, and Nexus Pavilion Inc. / Intelligent Procurement separation verified.</x:v>
      </x:c>
      <x:c r="G36" t="inlineStr">
        <x:is>
          <x:t xml:space="preserve">G10A</x:t>
        </x:is>
      </x:c>
      <x:c r="H36" s="252" t="n">
        <x:v>46297</x:v>
      </x:c>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5ef7d1c67ee47f4"/>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row r="1289">
      <x:c r="A1289" t="n">
        <x:v>46297</x:v>
      </x:c>
      <x:c r="B1289" t="str">
        <x:v>Phase 13I / 13I-01</x:v>
      </x:c>
      <x:c r="C1289" t="str">
        <x:v>13I-01 Partial Core UI Rescore + Acknowledgement Defect Remediation</x:v>
      </x:c>
      <x:c r="D1289" t="str">
        <x:v>executive-benchmark-engine</x:v>
      </x:c>
      <x:c r="E1289" t="str">
        <x:v>ffc784b7bc5c32e032ebc1888480667c78c2bb88</x:v>
      </x:c>
      <x:c r="F1289" t="str">
        <x:v>Recorded Batch 1–4 scoring, closed the launch-critical closed-addendum acknowledgement presentation defect, and preserved issuer-only surfaces as UNVERIFIED where no issuer-authenticated RFQ evidence exists.</x:v>
      </x:c>
      <x:c r="G1289" t="str">
        <x:v>Defect remediation remote-verified at ffc784b; focused tests/lint/build/diff-check PASS; affected surface revalidated at 9.3/10. Batch scoring then confirmed no verified core surface below 9.0.</x:v>
      </x:c>
      <x:c r="H1289" t="str">
        <x:v>13I-01 IN PROGRESS</x:v>
      </x:c>
      <x:c r="I1289" t="str">
        <x:v>Three issuer-only surfaces remain unscored by design: Market Engagement &amp; Publishing, Issuer RFI/Addenda Management, Evaluation &amp; Award. No synthetic RFQ/role/deadline/commercial state used.</x:v>
      </x:c>
      <x:c r="J1289" t="str">
        <x:v>Next action: obtain a legitimate issuer-authenticated workspace with existing issuer-owned RFQ evidence, then score only the three remaining issuer surfaces. Do not begin 13I-02 until 13I-01 is complete.</x:v>
      </x:c>
    </x:row>
    <x:row r="1290">
      <x:c r="A1290" t="n">
        <x:v>46297</x:v>
      </x:c>
      <x:c r="B1290" t="str">
        <x:v>Phase 13I / 13I-01</x:v>
      </x:c>
      <x:c r="C1290" t="str">
        <x:v>13I-01 Core UI Rescore Closed with Explicit Issuer-Surface Waiver</x:v>
      </x:c>
      <x:c r="D1290" t="str">
        <x:v>executive-benchmark-engine</x:v>
      </x:c>
      <x:c r="E1290" t="str">
        <x:v>1c82c3d38cb58dd8f2c650e1dade06df1c3093b4</x:v>
      </x:c>
      <x:c r="F1290" t="str">
        <x:v>Closed the core-page rescore after explicit user authorization to skip three issuer-only surfaces that lacked legitimate issuer-owned RFQ evidence.</x:v>
      </x:c>
      <x:c r="G1290" t="str">
        <x:v>17 core surfaces carry evidence-based scores; three issuer-only surfaces remain intentionally unscored. No synthetic RFQ, role, deadline, commercial-opening state, or fabricated score was used.</x:v>
      </x:c>
      <x:c r="H1290" t="str">
        <x:v>PASS / 13I-01 CLOSED WITH AUTHORIZED WAIVER</x:v>
      </x:c>
      <x:c r="I1290" t="str">
        <x:v>Waived surfaces: Market Engagement &amp; Publishing; Issuer RFI/Addenda Management; Evaluation &amp; Award. Waiver is an evidence exception only, not proof of quality threshold compliance.</x:v>
      </x:c>
      <x:c r="J1290" t="str">
        <x:v>Next canonical task: 13I-02 — Require no critical page below 9.0.</x:v>
      </x:c>
    </x:row>
    <x:row r="1291">
      <x:c r="A1291" t="n">
        <x:v>46297</x:v>
      </x:c>
      <x:c r="B1291" t="str">
        <x:v>Phase 13I / 13I-02</x:v>
      </x:c>
      <x:c r="C1291" t="str">
        <x:v>13I-02 No Critical Verified Page Below 9.0</x:v>
      </x:c>
      <x:c r="D1291" t="str">
        <x:v>executive-benchmark-engine</x:v>
      </x:c>
      <x:c r="E1291" t="str">
        <x:v>1c82c3d38cb58dd8f2c650e1dade06df1c3093b4</x:v>
      </x:c>
      <x:c r="F1291" t="str">
        <x:v>Evaluated the verified core-page score matrix against the 9.0 critical-page floor.</x:v>
      </x:c>
      <x:c r="G1291" t="str">
        <x:v>Minimum verified score is 9.1; no verified/scored page remains below 9.0. Three issuer-only surfaces remain explicitly waived/unscored and are not counted as passing evidence.</x:v>
      </x:c>
      <x:c r="H1291" t="str">
        <x:v>PASS / 13I-02 CLOSED</x:v>
      </x:c>
      <x:c r="I1291" t="str">
        <x:v>The 9.0 floor applies to the verified score matrix only; no fabricated scores were assigned to waived issuer surfaces.</x:v>
      </x:c>
      <x:c r="J1291" t="str">
        <x:v>Next canonical task: 13I-03 — Target overall core-page average ≥ 9.5.</x:v>
      </x:c>
    </x:row>
    <x:row r="1292">
      <x:c r="A1292" t="n">
        <x:v>46297</x:v>
      </x:c>
      <x:c r="B1292" t="str">
        <x:v>Phase 13I / 13I-03</x:v>
      </x:c>
      <x:c r="C1292" t="str">
        <x:v>13I-03 Overall UI Average Threshold Revised and Passed</x:v>
      </x:c>
      <x:c r="D1292" t="str">
        <x:v>executive-benchmark-engine</x:v>
      </x:c>
      <x:c r="E1292" t="str">
        <x:v>ea7bb51dbc07525d49924c24119c1a3522f91988</x:v>
      </x:c>
      <x:c r="F1292" t="str">
        <x:v>Recorded explicit user approval to revise the overall verified core-page average threshold from ≥9.5 to ≥9.4.</x:v>
      </x:c>
      <x:c r="G1292" t="str">
        <x:v>Verified 17-surface weighted average is approximately 9.41/10; no synthetic scores assigned to the three waived issuer-only surfaces.</x:v>
      </x:c>
      <x:c r="H1292" t="str">
        <x:v>PASS / 13I-03 CLOSED</x:v>
      </x:c>
      <x:c r="I1292" t="str">
        <x:v>13I-02 critical-page floor remains unchanged at 9.0. Waived issuer-only surfaces remain an evidence limitation and are excluded from the average.</x:v>
      </x:c>
      <x:c r="J1292" t="str">
        <x:v>Next canonical task: Phase 13I / 13I-04 — Run dark-mode consistency audit.</x:v>
      </x:c>
    </x:row>
    <x:row r="1293">
      <x:c r="A1293" t="n">
        <x:v>46297</x:v>
      </x:c>
      <x:c r="B1293" t="str">
        <x:v>Phase 13I / 13I-04</x:v>
      </x:c>
      <x:c r="C1293" t="str">
        <x:v>13I-04 Dark-Mode Consistency Audit Closed</x:v>
      </x:c>
      <x:c r="D1293" t="str">
        <x:v>executive-benchmark-engine</x:v>
      </x:c>
      <x:c r="E1293" t="str">
        <x:v>6781f1e59ce5a8885c3e32830e096860bc3ac1d7</x:v>
      </x:c>
      <x:c r="F1293" t="str">
        <x:v>Completed a read-only dark-mode consistency audit across eight representative authenticated product surfaces.</x:v>
      </x:c>
      <x:c r="G1293" t="str">
        <x:v>Desktop/tablet/mobile checks PASS on all audited routes; no P0/P1/actionable-P2 inconsistencies, no light-surface collisions, no visible status-color/CTA/typography conflicts, and no mobile dark-surface defects.</x:v>
      </x:c>
      <x:c r="H1293" t="str">
        <x:v>PASS / 13I-04 CLOSED / EVIDENCE-ONLY</x:v>
      </x:c>
      <x:c r="I1293" t="str">
        <x:v>No code changes. Closed pages remain closed; isolated token aliases without visible inconsistency were not treated as defects.</x:v>
      </x:c>
      <x:c r="J1293" t="str">
        <x:v>Next canonical task: Phase 13I / 13I-05 — Run motion consistency and annoyance audit.</x:v>
      </x:c>
    </x:row>
    <x:row r="1294">
      <x:c r="A1294" t="n">
        <x:v>46297</x:v>
      </x:c>
      <x:c r="B1294" t="str">
        <x:v>Phase 13I / 13I-05</x:v>
      </x:c>
      <x:c r="C1294" t="str">
        <x:v>13I-05 Motion Consistency and Annoyance Audit Closed</x:v>
      </x:c>
      <x:c r="D1294" t="str">
        <x:v>executive-benchmark-engine</x:v>
      </x:c>
      <x:c r="E1294" t="str">
        <x:v>86534b5c1442a654b39f5802578442d3f088901d</x:v>
      </x:c>
      <x:c r="F1294" t="str">
        <x:v>Completed a read-only motion consistency and annoyance audit across eight representative authenticated product surfaces.</x:v>
      </x:c>
      <x:c r="G1294" t="str">
        <x:v>Desktop/tablet/mobile checks PASS; zero infinite CSS animations observed in steady state; no repeated popup/toast annoyance, motion-related layout shifts, performance issues, or P0/P1 motion defects.</x:v>
      </x:c>
      <x:c r="H1294" t="str">
        <x:v>PASS / 13I-05 CLOSED / EVIDENCE-ONLY</x:v>
      </x:c>
      <x:c r="I1294" t="str">
        <x:v>One P2 hover-translate inconsistency and one latent reduced-motion risk remain for explicit validation in 13I-06; no closed surface reopened and no code changes were made.</x:v>
      </x:c>
      <x:c r="J1294" t="str">
        <x:v>Next canonical task: Phase 13I / 13I-06 — Run motion/accessibility regression.</x:v>
      </x:c>
    </x:row>
    <x:row r="1295">
      <x:c r="A1295" t="n">
        <x:v>46297</x:v>
      </x:c>
      <x:c r="B1295" t="str">
        <x:v>Phase 13I / 13I-06</x:v>
      </x:c>
      <x:c r="C1295" t="str">
        <x:v>13I-06 Motion and Accessibility Regression Closed</x:v>
      </x:c>
      <x:c r="D1295" t="str">
        <x:v>executive-benchmark-engine</x:v>
      </x:c>
      <x:c r="E1295" t="str">
        <x:v>0c9663ba0f0826a5564e27dbe643941ba460f5cc</x:v>
      </x:c>
      <x:c r="F1295" t="str">
        <x:v>Completed a read-only reduced-motion and accessibility regression audit across eight representative authenticated product surfaces.</x:v>
      </x:c>
      <x:c r="G1295" t="str">
        <x:v>All audited surfaces PASS reduced motion, keyboard, focus, labels/semantics, observable contrast, and responsive accessibility; closed Addendum accessibility regression also PASS.</x:v>
      </x:c>
      <x:c r="H1295" t="str">
        <x:v>PASS / 13I-06 CLOSED / EVIDENCE-ONLY</x:v>
      </x:c>
      <x:c r="I1295" t="str">
        <x:v>No P0/P1 findings. One P2 export-card hover translate remains non-blocking because the global reduced-motion guard suppresses transitions; no code changes were made.</x:v>
      </x:c>
      <x:c r="J1295" t="str">
        <x:v>Next canonical task: Phase 13I / 13I-07 — Run UI performance regression.</x:v>
      </x:c>
    </x:row>
    <x:row r="1296">
      <x:c r="A1296" t="n">
        <x:v>46297</x:v>
      </x:c>
      <x:c r="B1296" t="str">
        <x:v>Phase 13I / 13I-07</x:v>
      </x:c>
      <x:c r="C1296" t="str">
        <x:v>13I-07 UI Performance Regression Closed</x:v>
      </x:c>
      <x:c r="D1296" t="str">
        <x:v>executive-benchmark-engine</x:v>
      </x:c>
      <x:c r="E1296" t="str">
        <x:v>f2f8f0e29d78bbcc0446bf17f23b774cfdec7781</x:v>
      </x:c>
      <x:c r="F1296" t="str">
        <x:v>Completed a read-only production-build UI performance regression across eight representative authenticated product surfaces.</x:v>
      </x:c>
      <x:c r="G1296" t="str">
        <x:v>All audited routes PASS initial usability, interaction responsiveness, layout stability, and motion/help impact at desktop/tablet/mobile; no P0/P1 performance regressions, request loops, freezes, material input lag, or major content instability were found.</x:v>
      </x:c>
      <x:c r="H1296" t="str">
        <x:v>PASS / 13I-07 CLOSED / EVIDENCE-ONLY</x:v>
      </x:c>
      <x:c r="I1296" t="str">
        <x:v>Non-blocking P2 observations only: Analytics remains DOM-heavy without measured longtask/scroll degradation; normal Next.js hover/link prefetch requests do not materially affect responsiveness.</x:v>
      </x:c>
      <x:c r="J1296" t="str">
        <x:v>Next canonical task: Phase 13I / 13I-08 — Verify logo/footer/brand consistency.</x:v>
      </x:c>
    </x:row>
    <x:row r="1297">
      <x:c r="A1297" t="n">
        <x:v>46297</x:v>
      </x:c>
      <x:c r="B1297" t="str">
        <x:v>Phase 13I / 13I-08</x:v>
      </x:c>
      <x:c r="C1297" t="str">
        <x:v>13I-08 Logo Footer and Brand Consistency Audit Closed</x:v>
      </x:c>
      <x:c r="D1297" t="str">
        <x:v>executive-benchmark-engine</x:v>
      </x:c>
      <x:c r="E1297" t="str">
        <x:v>283f35e5031490652b4f644367694632f2f590bd</x:v>
      </x:c>
      <x:c r="F1297" t="str">
        <x:v>Completed a read-only authenticated logo, footer, and brand consistency audit across representative product surfaces and shared shell states.</x:v>
      </x:c>
      <x:c r="G1297" t="str">
        <x:v>Canonical logo assets/components, expanded/collapsed/mobile shell branding, footer attribution, and corporate-parent/product naming all PASS; no rejected product name or corporate-brand Gmail exposure found.</x:v>
      </x:c>
      <x:c r="H1297" t="str">
        <x:v>PASS / 13I-08 CLOSED / EVIDENCE-ONLY</x:v>
      </x:c>
      <x:c r="I1297" t="str">
        <x:v>No P0/P1/P2 brand findings. Member profile Gmail is user identity content and not treated as corporate/product branding attribution. No code changes were made.</x:v>
      </x:c>
      <x:c r="J1297" t="str">
        <x:v>Next canonical task: Phase 13I / 13I-09 — Capture final representative screenshots.</x:v>
      </x:c>
    </x:row>
    <x:row r="1298">
      <x:c r="A1298" t="n">
        <x:v>46297</x:v>
      </x:c>
      <x:c r="B1298" t="str">
        <x:v>Phase 13I / 13I-09</x:v>
      </x:c>
      <x:c r="C1298" t="str">
        <x:v>13I-09 Final Representative Screenshot Capture Closed</x:v>
      </x:c>
      <x:c r="D1298" t="str">
        <x:v>executive-benchmark-engine</x:v>
      </x:c>
      <x:c r="E1298" t="str">
        <x:v>196cbf7e8b52d8bc862108ed776d44b069fd0317</x:v>
      </x:c>
      <x:c r="F1298" t="str">
        <x:v>Captured and reviewed the final representative authenticated product screenshot set from the canonical production build.</x:v>
      </x:c>
      <x:c r="G1298" t="str">
        <x:v>16 screenshots complete: eight desktop and eight true 390 CSS-pixel mobile captures across the required representative routes; all visual reviews PASS with zero P0/P1 defects.</x:v>
      </x:c>
      <x:c r="H1298" t="str">
        <x:v>PASS / 13I-09 CLOSED / EVIDENCE-ONLY</x:v>
      </x:c>
      <x:c r="I1298" t="str">
        <x:v>All screenshots classified INTERNAL EVIDENCE ONLY because the legitimate session contains company/commercial/UAT/internal procurement context. Three P2 observations only; no secrets or unsafe leakage.</x:v>
      </x:c>
      <x:c r="J1298" t="str">
        <x:v>Next canonical task: Phase 13I / 13I-10 — Enterprise Experience sign-off.</x:v>
      </x:c>
    </x:row>
    <x:row r="1299">
      <x:c r="A1299" t="n">
        <x:v>46297</x:v>
      </x:c>
      <x:c r="B1299" t="str">
        <x:v>Phase 13I / 13I-10</x:v>
      </x:c>
      <x:c r="C1299" t="str">
        <x:v>13I-10 Enterprise Experience Sign-off Closed</x:v>
      </x:c>
      <x:c r="D1299" t="str">
        <x:v>executive-benchmark-engine</x:v>
      </x:c>
      <x:c r="E1299" t="str">
        <x:v>05851fc487b3c9a6a6aecb76aae755229802abf8</x:v>
      </x:c>
      <x:c r="F1299" t="str">
        <x:v>Reviewed the complete Phase 13I evidence chain and closed the final Enterprise Experience sign-off task.</x:v>
      </x:c>
      <x:c r="G1299" t="str">
        <x:v>13I-01 through 13I-09 PASS/CLOSED; verified minimum 9.1/10; verified 17-surface average approximately 9.41/10 against approved &gt;=9.4 threshold; no unresolved P0/P1 enterprise-experience defects.</x:v>
      </x:c>
      <x:c r="H1299" t="str">
        <x:v>PASS / 13I-10 CLOSED / PHASE 13I COMPLETE</x:v>
      </x:c>
      <x:c r="I1299" t="str">
        <x:v>Three issuer-only surfaces remain authorized-waiver/unscored; known P2 observations remain non-blocking. No Production Go/No-Go granted.</x:v>
      </x:c>
      <x:c r="J1299" t="str">
        <x:v>Close G10A because its explicit pending condition—13I-01 through 13I-10 completion—is now satisfied.</x:v>
      </x:c>
    </x:row>
    <x:row r="1300">
      <x:c r="A1300" t="n">
        <x:v>46297</x:v>
      </x:c>
      <x:c r="B1300" t="str">
        <x:v>Launch Gate / G10A</x:v>
      </x:c>
      <x:c r="C1300" t="str">
        <x:v>G10A Enterprise UI and Guidance Gate Closed</x:v>
      </x:c>
      <x:c r="D1300" t="str">
        <x:v>executive-benchmark-engine</x:v>
      </x:c>
      <x:c r="E1300" t="str">
        <x:v>05851fc487b3c9a6a6aecb76aae755229802abf8</x:v>
      </x:c>
      <x:c r="F1300" t="str">
        <x:v>Closed G10A on completed Phase 13I enterprise-experience evidence and reconciled the G10A-related Production Release Checklist rows.</x:v>
      </x:c>
      <x:c r="G1300" t="str">
        <x:v>Dark design system/shell, core scoring, motion, accessibility, performance, guidance, Ask Nexus context/permission evidence, canonical brand/footer, and screenshot evidence satisfy the gate under the approved &gt;=9.4 average threshold.</x:v>
      </x:c>
      <x:c r="H1300" t="str">
        <x:v>PASS / G10A CLOSED</x:v>
      </x:c>
      <x:c r="I1300" t="str">
        <x:v>This closure does not close G7 or G13 and does not authorize Production. G13 remains Blocked.</x:v>
      </x:c>
      <x:c r="J1300" t="str">
        <x:v>Next canonical evidence task: reconcile G7 Intelligence permissions. Its previously recorded blockers 13G-02 and 13G-08 are now Completed/Published, but G7 remains In Progress in the gate ledger.</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929c9439235e44af"/>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0b09b0d360064579"/>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str">
        <x:v>Completed</x:v>
      </x:c>
      <x:c r="J13" s="133" t="str">
        <x:v>U8 / Phase 13I COMPLETE — 13I-01 through 13I-10 are PASS/CLOSED under approved evidence boundaries. Verified 17-surface minimum 9.1/10; verified average approximately 9.41/10 against the explicitly approved &gt;=9.4 threshold; no unresolved P0/P1 UI, motion, accessibility, performance, responsive, brand, or evidence-integrity defect. Three issuer-only surfaces remain documented as authorized-waiver/unscored. Phase completion does not authorize Production.</x:v>
      </x:c>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dc27bc90dabe453f"/>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877951c9d3b1450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88fa5544b474c8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e378ec41775b4a42"/>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