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ae45383a08043f5" /></Relationships>
</file>

<file path=xl/workbook.xml><?xml version="1.0" encoding="utf-8"?>
<x:workbook xmlns:x="http://schemas.openxmlformats.org/spreadsheetml/2006/main">
  <x:sheets>
    <x:sheet xmlns:r="http://schemas.openxmlformats.org/officeDocument/2006/relationships" name="01 Master Plan" sheetId="1" r:id="R8aa76edbef984368"/>
    <x:sheet xmlns:r="http://schemas.openxmlformats.org/officeDocument/2006/relationships" name="03 Launch Gates" sheetId="2" r:id="Raee575a6bacc49fd"/>
    <x:sheet xmlns:r="http://schemas.openxmlformats.org/officeDocument/2006/relationships" name="00 Dashboard" sheetId="3" r:id="R0ca45ecc41fd43d7"/>
    <x:sheet xmlns:r="http://schemas.openxmlformats.org/officeDocument/2006/relationships" name="04 Cursor Tasks" sheetId="4" r:id="R62e9b128849e4a13"/>
    <x:sheet xmlns:r="http://schemas.openxmlformats.org/officeDocument/2006/relationships" name="05 UAT Matrix" sheetId="5" r:id="Rf3e540e65dbe4d5e"/>
    <x:sheet xmlns:r="http://schemas.openxmlformats.org/officeDocument/2006/relationships" name="06 Security Matrix" sheetId="6" r:id="R36cf65c270c3448c"/>
    <x:sheet xmlns:r="http://schemas.openxmlformats.org/officeDocument/2006/relationships" name="07 Risks" sheetId="7" r:id="Rc645d2aacdfa4eef"/>
    <x:sheet xmlns:r="http://schemas.openxmlformats.org/officeDocument/2006/relationships" name="08 Architecture" sheetId="8" r:id="Read44d01afe14702"/>
    <x:sheet xmlns:r="http://schemas.openxmlformats.org/officeDocument/2006/relationships" name="09 Release Checklist" sheetId="9" r:id="Rea093397a02143c6"/>
    <x:sheet xmlns:r="http://schemas.openxmlformats.org/officeDocument/2006/relationships" name="10 Change Log" sheetId="10" r:id="R73ecf205209f4d17"/>
    <x:sheet xmlns:r="http://schemas.openxmlformats.org/officeDocument/2006/relationships" name="11 Scope &amp; Roadmap" sheetId="11" r:id="R25934b78113441a1"/>
    <x:sheet xmlns:r="http://schemas.openxmlformats.org/officeDocument/2006/relationships" name="12 How to Use" sheetId="12" r:id="Rb5278d2990b2445c"/>
    <x:sheet xmlns:r="http://schemas.openxmlformats.org/officeDocument/2006/relationships" name="13 UI Program" sheetId="13" r:id="R31ea07cd269d4380"/>
    <x:sheet xmlns:r="http://schemas.openxmlformats.org/officeDocument/2006/relationships" name="14 UI Scorecard" sheetId="14" r:id="R936a2fe439ac46a3"/>
    <x:sheet xmlns:r="http://schemas.openxmlformats.org/officeDocument/2006/relationships" name="15 Motion Guidance" sheetId="15" r:id="Rd14d7de3d6434aa5"/>
    <x:sheet xmlns:r="http://schemas.openxmlformats.org/officeDocument/2006/relationships" name="16 Design Standards" sheetId="16" r:id="Rf9afc920fae344f9"/>
    <x:sheet xmlns:r="http://schemas.openxmlformats.org/officeDocument/2006/relationships" name="17 Corporate Platform" sheetId="17" r:id="R0d60d80ff4a74aff"/>
    <x:sheet xmlns:r="http://schemas.openxmlformats.org/officeDocument/2006/relationships" name="18 Analytics Reuse Map" sheetId="18" r:id="R400738feb9eb4750"/>
    <x:sheet xmlns:r="http://schemas.openxmlformats.org/officeDocument/2006/relationships" name="19 Executive Insights Discovery" sheetId="19" r:id="Rb315fbab3d234d90"/>
    <x:sheet xmlns:r="http://schemas.openxmlformats.org/officeDocument/2006/relationships" name="20 Procurement Insights Discovery" sheetId="20" r:id="R92e6e9d7b9f54324"/>
    <x:sheet xmlns:r="http://schemas.openxmlformats.org/officeDocument/2006/relationships" name="21 Commercial Insights Discovery" sheetId="21" r:id="R7cb8d5b7b8e04b6c"/>
    <x:sheet xmlns:r="http://schemas.openxmlformats.org/officeDocument/2006/relationships" name="22 Project Insights Discovery" sheetId="22" r:id="Re2ae110821ac4efd"/>
    <x:sheet xmlns:r="http://schemas.openxmlformats.org/officeDocument/2006/relationships" name="23 Performance Discovery" sheetId="23" r:id="Ra053423787d64299"/>
    <x:sheet xmlns:r="http://schemas.openxmlformats.org/officeDocument/2006/relationships" name="24 Risk Compliance Discovery" sheetId="24" r:id="R3a917b70cb5943b5"/>
    <x:sheet xmlns:r="http://schemas.openxmlformats.org/officeDocument/2006/relationships" name="25 Commercial Handoff" sheetId="25" r:id="Rfa2a37d0e9b84909"/>
    <x:sheet xmlns:r="http://schemas.openxmlformats.org/officeDocument/2006/relationships" name="26 RFQ Governance" sheetId="26" r:id="R0eaae5f5b9e64ad3"/>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b23d9bd322e24cac" /><Relationship Type="http://schemas.openxmlformats.org/officeDocument/2006/relationships/theme" Target="/xl/theme/theme1.xml" Id="R8473c610259449a3" /><Relationship Type="http://schemas.openxmlformats.org/officeDocument/2006/relationships/sharedStrings" Target="/xl/sharedStrings.xml" Id="Raf6350ec3bef48fa" /><Relationship Type="http://schemas.openxmlformats.org/officeDocument/2006/relationships/worksheet" Target="/xl/worksheets/sheet1.xml" Id="R8aa76edbef984368" /><Relationship Type="http://schemas.openxmlformats.org/officeDocument/2006/relationships/worksheet" Target="/xl/worksheets/sheet2.xml" Id="Raee575a6bacc49fd" /><Relationship Type="http://schemas.openxmlformats.org/officeDocument/2006/relationships/worksheet" Target="/xl/worksheets/sheet3.xml" Id="R0ca45ecc41fd43d7" /><Relationship Type="http://schemas.openxmlformats.org/officeDocument/2006/relationships/worksheet" Target="/xl/worksheets/sheet4.xml" Id="R62e9b128849e4a13" /><Relationship Type="http://schemas.openxmlformats.org/officeDocument/2006/relationships/worksheet" Target="/xl/worksheets/sheet5.xml" Id="Rf3e540e65dbe4d5e" /><Relationship Type="http://schemas.openxmlformats.org/officeDocument/2006/relationships/worksheet" Target="/xl/worksheets/sheet6.xml" Id="R36cf65c270c3448c" /><Relationship Type="http://schemas.openxmlformats.org/officeDocument/2006/relationships/worksheet" Target="/xl/worksheets/sheet7.xml" Id="Rc645d2aacdfa4eef" /><Relationship Type="http://schemas.openxmlformats.org/officeDocument/2006/relationships/worksheet" Target="/xl/worksheets/sheet8.xml" Id="Read44d01afe14702" /><Relationship Type="http://schemas.openxmlformats.org/officeDocument/2006/relationships/worksheet" Target="/xl/worksheets/sheet9.xml" Id="Rea093397a02143c6" /><Relationship Type="http://schemas.openxmlformats.org/officeDocument/2006/relationships/worksheet" Target="/xl/worksheets/sheet10.xml" Id="R73ecf205209f4d17" /><Relationship Type="http://schemas.openxmlformats.org/officeDocument/2006/relationships/worksheet" Target="/xl/worksheets/sheet11.xml" Id="R25934b78113441a1" /><Relationship Type="http://schemas.openxmlformats.org/officeDocument/2006/relationships/worksheet" Target="/xl/worksheets/sheet12.xml" Id="Rb5278d2990b2445c" /><Relationship Type="http://schemas.openxmlformats.org/officeDocument/2006/relationships/worksheet" Target="/xl/worksheets/sheet13.xml" Id="R31ea07cd269d4380" /><Relationship Type="http://schemas.openxmlformats.org/officeDocument/2006/relationships/worksheet" Target="/xl/worksheets/sheet14.xml" Id="R936a2fe439ac46a3" /><Relationship Type="http://schemas.openxmlformats.org/officeDocument/2006/relationships/worksheet" Target="/xl/worksheets/sheet15.xml" Id="Rd14d7de3d6434aa5" /><Relationship Type="http://schemas.openxmlformats.org/officeDocument/2006/relationships/worksheet" Target="/xl/worksheets/sheet16.xml" Id="Rf9afc920fae344f9" /><Relationship Type="http://schemas.openxmlformats.org/officeDocument/2006/relationships/worksheet" Target="/xl/worksheets/sheet17.xml" Id="R0d60d80ff4a74aff" /><Relationship Type="http://schemas.openxmlformats.org/officeDocument/2006/relationships/worksheet" Target="/xl/worksheets/sheet18.xml" Id="R400738feb9eb4750" /><Relationship Type="http://schemas.openxmlformats.org/officeDocument/2006/relationships/worksheet" Target="/xl/worksheets/sheet19.xml" Id="Rb315fbab3d234d90" /><Relationship Type="http://schemas.openxmlformats.org/officeDocument/2006/relationships/worksheet" Target="/xl/worksheets/sheet20.xml" Id="R92e6e9d7b9f54324" /><Relationship Type="http://schemas.openxmlformats.org/officeDocument/2006/relationships/worksheet" Target="/xl/worksheets/sheet21.xml" Id="R7cb8d5b7b8e04b6c" /><Relationship Type="http://schemas.openxmlformats.org/officeDocument/2006/relationships/worksheet" Target="/xl/worksheets/sheet22.xml" Id="Re2ae110821ac4efd" /><Relationship Type="http://schemas.openxmlformats.org/officeDocument/2006/relationships/worksheet" Target="/xl/worksheets/sheet23.xml" Id="Ra053423787d64299" /><Relationship Type="http://schemas.openxmlformats.org/officeDocument/2006/relationships/worksheet" Target="/xl/worksheets/sheet24.xml" Id="R3a917b70cb5943b5" /><Relationship Type="http://schemas.openxmlformats.org/officeDocument/2006/relationships/worksheet" Target="/xl/worksheets/sheet25.xml" Id="Rfa2a37d0e9b84909" /><Relationship Type="http://schemas.openxmlformats.org/officeDocument/2006/relationships/worksheet" Target="/xl/worksheets/sheet26.xml" Id="R0eaae5f5b9e64ad3" /></Relationships>
</file>

<file path=xl/drawings/_rels/drawing1.xml.rels>&#65279;<?xml version="1.0" encoding="utf-8"?><Relationships xmlns="http://schemas.openxmlformats.org/package/2006/relationships"><Relationship Type="http://schemas.openxmlformats.org/officeDocument/2006/relationships/chart" Target="/xl/drawings/charts/chart1.xml" Id="Ra0515393a33641fa"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0515393a33641fa"/>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661f4024400d4062" /></Relationships>
</file>

<file path=xl/worksheets/_rels/sheet2.xml.rels>&#65279;<?xml version="1.0" encoding="utf-8"?><Relationships xmlns="http://schemas.openxmlformats.org/package/2006/relationships"><Relationship Type="http://schemas.openxmlformats.org/officeDocument/2006/relationships/table" Target="/xl/tables/table2.xml" Id="R9e231f614e764a8f" /></Relationships>
</file>

<file path=xl/worksheets/_rels/sheet3.xml.rels>&#65279;<?xml version="1.0" encoding="utf-8"?><Relationships xmlns="http://schemas.openxmlformats.org/package/2006/relationships"><Relationship Type="http://schemas.openxmlformats.org/officeDocument/2006/relationships/drawing" Target="/xl/drawings/drawing1.xml" Id="R118851c325804e10" /></Relationships>
</file>

<file path=xl/worksheets/_rels/sheet4.xml.rels>&#65279;<?xml version="1.0" encoding="utf-8"?><Relationships xmlns="http://schemas.openxmlformats.org/package/2006/relationships"><Relationship Type="http://schemas.openxmlformats.org/officeDocument/2006/relationships/table" Target="/xl/tables/table3.xml" Id="Rd9db19a5b3294726" /></Relationships>
</file>

<file path=xl/worksheets/_rels/sheet5.xml.rels>&#65279;<?xml version="1.0" encoding="utf-8"?><Relationships xmlns="http://schemas.openxmlformats.org/package/2006/relationships"><Relationship Type="http://schemas.openxmlformats.org/officeDocument/2006/relationships/table" Target="/xl/tables/table4.xml" Id="Ra52d02bf1c664db7" /></Relationships>
</file>

<file path=xl/worksheets/_rels/sheet6.xml.rels>&#65279;<?xml version="1.0" encoding="utf-8"?><Relationships xmlns="http://schemas.openxmlformats.org/package/2006/relationships"><Relationship Type="http://schemas.openxmlformats.org/officeDocument/2006/relationships/table" Target="/xl/tables/table5.xml" Id="R2d7055bb70c341fd" /></Relationships>
</file>

<file path=xl/worksheets/_rels/sheet7.xml.rels>&#65279;<?xml version="1.0" encoding="utf-8"?><Relationships xmlns="http://schemas.openxmlformats.org/package/2006/relationships"><Relationship Type="http://schemas.openxmlformats.org/officeDocument/2006/relationships/table" Target="/xl/tables/table6.xml" Id="R1331d40426f34dd5" /></Relationships>
</file>

<file path=xl/worksheets/_rels/sheet9.xml.rels>&#65279;<?xml version="1.0" encoding="utf-8"?><Relationships xmlns="http://schemas.openxmlformats.org/package/2006/relationships"><Relationship Type="http://schemas.openxmlformats.org/officeDocument/2006/relationships/table" Target="/xl/tables/table7.xml" Id="Rb187ccaafcef4cbf" /></Relationships>
</file>

<file path=xl/worksheets/_rels/sheet10.xml.rels>&#65279;<?xml version="1.0" encoding="utf-8"?><Relationships xmlns="http://schemas.openxmlformats.org/package/2006/relationships"><Relationship Type="http://schemas.openxmlformats.org/officeDocument/2006/relationships/table" Target="/xl/tables/table8.xml" Id="R6be25ab74db34f3c" /></Relationships>
</file>

<file path=xl/worksheets/_rels/sheet11.xml.rels>&#65279;<?xml version="1.0" encoding="utf-8"?><Relationships xmlns="http://schemas.openxmlformats.org/package/2006/relationships"><Relationship Type="http://schemas.openxmlformats.org/officeDocument/2006/relationships/table" Target="/xl/tables/table9.xml" Id="R419e9bce2fed4194" /></Relationships>
</file>

<file path=xl/worksheets/_rels/sheet13.xml.rels>&#65279;<?xml version="1.0" encoding="utf-8"?><Relationships xmlns="http://schemas.openxmlformats.org/package/2006/relationships"><Relationship Type="http://schemas.openxmlformats.org/officeDocument/2006/relationships/table" Target="/xl/tables/table10.xml" Id="R2c836dcea98c4baa" /></Relationships>
</file>

<file path=xl/worksheets/_rels/sheet14.xml.rels>&#65279;<?xml version="1.0" encoding="utf-8"?><Relationships xmlns="http://schemas.openxmlformats.org/package/2006/relationships"><Relationship Type="http://schemas.openxmlformats.org/officeDocument/2006/relationships/table" Target="/xl/tables/table11.xml" Id="Re360e709c66c45b8" /></Relationships>
</file>

<file path=xl/worksheets/_rels/sheet15.xml.rels>&#65279;<?xml version="1.0" encoding="utf-8"?><Relationships xmlns="http://schemas.openxmlformats.org/package/2006/relationships"><Relationship Type="http://schemas.openxmlformats.org/officeDocument/2006/relationships/table" Target="/xl/tables/table12.xml" Id="R355ccd37ecc540fe" /></Relationships>
</file>

<file path=xl/worksheets/_rels/sheet16.xml.rels>&#65279;<?xml version="1.0" encoding="utf-8"?><Relationships xmlns="http://schemas.openxmlformats.org/package/2006/relationships"><Relationship Type="http://schemas.openxmlformats.org/officeDocument/2006/relationships/table" Target="/xl/tables/table13.xml" Id="R5e521e77916d437d"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661f4024400d4062"/>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9e231f614e764a8f"/>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304</x:v>
      </x:c>
      <x:c r="D6" s="133" t="inlineStr">
        <x:is>
          <x:t xml:space="preserve">G0A — Corporate platform architecture ready</x:t>
        </x:is>
      </x:c>
      <x:c r="E6" s="32" t="str">
        <x:f>'03 Launch Gates'!D20</x:f>
        <x:v>Completed</x:v>
      </x:c>
      <x:c r="G6" t="inlineStr">
        <x:is>
          <x:t xml:space="preserve">UI Tasks Complete</x:t>
        </x:is>
      </x:c>
      <x:c r="H6" t="n">
        <x:f>SUM(B36:B46)</x:f>
        <x:v>82</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0.8283378746594006</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0.8618181818181818</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x:v>
      </x:c>
      <x:c r="C42" s="133" t="n">
        <x:f>COUNTIFS('01 Master Plan'!C$5:C$383,A42,'01 Master Plan'!H$5:H$383,"In Progress")</x:f>
        <x:v>0</x:v>
      </x:c>
      <x:c r="D42" s="133" t="n">
        <x:f>COUNTIFS('01 Master Plan'!C$5:C$383,A42,'01 Master Plan'!H$5:H$383,"Not Started")</x:f>
        <x:v>13</x:v>
      </x:c>
      <x:c r="E42" s="133" t="n">
        <x:f>COUNTIFS('01 Master Plan'!C$5:C$383,A42,'01 Master Plan'!H$5:H$383,"Blocked")</x:f>
        <x:v>0</x:v>
      </x:c>
      <x:c r="F42" s="133" t="n">
        <x:f>COUNTIFS('01 Master Plan'!C$5:C$383,A42,'01 Master Plan'!H$5:H$383,"Deferred")</x:f>
        <x:v>0</x:v>
      </x:c>
      <x:c r="G42" s="255" t="n">
        <x:f>IFERROR(B42/(B42+C42+D42+E42),0)</x:f>
        <x:v>0.07142857142857142</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118851c325804e10"/>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d9db19a5b3294726"/>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a52d02bf1c664db7"/>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2d7055bb70c341fd"/>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1331d40426f34dd5"/>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b187ccaafcef4cbf"/>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6be25ab74db34f3c"/>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419e9bce2fed4194"/>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IN PROGRESS — 13F-01 PASS/CLOSED/PUBLISHED at commit 2e653196cbcf1dc73938f0c2f955c924264cb751. A domain-neutral five-level guidance taxonomy now exists for L0 Silent Intelligence, L1 Inline Hint, L2 Guidance Card, L3 Anchored Coachmark and L4 Interactive Nexus Guide. No UI/persistence/eligibility/frequency/memory/Ask Nexus implementation was pulled forward. Next executable canonical task: 13F-02 Implement guidance eligibility rules.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In Progress</x:v>
      </x:c>
      <x:c r="J10" s="133" t="str">
        <x:v>U5 / Phase 13F IN PROGRESS — 13F-01 PASS/CLOSED/PUBLISHED at commit 2e653196cbcf1dc73938f0c2f955c924264cb751. A domain-neutral five-level guidance taxonomy now exists for L0 Silent Intelligence, L1 Inline Hint, L2 Guidance Card, L3 Anchored Coachmark and L4 Interactive Nexus Guide. No UI/persistence/eligibility/frequency/memory/Ask Nexus implementation was pulled forward. Next executable canonical task: 13F-02 Implement guidance eligibility rules.</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2c836dcea98c4baa"/>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e360e709c66c45b8"/>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355ccd37ecc540fe"/>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5e521e77916d437d"/>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