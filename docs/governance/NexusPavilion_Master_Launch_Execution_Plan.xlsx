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e7bac1006b4353" /></Relationships>
</file>

<file path=xl/workbook.xml><?xml version="1.0" encoding="utf-8"?>
<x:workbook xmlns:x="http://schemas.openxmlformats.org/spreadsheetml/2006/main">
  <x:sheets>
    <x:sheet xmlns:r="http://schemas.openxmlformats.org/officeDocument/2006/relationships" name="01 Master Plan" sheetId="1" r:id="Rdf07d962749d4114"/>
    <x:sheet xmlns:r="http://schemas.openxmlformats.org/officeDocument/2006/relationships" name="03 Launch Gates" sheetId="2" r:id="Ra02643b749b44c14"/>
    <x:sheet xmlns:r="http://schemas.openxmlformats.org/officeDocument/2006/relationships" name="00 Dashboard" sheetId="3" r:id="R5cb98d906fc64285"/>
    <x:sheet xmlns:r="http://schemas.openxmlformats.org/officeDocument/2006/relationships" name="04 Cursor Tasks" sheetId="4" r:id="R7b13c0055da54029"/>
    <x:sheet xmlns:r="http://schemas.openxmlformats.org/officeDocument/2006/relationships" name="05 UAT Matrix" sheetId="5" r:id="R4106ba2699b04ab3"/>
    <x:sheet xmlns:r="http://schemas.openxmlformats.org/officeDocument/2006/relationships" name="06 Security Matrix" sheetId="6" r:id="R8fb3ff047f9d4b1b"/>
    <x:sheet xmlns:r="http://schemas.openxmlformats.org/officeDocument/2006/relationships" name="07 Risks" sheetId="7" r:id="R24f9dbea03534d32"/>
    <x:sheet xmlns:r="http://schemas.openxmlformats.org/officeDocument/2006/relationships" name="08 Architecture" sheetId="8" r:id="R4f5e7e8444a9432f"/>
    <x:sheet xmlns:r="http://schemas.openxmlformats.org/officeDocument/2006/relationships" name="09 Release Checklist" sheetId="9" r:id="R2532dc3815f642ca"/>
    <x:sheet xmlns:r="http://schemas.openxmlformats.org/officeDocument/2006/relationships" name="10 Change Log" sheetId="10" r:id="R335158cc4f124d49"/>
    <x:sheet xmlns:r="http://schemas.openxmlformats.org/officeDocument/2006/relationships" name="11 Scope &amp; Roadmap" sheetId="11" r:id="Rf66ea24eb21c481e"/>
    <x:sheet xmlns:r="http://schemas.openxmlformats.org/officeDocument/2006/relationships" name="12 How to Use" sheetId="12" r:id="Rf2211a1170d64446"/>
    <x:sheet xmlns:r="http://schemas.openxmlformats.org/officeDocument/2006/relationships" name="13 UI Program" sheetId="13" r:id="Rb2024d82fb394c9a"/>
    <x:sheet xmlns:r="http://schemas.openxmlformats.org/officeDocument/2006/relationships" name="14 UI Scorecard" sheetId="14" r:id="R5ae2e87105464c98"/>
    <x:sheet xmlns:r="http://schemas.openxmlformats.org/officeDocument/2006/relationships" name="15 Motion Guidance" sheetId="15" r:id="R0089bec861fc4b3f"/>
    <x:sheet xmlns:r="http://schemas.openxmlformats.org/officeDocument/2006/relationships" name="16 Design Standards" sheetId="16" r:id="R3a67b2792edc4b4d"/>
    <x:sheet xmlns:r="http://schemas.openxmlformats.org/officeDocument/2006/relationships" name="17 Corporate Platform" sheetId="17" r:id="R59d9feb4a2ab4375"/>
    <x:sheet xmlns:r="http://schemas.openxmlformats.org/officeDocument/2006/relationships" name="18 Analytics Reuse Map" sheetId="18" r:id="R7d598e8bec4f4ad6"/>
    <x:sheet xmlns:r="http://schemas.openxmlformats.org/officeDocument/2006/relationships" name="19 Executive Insights Discovery" sheetId="19" r:id="R7eedb46ca8fe42cb"/>
    <x:sheet xmlns:r="http://schemas.openxmlformats.org/officeDocument/2006/relationships" name="20 Procurement Insights Discovery" sheetId="20" r:id="R19055d42dffb4f4a"/>
    <x:sheet xmlns:r="http://schemas.openxmlformats.org/officeDocument/2006/relationships" name="21 Commercial Insights Discovery" sheetId="21" r:id="R1d68cdf4999c4776"/>
    <x:sheet xmlns:r="http://schemas.openxmlformats.org/officeDocument/2006/relationships" name="22 Project Insights Discovery" sheetId="22" r:id="R5416a36b90b44c95"/>
    <x:sheet xmlns:r="http://schemas.openxmlformats.org/officeDocument/2006/relationships" name="23 Performance Discovery" sheetId="23" r:id="Ra1d54a0507ce4e87"/>
    <x:sheet xmlns:r="http://schemas.openxmlformats.org/officeDocument/2006/relationships" name="24 Risk Compliance Discovery" sheetId="24" r:id="Rd6a66e9a82d948ab"/>
    <x:sheet xmlns:r="http://schemas.openxmlformats.org/officeDocument/2006/relationships" name="25 Commercial Handoff" sheetId="25" r:id="Rb70e72ad75b14eba"/>
    <x:sheet xmlns:r="http://schemas.openxmlformats.org/officeDocument/2006/relationships" name="26 RFQ Governance" sheetId="26" r:id="R98d97e2fda85429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2147deab43460b" /><Relationship Type="http://schemas.openxmlformats.org/officeDocument/2006/relationships/theme" Target="/xl/theme/theme1.xml" Id="R6c7c9fd652994872" /><Relationship Type="http://schemas.openxmlformats.org/officeDocument/2006/relationships/sharedStrings" Target="/xl/sharedStrings.xml" Id="R805d1c96f37f4a83" /><Relationship Type="http://schemas.openxmlformats.org/officeDocument/2006/relationships/worksheet" Target="/xl/worksheets/sheet1.xml" Id="Rdf07d962749d4114" /><Relationship Type="http://schemas.openxmlformats.org/officeDocument/2006/relationships/worksheet" Target="/xl/worksheets/sheet2.xml" Id="Ra02643b749b44c14" /><Relationship Type="http://schemas.openxmlformats.org/officeDocument/2006/relationships/worksheet" Target="/xl/worksheets/sheet3.xml" Id="R5cb98d906fc64285" /><Relationship Type="http://schemas.openxmlformats.org/officeDocument/2006/relationships/worksheet" Target="/xl/worksheets/sheet4.xml" Id="R7b13c0055da54029" /><Relationship Type="http://schemas.openxmlformats.org/officeDocument/2006/relationships/worksheet" Target="/xl/worksheets/sheet5.xml" Id="R4106ba2699b04ab3" /><Relationship Type="http://schemas.openxmlformats.org/officeDocument/2006/relationships/worksheet" Target="/xl/worksheets/sheet6.xml" Id="R8fb3ff047f9d4b1b" /><Relationship Type="http://schemas.openxmlformats.org/officeDocument/2006/relationships/worksheet" Target="/xl/worksheets/sheet7.xml" Id="R24f9dbea03534d32" /><Relationship Type="http://schemas.openxmlformats.org/officeDocument/2006/relationships/worksheet" Target="/xl/worksheets/sheet8.xml" Id="R4f5e7e8444a9432f" /><Relationship Type="http://schemas.openxmlformats.org/officeDocument/2006/relationships/worksheet" Target="/xl/worksheets/sheet9.xml" Id="R2532dc3815f642ca" /><Relationship Type="http://schemas.openxmlformats.org/officeDocument/2006/relationships/worksheet" Target="/xl/worksheets/sheet10.xml" Id="R335158cc4f124d49" /><Relationship Type="http://schemas.openxmlformats.org/officeDocument/2006/relationships/worksheet" Target="/xl/worksheets/sheet11.xml" Id="Rf66ea24eb21c481e" /><Relationship Type="http://schemas.openxmlformats.org/officeDocument/2006/relationships/worksheet" Target="/xl/worksheets/sheet12.xml" Id="Rf2211a1170d64446" /><Relationship Type="http://schemas.openxmlformats.org/officeDocument/2006/relationships/worksheet" Target="/xl/worksheets/sheet13.xml" Id="Rb2024d82fb394c9a" /><Relationship Type="http://schemas.openxmlformats.org/officeDocument/2006/relationships/worksheet" Target="/xl/worksheets/sheet14.xml" Id="R5ae2e87105464c98" /><Relationship Type="http://schemas.openxmlformats.org/officeDocument/2006/relationships/worksheet" Target="/xl/worksheets/sheet15.xml" Id="R0089bec861fc4b3f" /><Relationship Type="http://schemas.openxmlformats.org/officeDocument/2006/relationships/worksheet" Target="/xl/worksheets/sheet16.xml" Id="R3a67b2792edc4b4d" /><Relationship Type="http://schemas.openxmlformats.org/officeDocument/2006/relationships/worksheet" Target="/xl/worksheets/sheet17.xml" Id="R59d9feb4a2ab4375" /><Relationship Type="http://schemas.openxmlformats.org/officeDocument/2006/relationships/worksheet" Target="/xl/worksheets/sheet18.xml" Id="R7d598e8bec4f4ad6" /><Relationship Type="http://schemas.openxmlformats.org/officeDocument/2006/relationships/worksheet" Target="/xl/worksheets/sheet19.xml" Id="R7eedb46ca8fe42cb" /><Relationship Type="http://schemas.openxmlformats.org/officeDocument/2006/relationships/worksheet" Target="/xl/worksheets/sheet20.xml" Id="R19055d42dffb4f4a" /><Relationship Type="http://schemas.openxmlformats.org/officeDocument/2006/relationships/worksheet" Target="/xl/worksheets/sheet21.xml" Id="R1d68cdf4999c4776" /><Relationship Type="http://schemas.openxmlformats.org/officeDocument/2006/relationships/worksheet" Target="/xl/worksheets/sheet22.xml" Id="R5416a36b90b44c95" /><Relationship Type="http://schemas.openxmlformats.org/officeDocument/2006/relationships/worksheet" Target="/xl/worksheets/sheet23.xml" Id="Ra1d54a0507ce4e87" /><Relationship Type="http://schemas.openxmlformats.org/officeDocument/2006/relationships/worksheet" Target="/xl/worksheets/sheet24.xml" Id="Rd6a66e9a82d948ab" /><Relationship Type="http://schemas.openxmlformats.org/officeDocument/2006/relationships/worksheet" Target="/xl/worksheets/sheet25.xml" Id="Rb70e72ad75b14eba" /><Relationship Type="http://schemas.openxmlformats.org/officeDocument/2006/relationships/worksheet" Target="/xl/worksheets/sheet26.xml" Id="R98d97e2fda85429f" /></Relationships>
</file>

<file path=xl/drawings/_rels/drawing1.xml.rels>&#65279;<?xml version="1.0" encoding="utf-8"?><Relationships xmlns="http://schemas.openxmlformats.org/package/2006/relationships"><Relationship Type="http://schemas.openxmlformats.org/officeDocument/2006/relationships/chart" Target="/xl/drawings/charts/chart1.xml" Id="R19414f1245574f6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9414f1245574f6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a97f707e3b04f8e" /></Relationships>
</file>

<file path=xl/worksheets/_rels/sheet2.xml.rels>&#65279;<?xml version="1.0" encoding="utf-8"?><Relationships xmlns="http://schemas.openxmlformats.org/package/2006/relationships"><Relationship Type="http://schemas.openxmlformats.org/officeDocument/2006/relationships/table" Target="/xl/tables/table2.xml" Id="R1e6c76267cb44091" /></Relationships>
</file>

<file path=xl/worksheets/_rels/sheet3.xml.rels>&#65279;<?xml version="1.0" encoding="utf-8"?><Relationships xmlns="http://schemas.openxmlformats.org/package/2006/relationships"><Relationship Type="http://schemas.openxmlformats.org/officeDocument/2006/relationships/drawing" Target="/xl/drawings/drawing1.xml" Id="Re190a51c343f40a9" /></Relationships>
</file>

<file path=xl/worksheets/_rels/sheet4.xml.rels>&#65279;<?xml version="1.0" encoding="utf-8"?><Relationships xmlns="http://schemas.openxmlformats.org/package/2006/relationships"><Relationship Type="http://schemas.openxmlformats.org/officeDocument/2006/relationships/table" Target="/xl/tables/table3.xml" Id="Rec1cf0d1538e4c8b" /></Relationships>
</file>

<file path=xl/worksheets/_rels/sheet5.xml.rels>&#65279;<?xml version="1.0" encoding="utf-8"?><Relationships xmlns="http://schemas.openxmlformats.org/package/2006/relationships"><Relationship Type="http://schemas.openxmlformats.org/officeDocument/2006/relationships/table" Target="/xl/tables/table4.xml" Id="R2e7f36cfe25c49ee" /></Relationships>
</file>

<file path=xl/worksheets/_rels/sheet6.xml.rels>&#65279;<?xml version="1.0" encoding="utf-8"?><Relationships xmlns="http://schemas.openxmlformats.org/package/2006/relationships"><Relationship Type="http://schemas.openxmlformats.org/officeDocument/2006/relationships/table" Target="/xl/tables/table5.xml" Id="R30e6dfbfafb04129" /></Relationships>
</file>

<file path=xl/worksheets/_rels/sheet7.xml.rels>&#65279;<?xml version="1.0" encoding="utf-8"?><Relationships xmlns="http://schemas.openxmlformats.org/package/2006/relationships"><Relationship Type="http://schemas.openxmlformats.org/officeDocument/2006/relationships/table" Target="/xl/tables/table6.xml" Id="R508a0e4e5dfc4c96" /></Relationships>
</file>

<file path=xl/worksheets/_rels/sheet9.xml.rels>&#65279;<?xml version="1.0" encoding="utf-8"?><Relationships xmlns="http://schemas.openxmlformats.org/package/2006/relationships"><Relationship Type="http://schemas.openxmlformats.org/officeDocument/2006/relationships/table" Target="/xl/tables/table7.xml" Id="Rcc0e02694eb841b6" /></Relationships>
</file>

<file path=xl/worksheets/_rels/sheet10.xml.rels>&#65279;<?xml version="1.0" encoding="utf-8"?><Relationships xmlns="http://schemas.openxmlformats.org/package/2006/relationships"><Relationship Type="http://schemas.openxmlformats.org/officeDocument/2006/relationships/table" Target="/xl/tables/table8.xml" Id="R8c270c6226fc4a42" /></Relationships>
</file>

<file path=xl/worksheets/_rels/sheet11.xml.rels>&#65279;<?xml version="1.0" encoding="utf-8"?><Relationships xmlns="http://schemas.openxmlformats.org/package/2006/relationships"><Relationship Type="http://schemas.openxmlformats.org/officeDocument/2006/relationships/table" Target="/xl/tables/table9.xml" Id="Ra9e3a6165c0e44ae" /></Relationships>
</file>

<file path=xl/worksheets/_rels/sheet13.xml.rels>&#65279;<?xml version="1.0" encoding="utf-8"?><Relationships xmlns="http://schemas.openxmlformats.org/package/2006/relationships"><Relationship Type="http://schemas.openxmlformats.org/officeDocument/2006/relationships/table" Target="/xl/tables/table10.xml" Id="Ra36bddcbdb424205" /></Relationships>
</file>

<file path=xl/worksheets/_rels/sheet14.xml.rels>&#65279;<?xml version="1.0" encoding="utf-8"?><Relationships xmlns="http://schemas.openxmlformats.org/package/2006/relationships"><Relationship Type="http://schemas.openxmlformats.org/officeDocument/2006/relationships/table" Target="/xl/tables/table11.xml" Id="R1b46be672a2d49b1" /></Relationships>
</file>

<file path=xl/worksheets/_rels/sheet15.xml.rels>&#65279;<?xml version="1.0" encoding="utf-8"?><Relationships xmlns="http://schemas.openxmlformats.org/package/2006/relationships"><Relationship Type="http://schemas.openxmlformats.org/officeDocument/2006/relationships/table" Target="/xl/tables/table12.xml" Id="Rfce2723bca5b4074" /></Relationships>
</file>

<file path=xl/worksheets/_rels/sheet16.xml.rels>&#65279;<?xml version="1.0" encoding="utf-8"?><Relationships xmlns="http://schemas.openxmlformats.org/package/2006/relationships"><Relationship Type="http://schemas.openxmlformats.org/officeDocument/2006/relationships/table" Target="/xl/tables/table13.xml" Id="R2ede69960b624e5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a97f707e3b04f8e"/>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1e6c76267cb4409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292</x:v>
      </x:c>
      <x:c r="D6" s="133" t="inlineStr">
        <x:is>
          <x:t xml:space="preserve">G0A — Corporate platform architecture ready</x:t>
        </x:is>
      </x:c>
      <x:c r="E6" s="32" t="str">
        <x:f>'03 Launch Gates'!D20</x:f>
        <x:v>Completed</x:v>
      </x:c>
      <x:c r="G6" t="inlineStr">
        <x:is>
          <x:t xml:space="preserve">UI Tasks Complete</x:t>
        </x:is>
      </x:c>
      <x:c r="H6" t="n">
        <x:f>SUM(B36:B46)</x:f>
        <x:v>70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0.7956403269754768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6</x:v>
      </x:c>
      <x:c r="C40" s="162" t="n">
        <x:f>COUNTIFS('01 Master Plan'!C$5:C$383,A40,'01 Master Plan'!H$5:H$383,"In Progress")</x:f>
        <x:v>0</x:v>
      </x:c>
      <x:c r="D40" s="162" t="n">
        <x:f>COUNTIFS('01 Master Plan'!C$5:C$383,A40,'01 Master Plan'!H$5:H$383,"Not Started")</x:f>
        <x:v>2</x:v>
      </x:c>
      <x:c r="E40" s="162" t="n">
        <x:f>COUNTIFS('01 Master Plan'!C$5:C$383,A40,'01 Master Plan'!H$5:H$383,"Blocked")</x:f>
        <x:v>2</x:v>
      </x:c>
      <x:c r="F40" s="162" t="n">
        <x:f>COUNTIFS('01 Master Plan'!C$5:C$383,A40,'01 Master Plan'!H$5:H$383,"Deferred")</x:f>
        <x:v>0</x:v>
      </x:c>
      <x:c r="G40" s="257" t="n">
        <x:f>IFERROR(B40/(B40+C40+D40+E40),0)</x:f>
        <x:v>0.6</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190a51c343f40a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c1cf0d1538e4c8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e7f36cfe25c49e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0e6dfbfafb0412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508a0e4e5dfc4c9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c0e02694eb841b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c270c6226fc4a4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9e3a6165c0e44a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and 13D-06 through 13D-08 PASS/CLOSED. 13D-04 remains BLOCKED pending a stable Ask Nexus/Search destination. 13D-05 remains BLOCKED pending a safe caller-owned lifecycle mapping. 13D-08 shell keyboard/focus/reduced-motion verification passed evidence-only with no code changes. Next executable canonical task: 13D-09 Run route/navigation regression after shell adoption.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a36bddcbdb42420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b46be672a2d49b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ce2723bca5b4074"/>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ede69960b624e5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