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f4cf73c6a8d4432" /></Relationships>
</file>

<file path=xl/workbook.xml><?xml version="1.0" encoding="utf-8"?>
<x:workbook xmlns:x="http://schemas.openxmlformats.org/spreadsheetml/2006/main">
  <x:sheets>
    <x:sheet xmlns:r="http://schemas.openxmlformats.org/officeDocument/2006/relationships" name="01 Master Plan" sheetId="1" r:id="Rd2fa61fd974f43f1"/>
    <x:sheet xmlns:r="http://schemas.openxmlformats.org/officeDocument/2006/relationships" name="03 Launch Gates" sheetId="2" r:id="Rb144b52539c04629"/>
    <x:sheet xmlns:r="http://schemas.openxmlformats.org/officeDocument/2006/relationships" name="00 Dashboard" sheetId="3" r:id="Rb2bd34a2cd1d464c"/>
    <x:sheet xmlns:r="http://schemas.openxmlformats.org/officeDocument/2006/relationships" name="04 Cursor Tasks" sheetId="4" r:id="Rab300f12d8d547ae"/>
    <x:sheet xmlns:r="http://schemas.openxmlformats.org/officeDocument/2006/relationships" name="05 UAT Matrix" sheetId="5" r:id="Rc1a132b083c148e5"/>
    <x:sheet xmlns:r="http://schemas.openxmlformats.org/officeDocument/2006/relationships" name="06 Security Matrix" sheetId="6" r:id="R673063f580e84868"/>
    <x:sheet xmlns:r="http://schemas.openxmlformats.org/officeDocument/2006/relationships" name="07 Risks" sheetId="7" r:id="Rd76cfc64fd79446b"/>
    <x:sheet xmlns:r="http://schemas.openxmlformats.org/officeDocument/2006/relationships" name="08 Architecture" sheetId="8" r:id="R5a99ad8f58c54528"/>
    <x:sheet xmlns:r="http://schemas.openxmlformats.org/officeDocument/2006/relationships" name="09 Release Checklist" sheetId="9" r:id="Reace04624eb24203"/>
    <x:sheet xmlns:r="http://schemas.openxmlformats.org/officeDocument/2006/relationships" name="10 Change Log" sheetId="10" r:id="R390dc6ca8cfb45f2"/>
    <x:sheet xmlns:r="http://schemas.openxmlformats.org/officeDocument/2006/relationships" name="11 Scope &amp; Roadmap" sheetId="11" r:id="R71d6d38b822a40c1"/>
    <x:sheet xmlns:r="http://schemas.openxmlformats.org/officeDocument/2006/relationships" name="12 How to Use" sheetId="12" r:id="Rc857f0b709ac4dc0"/>
    <x:sheet xmlns:r="http://schemas.openxmlformats.org/officeDocument/2006/relationships" name="13 UI Program" sheetId="13" r:id="R1f21f7dfce1442ac"/>
    <x:sheet xmlns:r="http://schemas.openxmlformats.org/officeDocument/2006/relationships" name="14 UI Scorecard" sheetId="14" r:id="R33af7c43b8d34eba"/>
    <x:sheet xmlns:r="http://schemas.openxmlformats.org/officeDocument/2006/relationships" name="15 Motion Guidance" sheetId="15" r:id="R69dfe1c17be9453f"/>
    <x:sheet xmlns:r="http://schemas.openxmlformats.org/officeDocument/2006/relationships" name="16 Design Standards" sheetId="16" r:id="R85f7b2908ef8447f"/>
    <x:sheet xmlns:r="http://schemas.openxmlformats.org/officeDocument/2006/relationships" name="17 Corporate Platform" sheetId="17" r:id="R3c135c43c9704c3a"/>
    <x:sheet xmlns:r="http://schemas.openxmlformats.org/officeDocument/2006/relationships" name="18 Analytics Reuse Map" sheetId="18" r:id="Raa507f13cc3e457d"/>
    <x:sheet xmlns:r="http://schemas.openxmlformats.org/officeDocument/2006/relationships" name="19 Executive Insights Discovery" sheetId="19" r:id="R320e6e931f434909"/>
    <x:sheet xmlns:r="http://schemas.openxmlformats.org/officeDocument/2006/relationships" name="20 Procurement Insights Discovery" sheetId="20" r:id="Rf8559af8a5ad4780"/>
    <x:sheet xmlns:r="http://schemas.openxmlformats.org/officeDocument/2006/relationships" name="21 Commercial Insights Discovery" sheetId="21" r:id="Rf87375108e454fc3"/>
    <x:sheet xmlns:r="http://schemas.openxmlformats.org/officeDocument/2006/relationships" name="22 Project Insights Discovery" sheetId="22" r:id="R73811928762b428b"/>
    <x:sheet xmlns:r="http://schemas.openxmlformats.org/officeDocument/2006/relationships" name="23 Performance Discovery" sheetId="23" r:id="R6c158d05e88846ba"/>
    <x:sheet xmlns:r="http://schemas.openxmlformats.org/officeDocument/2006/relationships" name="24 Risk Compliance Discovery" sheetId="24" r:id="R9004832f0bfd4869"/>
    <x:sheet xmlns:r="http://schemas.openxmlformats.org/officeDocument/2006/relationships" name="25 Commercial Handoff" sheetId="25" r:id="Rc4bd043e5b944903"/>
    <x:sheet xmlns:r="http://schemas.openxmlformats.org/officeDocument/2006/relationships" name="26 RFQ Governance" sheetId="26" r:id="Rc4068c45ad0b40a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29af7170adf49fa" /><Relationship Type="http://schemas.openxmlformats.org/officeDocument/2006/relationships/theme" Target="/xl/theme/theme1.xml" Id="R707f8273984e4abd" /><Relationship Type="http://schemas.openxmlformats.org/officeDocument/2006/relationships/sharedStrings" Target="/xl/sharedStrings.xml" Id="Ra1caeea735814124" /><Relationship Type="http://schemas.openxmlformats.org/officeDocument/2006/relationships/worksheet" Target="/xl/worksheets/sheet1.xml" Id="Rd2fa61fd974f43f1" /><Relationship Type="http://schemas.openxmlformats.org/officeDocument/2006/relationships/worksheet" Target="/xl/worksheets/sheet2.xml" Id="Rb144b52539c04629" /><Relationship Type="http://schemas.openxmlformats.org/officeDocument/2006/relationships/worksheet" Target="/xl/worksheets/sheet3.xml" Id="Rb2bd34a2cd1d464c" /><Relationship Type="http://schemas.openxmlformats.org/officeDocument/2006/relationships/worksheet" Target="/xl/worksheets/sheet4.xml" Id="Rab300f12d8d547ae" /><Relationship Type="http://schemas.openxmlformats.org/officeDocument/2006/relationships/worksheet" Target="/xl/worksheets/sheet5.xml" Id="Rc1a132b083c148e5" /><Relationship Type="http://schemas.openxmlformats.org/officeDocument/2006/relationships/worksheet" Target="/xl/worksheets/sheet6.xml" Id="R673063f580e84868" /><Relationship Type="http://schemas.openxmlformats.org/officeDocument/2006/relationships/worksheet" Target="/xl/worksheets/sheet7.xml" Id="Rd76cfc64fd79446b" /><Relationship Type="http://schemas.openxmlformats.org/officeDocument/2006/relationships/worksheet" Target="/xl/worksheets/sheet8.xml" Id="R5a99ad8f58c54528" /><Relationship Type="http://schemas.openxmlformats.org/officeDocument/2006/relationships/worksheet" Target="/xl/worksheets/sheet9.xml" Id="Reace04624eb24203" /><Relationship Type="http://schemas.openxmlformats.org/officeDocument/2006/relationships/worksheet" Target="/xl/worksheets/sheet10.xml" Id="R390dc6ca8cfb45f2" /><Relationship Type="http://schemas.openxmlformats.org/officeDocument/2006/relationships/worksheet" Target="/xl/worksheets/sheet11.xml" Id="R71d6d38b822a40c1" /><Relationship Type="http://schemas.openxmlformats.org/officeDocument/2006/relationships/worksheet" Target="/xl/worksheets/sheet12.xml" Id="Rc857f0b709ac4dc0" /><Relationship Type="http://schemas.openxmlformats.org/officeDocument/2006/relationships/worksheet" Target="/xl/worksheets/sheet13.xml" Id="R1f21f7dfce1442ac" /><Relationship Type="http://schemas.openxmlformats.org/officeDocument/2006/relationships/worksheet" Target="/xl/worksheets/sheet14.xml" Id="R33af7c43b8d34eba" /><Relationship Type="http://schemas.openxmlformats.org/officeDocument/2006/relationships/worksheet" Target="/xl/worksheets/sheet15.xml" Id="R69dfe1c17be9453f" /><Relationship Type="http://schemas.openxmlformats.org/officeDocument/2006/relationships/worksheet" Target="/xl/worksheets/sheet16.xml" Id="R85f7b2908ef8447f" /><Relationship Type="http://schemas.openxmlformats.org/officeDocument/2006/relationships/worksheet" Target="/xl/worksheets/sheet17.xml" Id="R3c135c43c9704c3a" /><Relationship Type="http://schemas.openxmlformats.org/officeDocument/2006/relationships/worksheet" Target="/xl/worksheets/sheet18.xml" Id="Raa507f13cc3e457d" /><Relationship Type="http://schemas.openxmlformats.org/officeDocument/2006/relationships/worksheet" Target="/xl/worksheets/sheet19.xml" Id="R320e6e931f434909" /><Relationship Type="http://schemas.openxmlformats.org/officeDocument/2006/relationships/worksheet" Target="/xl/worksheets/sheet20.xml" Id="Rf8559af8a5ad4780" /><Relationship Type="http://schemas.openxmlformats.org/officeDocument/2006/relationships/worksheet" Target="/xl/worksheets/sheet21.xml" Id="Rf87375108e454fc3" /><Relationship Type="http://schemas.openxmlformats.org/officeDocument/2006/relationships/worksheet" Target="/xl/worksheets/sheet22.xml" Id="R73811928762b428b" /><Relationship Type="http://schemas.openxmlformats.org/officeDocument/2006/relationships/worksheet" Target="/xl/worksheets/sheet23.xml" Id="R6c158d05e88846ba" /><Relationship Type="http://schemas.openxmlformats.org/officeDocument/2006/relationships/worksheet" Target="/xl/worksheets/sheet24.xml" Id="R9004832f0bfd4869" /><Relationship Type="http://schemas.openxmlformats.org/officeDocument/2006/relationships/worksheet" Target="/xl/worksheets/sheet25.xml" Id="Rc4bd043e5b944903" /><Relationship Type="http://schemas.openxmlformats.org/officeDocument/2006/relationships/worksheet" Target="/xl/worksheets/sheet26.xml" Id="Rc4068c45ad0b40a2" /></Relationships>
</file>

<file path=xl/drawings/_rels/drawing1.xml.rels>&#65279;<?xml version="1.0" encoding="utf-8"?><Relationships xmlns="http://schemas.openxmlformats.org/package/2006/relationships"><Relationship Type="http://schemas.openxmlformats.org/officeDocument/2006/relationships/chart" Target="/xl/drawings/charts/chart1.xml" Id="R3d81594f37644395"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d81594f37644395"/>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e9ebe174779499a" /></Relationships>
</file>

<file path=xl/worksheets/_rels/sheet2.xml.rels>&#65279;<?xml version="1.0" encoding="utf-8"?><Relationships xmlns="http://schemas.openxmlformats.org/package/2006/relationships"><Relationship Type="http://schemas.openxmlformats.org/officeDocument/2006/relationships/table" Target="/xl/tables/table2.xml" Id="R8f1f9ab8df904d8e" /></Relationships>
</file>

<file path=xl/worksheets/_rels/sheet3.xml.rels>&#65279;<?xml version="1.0" encoding="utf-8"?><Relationships xmlns="http://schemas.openxmlformats.org/package/2006/relationships"><Relationship Type="http://schemas.openxmlformats.org/officeDocument/2006/relationships/drawing" Target="/xl/drawings/drawing1.xml" Id="R3a82697b86804450" /></Relationships>
</file>

<file path=xl/worksheets/_rels/sheet4.xml.rels>&#65279;<?xml version="1.0" encoding="utf-8"?><Relationships xmlns="http://schemas.openxmlformats.org/package/2006/relationships"><Relationship Type="http://schemas.openxmlformats.org/officeDocument/2006/relationships/table" Target="/xl/tables/table3.xml" Id="R2de18f54a61e47f7" /></Relationships>
</file>

<file path=xl/worksheets/_rels/sheet5.xml.rels>&#65279;<?xml version="1.0" encoding="utf-8"?><Relationships xmlns="http://schemas.openxmlformats.org/package/2006/relationships"><Relationship Type="http://schemas.openxmlformats.org/officeDocument/2006/relationships/table" Target="/xl/tables/table4.xml" Id="R8845c4b274bb473a" /></Relationships>
</file>

<file path=xl/worksheets/_rels/sheet6.xml.rels>&#65279;<?xml version="1.0" encoding="utf-8"?><Relationships xmlns="http://schemas.openxmlformats.org/package/2006/relationships"><Relationship Type="http://schemas.openxmlformats.org/officeDocument/2006/relationships/table" Target="/xl/tables/table5.xml" Id="Rdd91a10fe3544d32" /></Relationships>
</file>

<file path=xl/worksheets/_rels/sheet7.xml.rels>&#65279;<?xml version="1.0" encoding="utf-8"?><Relationships xmlns="http://schemas.openxmlformats.org/package/2006/relationships"><Relationship Type="http://schemas.openxmlformats.org/officeDocument/2006/relationships/table" Target="/xl/tables/table6.xml" Id="R1afc1c2470794a7c" /></Relationships>
</file>

<file path=xl/worksheets/_rels/sheet9.xml.rels>&#65279;<?xml version="1.0" encoding="utf-8"?><Relationships xmlns="http://schemas.openxmlformats.org/package/2006/relationships"><Relationship Type="http://schemas.openxmlformats.org/officeDocument/2006/relationships/table" Target="/xl/tables/table7.xml" Id="R9a86fc09f87c4e88" /></Relationships>
</file>

<file path=xl/worksheets/_rels/sheet10.xml.rels>&#65279;<?xml version="1.0" encoding="utf-8"?><Relationships xmlns="http://schemas.openxmlformats.org/package/2006/relationships"><Relationship Type="http://schemas.openxmlformats.org/officeDocument/2006/relationships/table" Target="/xl/tables/table8.xml" Id="R65f8f7815d2843f8" /></Relationships>
</file>

<file path=xl/worksheets/_rels/sheet11.xml.rels>&#65279;<?xml version="1.0" encoding="utf-8"?><Relationships xmlns="http://schemas.openxmlformats.org/package/2006/relationships"><Relationship Type="http://schemas.openxmlformats.org/officeDocument/2006/relationships/table" Target="/xl/tables/table9.xml" Id="R015cdd7237434624" /></Relationships>
</file>

<file path=xl/worksheets/_rels/sheet13.xml.rels>&#65279;<?xml version="1.0" encoding="utf-8"?><Relationships xmlns="http://schemas.openxmlformats.org/package/2006/relationships"><Relationship Type="http://schemas.openxmlformats.org/officeDocument/2006/relationships/table" Target="/xl/tables/table10.xml" Id="Rea62c685daaf431d" /></Relationships>
</file>

<file path=xl/worksheets/_rels/sheet14.xml.rels>&#65279;<?xml version="1.0" encoding="utf-8"?><Relationships xmlns="http://schemas.openxmlformats.org/package/2006/relationships"><Relationship Type="http://schemas.openxmlformats.org/officeDocument/2006/relationships/table" Target="/xl/tables/table11.xml" Id="Rdecbef8a253f4649" /></Relationships>
</file>

<file path=xl/worksheets/_rels/sheet15.xml.rels>&#65279;<?xml version="1.0" encoding="utf-8"?><Relationships xmlns="http://schemas.openxmlformats.org/package/2006/relationships"><Relationship Type="http://schemas.openxmlformats.org/officeDocument/2006/relationships/table" Target="/xl/tables/table12.xml" Id="R4ed4a1b5610a4c77" /></Relationships>
</file>

<file path=xl/worksheets/_rels/sheet16.xml.rels>&#65279;<?xml version="1.0" encoding="utf-8"?><Relationships xmlns="http://schemas.openxmlformats.org/package/2006/relationships"><Relationship Type="http://schemas.openxmlformats.org/officeDocument/2006/relationships/table" Target="/xl/tables/table13.xml" Id="Ra643fac04a1b46c4"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9e9ebe174779499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is underway. 20-01 through 20-04 are published and closed: Getting Started, Create Company, Create RFQ, and Invite Companies. Documentation now covers workspace orientation, governed company onboarding, RFQ creation/publication, and the RFQ Invitation lifecycle including delivery/retry/troubleshooting boundaries. G11 remains open pending 20-05 through 20-12.</x:v>
      </x:c>
      <x:c r="G16" s="249" t="n">
        <x:v>46295</x:v>
      </x:c>
      <x:c r="H16" s="32" t="str">
        <x:v>Do not mark G11 complete until all launch documentation and support-path tasks 20-01 through 20-12 are complete, internally consistent, and reviewed.</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f1f9ab8df904d8e"/>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236</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0.6430517711171662</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0.6436363636363637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4</x:v>
      </x:c>
      <x:c r="C53" s="28" t="n">
        <x:f>COUNTIFS('01 Master Plan'!C$5:C$383,A53,'01 Master Plan'!H$5:H$383,"In Progress")</x:f>
        <x:v>0</x:v>
      </x:c>
      <x:c r="D53" s="28" t="n">
        <x:f>COUNTIFS('01 Master Plan'!C$5:C$383,A53,'01 Master Plan'!H$5:H$383,"Not Started")</x:f>
        <x:v>8</x:v>
      </x:c>
      <x:c r="E53" s="28" t="n">
        <x:f>COUNTIFS('01 Master Plan'!C$5:C$383,A53,'01 Master Plan'!H$5:H$383,"Blocked")</x:f>
        <x:v>0</x:v>
      </x:c>
      <x:c r="F53" s="28" t="n">
        <x:f>COUNTIFS('01 Master Plan'!C$5:C$383,A53,'01 Master Plan'!H$5:H$383,"Deferred")</x:f>
        <x:v>0</x:v>
      </x:c>
      <x:c r="G53" s="258" t="n">
        <x:f>IFERROR(B53/(B53+C53+D53+E53),0)</x:f>
        <x:v>0.3333333333333333</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3a82697b86804450"/>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2de18f54a61e47f7"/>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8845c4b274bb473a"/>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dd91a10fe3544d3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1afc1c2470794a7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9a86fc09f87c4e88"/>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65f8f7815d2843f8"/>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015cdd7237434624"/>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a62c685daaf431d"/>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decbef8a253f4649"/>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ed4a1b5610a4c77"/>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a643fac04a1b46c4"/>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