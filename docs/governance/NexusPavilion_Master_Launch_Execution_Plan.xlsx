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69dddb727214d6a" /></Relationships>
</file>

<file path=xl/workbook.xml><?xml version="1.0" encoding="utf-8"?>
<x:workbook xmlns:x="http://schemas.openxmlformats.org/spreadsheetml/2006/main">
  <x:sheets>
    <x:sheet xmlns:r="http://schemas.openxmlformats.org/officeDocument/2006/relationships" name="01 Master Plan" sheetId="1" r:id="R61783b0d3bf8442c"/>
    <x:sheet xmlns:r="http://schemas.openxmlformats.org/officeDocument/2006/relationships" name="03 Launch Gates" sheetId="2" r:id="R87ed1870694540a7"/>
    <x:sheet xmlns:r="http://schemas.openxmlformats.org/officeDocument/2006/relationships" name="00 Dashboard" sheetId="3" r:id="R987b4ad2b6a448cc"/>
    <x:sheet xmlns:r="http://schemas.openxmlformats.org/officeDocument/2006/relationships" name="04 Cursor Tasks" sheetId="4" r:id="R99572d0b47244d29"/>
    <x:sheet xmlns:r="http://schemas.openxmlformats.org/officeDocument/2006/relationships" name="05 UAT Matrix" sheetId="5" r:id="R27805958f0ee4364"/>
    <x:sheet xmlns:r="http://schemas.openxmlformats.org/officeDocument/2006/relationships" name="06 Security Matrix" sheetId="6" r:id="R10367e75b3c1487f"/>
    <x:sheet xmlns:r="http://schemas.openxmlformats.org/officeDocument/2006/relationships" name="07 Risks" sheetId="7" r:id="R706ecc9668d24d50"/>
    <x:sheet xmlns:r="http://schemas.openxmlformats.org/officeDocument/2006/relationships" name="08 Architecture" sheetId="8" r:id="R88fa1de97d8a41c8"/>
    <x:sheet xmlns:r="http://schemas.openxmlformats.org/officeDocument/2006/relationships" name="09 Release Checklist" sheetId="9" r:id="R021f46bfb69644d4"/>
    <x:sheet xmlns:r="http://schemas.openxmlformats.org/officeDocument/2006/relationships" name="10 Change Log" sheetId="10" r:id="R7f3532dc7d53413d"/>
    <x:sheet xmlns:r="http://schemas.openxmlformats.org/officeDocument/2006/relationships" name="11 Scope &amp; Roadmap" sheetId="11" r:id="R4d79d63aae424966"/>
    <x:sheet xmlns:r="http://schemas.openxmlformats.org/officeDocument/2006/relationships" name="12 How to Use" sheetId="12" r:id="Rb9a007cbe5724148"/>
    <x:sheet xmlns:r="http://schemas.openxmlformats.org/officeDocument/2006/relationships" name="13 UI Program" sheetId="13" r:id="Re3fec5ec527d4bd1"/>
    <x:sheet xmlns:r="http://schemas.openxmlformats.org/officeDocument/2006/relationships" name="14 UI Scorecard" sheetId="14" r:id="Rac01e83ab0234ca7"/>
    <x:sheet xmlns:r="http://schemas.openxmlformats.org/officeDocument/2006/relationships" name="15 Motion Guidance" sheetId="15" r:id="R6f7f04346ee14e0b"/>
    <x:sheet xmlns:r="http://schemas.openxmlformats.org/officeDocument/2006/relationships" name="16 Design Standards" sheetId="16" r:id="Re7e50f952b514c71"/>
    <x:sheet xmlns:r="http://schemas.openxmlformats.org/officeDocument/2006/relationships" name="17 Corporate Platform" sheetId="17" r:id="R08612af03f744171"/>
    <x:sheet xmlns:r="http://schemas.openxmlformats.org/officeDocument/2006/relationships" name="18 Analytics Reuse Map" sheetId="18" r:id="Re8ce2702d1d74d3b"/>
    <x:sheet xmlns:r="http://schemas.openxmlformats.org/officeDocument/2006/relationships" name="19 Executive Insights Discovery" sheetId="19" r:id="Rf1a59c4f4a2a4fff"/>
    <x:sheet xmlns:r="http://schemas.openxmlformats.org/officeDocument/2006/relationships" name="20 Procurement Insights Discovery" sheetId="20" r:id="R8398fd91dac844fa"/>
    <x:sheet xmlns:r="http://schemas.openxmlformats.org/officeDocument/2006/relationships" name="21 Commercial Insights Discovery" sheetId="21" r:id="Re00da0cd5e6f4167"/>
    <x:sheet xmlns:r="http://schemas.openxmlformats.org/officeDocument/2006/relationships" name="22 Project Insights Discovery" sheetId="22" r:id="Re58d9a74e71b4454"/>
    <x:sheet xmlns:r="http://schemas.openxmlformats.org/officeDocument/2006/relationships" name="23 Performance Discovery" sheetId="23" r:id="Rcdcd105d0371458f"/>
    <x:sheet xmlns:r="http://schemas.openxmlformats.org/officeDocument/2006/relationships" name="24 Risk Compliance Discovery" sheetId="24" r:id="Reb9cb3ea3d5248f8"/>
    <x:sheet xmlns:r="http://schemas.openxmlformats.org/officeDocument/2006/relationships" name="25 Commercial Handoff" sheetId="25" r:id="Rd0f1fc4613074b25"/>
    <x:sheet xmlns:r="http://schemas.openxmlformats.org/officeDocument/2006/relationships" name="26 RFQ Governance" sheetId="26" r:id="Rf5eae98f39464f2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d0e32e68f954b90" /><Relationship Type="http://schemas.openxmlformats.org/officeDocument/2006/relationships/theme" Target="/xl/theme/theme1.xml" Id="Rd617850acade44a0" /><Relationship Type="http://schemas.openxmlformats.org/officeDocument/2006/relationships/sharedStrings" Target="/xl/sharedStrings.xml" Id="R5bb3ed6e3a034f63" /><Relationship Type="http://schemas.openxmlformats.org/officeDocument/2006/relationships/worksheet" Target="/xl/worksheets/sheet1.xml" Id="R61783b0d3bf8442c" /><Relationship Type="http://schemas.openxmlformats.org/officeDocument/2006/relationships/worksheet" Target="/xl/worksheets/sheet2.xml" Id="R87ed1870694540a7" /><Relationship Type="http://schemas.openxmlformats.org/officeDocument/2006/relationships/worksheet" Target="/xl/worksheets/sheet3.xml" Id="R987b4ad2b6a448cc" /><Relationship Type="http://schemas.openxmlformats.org/officeDocument/2006/relationships/worksheet" Target="/xl/worksheets/sheet4.xml" Id="R99572d0b47244d29" /><Relationship Type="http://schemas.openxmlformats.org/officeDocument/2006/relationships/worksheet" Target="/xl/worksheets/sheet5.xml" Id="R27805958f0ee4364" /><Relationship Type="http://schemas.openxmlformats.org/officeDocument/2006/relationships/worksheet" Target="/xl/worksheets/sheet6.xml" Id="R10367e75b3c1487f" /><Relationship Type="http://schemas.openxmlformats.org/officeDocument/2006/relationships/worksheet" Target="/xl/worksheets/sheet7.xml" Id="R706ecc9668d24d50" /><Relationship Type="http://schemas.openxmlformats.org/officeDocument/2006/relationships/worksheet" Target="/xl/worksheets/sheet8.xml" Id="R88fa1de97d8a41c8" /><Relationship Type="http://schemas.openxmlformats.org/officeDocument/2006/relationships/worksheet" Target="/xl/worksheets/sheet9.xml" Id="R021f46bfb69644d4" /><Relationship Type="http://schemas.openxmlformats.org/officeDocument/2006/relationships/worksheet" Target="/xl/worksheets/sheet10.xml" Id="R7f3532dc7d53413d" /><Relationship Type="http://schemas.openxmlformats.org/officeDocument/2006/relationships/worksheet" Target="/xl/worksheets/sheet11.xml" Id="R4d79d63aae424966" /><Relationship Type="http://schemas.openxmlformats.org/officeDocument/2006/relationships/worksheet" Target="/xl/worksheets/sheet12.xml" Id="Rb9a007cbe5724148" /><Relationship Type="http://schemas.openxmlformats.org/officeDocument/2006/relationships/worksheet" Target="/xl/worksheets/sheet13.xml" Id="Re3fec5ec527d4bd1" /><Relationship Type="http://schemas.openxmlformats.org/officeDocument/2006/relationships/worksheet" Target="/xl/worksheets/sheet14.xml" Id="Rac01e83ab0234ca7" /><Relationship Type="http://schemas.openxmlformats.org/officeDocument/2006/relationships/worksheet" Target="/xl/worksheets/sheet15.xml" Id="R6f7f04346ee14e0b" /><Relationship Type="http://schemas.openxmlformats.org/officeDocument/2006/relationships/worksheet" Target="/xl/worksheets/sheet16.xml" Id="Re7e50f952b514c71" /><Relationship Type="http://schemas.openxmlformats.org/officeDocument/2006/relationships/worksheet" Target="/xl/worksheets/sheet17.xml" Id="R08612af03f744171" /><Relationship Type="http://schemas.openxmlformats.org/officeDocument/2006/relationships/worksheet" Target="/xl/worksheets/sheet18.xml" Id="Re8ce2702d1d74d3b" /><Relationship Type="http://schemas.openxmlformats.org/officeDocument/2006/relationships/worksheet" Target="/xl/worksheets/sheet19.xml" Id="Rf1a59c4f4a2a4fff" /><Relationship Type="http://schemas.openxmlformats.org/officeDocument/2006/relationships/worksheet" Target="/xl/worksheets/sheet20.xml" Id="R8398fd91dac844fa" /><Relationship Type="http://schemas.openxmlformats.org/officeDocument/2006/relationships/worksheet" Target="/xl/worksheets/sheet21.xml" Id="Re00da0cd5e6f4167" /><Relationship Type="http://schemas.openxmlformats.org/officeDocument/2006/relationships/worksheet" Target="/xl/worksheets/sheet22.xml" Id="Re58d9a74e71b4454" /><Relationship Type="http://schemas.openxmlformats.org/officeDocument/2006/relationships/worksheet" Target="/xl/worksheets/sheet23.xml" Id="Rcdcd105d0371458f" /><Relationship Type="http://schemas.openxmlformats.org/officeDocument/2006/relationships/worksheet" Target="/xl/worksheets/sheet24.xml" Id="Reb9cb3ea3d5248f8" /><Relationship Type="http://schemas.openxmlformats.org/officeDocument/2006/relationships/worksheet" Target="/xl/worksheets/sheet25.xml" Id="Rd0f1fc4613074b25" /><Relationship Type="http://schemas.openxmlformats.org/officeDocument/2006/relationships/worksheet" Target="/xl/worksheets/sheet26.xml" Id="Rf5eae98f39464f29" /></Relationships>
</file>

<file path=xl/drawings/_rels/drawing1.xml.rels>&#65279;<?xml version="1.0" encoding="utf-8"?><Relationships xmlns="http://schemas.openxmlformats.org/package/2006/relationships"><Relationship Type="http://schemas.openxmlformats.org/officeDocument/2006/relationships/chart" Target="/xl/drawings/charts/chart1.xml" Id="R1f549851b631497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f549851b631497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61980dfcf94432d" /></Relationships>
</file>

<file path=xl/worksheets/_rels/sheet2.xml.rels>&#65279;<?xml version="1.0" encoding="utf-8"?><Relationships xmlns="http://schemas.openxmlformats.org/package/2006/relationships"><Relationship Type="http://schemas.openxmlformats.org/officeDocument/2006/relationships/table" Target="/xl/tables/table2.xml" Id="R988f833d10be45ac" /></Relationships>
</file>

<file path=xl/worksheets/_rels/sheet3.xml.rels>&#65279;<?xml version="1.0" encoding="utf-8"?><Relationships xmlns="http://schemas.openxmlformats.org/package/2006/relationships"><Relationship Type="http://schemas.openxmlformats.org/officeDocument/2006/relationships/drawing" Target="/xl/drawings/drawing1.xml" Id="R5d301b5294a44075" /></Relationships>
</file>

<file path=xl/worksheets/_rels/sheet4.xml.rels>&#65279;<?xml version="1.0" encoding="utf-8"?><Relationships xmlns="http://schemas.openxmlformats.org/package/2006/relationships"><Relationship Type="http://schemas.openxmlformats.org/officeDocument/2006/relationships/table" Target="/xl/tables/table3.xml" Id="R668ec31e10f24412" /></Relationships>
</file>

<file path=xl/worksheets/_rels/sheet5.xml.rels>&#65279;<?xml version="1.0" encoding="utf-8"?><Relationships xmlns="http://schemas.openxmlformats.org/package/2006/relationships"><Relationship Type="http://schemas.openxmlformats.org/officeDocument/2006/relationships/table" Target="/xl/tables/table4.xml" Id="Rf904785a9419405f" /></Relationships>
</file>

<file path=xl/worksheets/_rels/sheet6.xml.rels>&#65279;<?xml version="1.0" encoding="utf-8"?><Relationships xmlns="http://schemas.openxmlformats.org/package/2006/relationships"><Relationship Type="http://schemas.openxmlformats.org/officeDocument/2006/relationships/table" Target="/xl/tables/table5.xml" Id="R2693344f194e4499" /></Relationships>
</file>

<file path=xl/worksheets/_rels/sheet7.xml.rels>&#65279;<?xml version="1.0" encoding="utf-8"?><Relationships xmlns="http://schemas.openxmlformats.org/package/2006/relationships"><Relationship Type="http://schemas.openxmlformats.org/officeDocument/2006/relationships/table" Target="/xl/tables/table6.xml" Id="R6e7bddf6a6274fcb" /></Relationships>
</file>

<file path=xl/worksheets/_rels/sheet9.xml.rels>&#65279;<?xml version="1.0" encoding="utf-8"?><Relationships xmlns="http://schemas.openxmlformats.org/package/2006/relationships"><Relationship Type="http://schemas.openxmlformats.org/officeDocument/2006/relationships/table" Target="/xl/tables/table7.xml" Id="R96fbc668379a475d" /></Relationships>
</file>

<file path=xl/worksheets/_rels/sheet10.xml.rels>&#65279;<?xml version="1.0" encoding="utf-8"?><Relationships xmlns="http://schemas.openxmlformats.org/package/2006/relationships"><Relationship Type="http://schemas.openxmlformats.org/officeDocument/2006/relationships/table" Target="/xl/tables/table8.xml" Id="Rb1a123b9dd6940ee" /></Relationships>
</file>

<file path=xl/worksheets/_rels/sheet11.xml.rels>&#65279;<?xml version="1.0" encoding="utf-8"?><Relationships xmlns="http://schemas.openxmlformats.org/package/2006/relationships"><Relationship Type="http://schemas.openxmlformats.org/officeDocument/2006/relationships/table" Target="/xl/tables/table9.xml" Id="R2d09c851ba244fc7" /></Relationships>
</file>

<file path=xl/worksheets/_rels/sheet13.xml.rels>&#65279;<?xml version="1.0" encoding="utf-8"?><Relationships xmlns="http://schemas.openxmlformats.org/package/2006/relationships"><Relationship Type="http://schemas.openxmlformats.org/officeDocument/2006/relationships/table" Target="/xl/tables/table10.xml" Id="R56d4813f6904442a" /></Relationships>
</file>

<file path=xl/worksheets/_rels/sheet14.xml.rels>&#65279;<?xml version="1.0" encoding="utf-8"?><Relationships xmlns="http://schemas.openxmlformats.org/package/2006/relationships"><Relationship Type="http://schemas.openxmlformats.org/officeDocument/2006/relationships/table" Target="/xl/tables/table11.xml" Id="R30812f53134a49c1" /></Relationships>
</file>

<file path=xl/worksheets/_rels/sheet15.xml.rels>&#65279;<?xml version="1.0" encoding="utf-8"?><Relationships xmlns="http://schemas.openxmlformats.org/package/2006/relationships"><Relationship Type="http://schemas.openxmlformats.org/officeDocument/2006/relationships/table" Target="/xl/tables/table12.xml" Id="R9135cf2c5d324e4a" /></Relationships>
</file>

<file path=xl/worksheets/_rels/sheet16.xml.rels>&#65279;<?xml version="1.0" encoding="utf-8"?><Relationships xmlns="http://schemas.openxmlformats.org/package/2006/relationships"><Relationship Type="http://schemas.openxmlformats.org/officeDocument/2006/relationships/table" Target="/xl/tables/table13.xml" Id="R1bc4244b7fb947dc"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061980dfcf94432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88f833d10be45a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331</x:v>
      </x:c>
      <x:c r="D6" s="133" t="inlineStr">
        <x:is>
          <x:t xml:space="preserve">G0A — Corporate platform architecture ready</x:t>
        </x:is>
      </x:c>
      <x:c r="E6" s="32" t="str">
        <x:f>'03 Launch Gates'!D20</x:f>
        <x:v>Completed</x:v>
      </x:c>
      <x:c r="G6" t="inlineStr">
        <x:is>
          <x:t xml:space="preserve">UI Tasks Complete</x:t>
        </x:is>
      </x:c>
      <x:c r="H6" t="n">
        <x:f>SUM(B36:B46)</x:f>
        <x:v>109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0.9019073569482289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0.9236363636363636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4</x:v>
      </x:c>
      <x:c r="C44" s="28" t="n">
        <x:f>COUNTIFS('01 Master Plan'!C$5:C$383,A44,'01 Master Plan'!H$5:H$383,"In Progress")</x:f>
        <x:v>0</x:v>
      </x:c>
      <x:c r="D44" s="28" t="n">
        <x:f>COUNTIFS('01 Master Plan'!C$5:C$383,A44,'01 Master Plan'!H$5:H$383,"Not Started")</x:f>
        <x:v>16</x:v>
      </x:c>
      <x:c r="E44" s="28" t="n">
        <x:f>COUNTIFS('01 Master Plan'!C$5:C$383,A44,'01 Master Plan'!H$5:H$383,"Blocked")</x:f>
        <x:v>0</x:v>
      </x:c>
      <x:c r="F44" s="28" t="n">
        <x:f>COUNTIFS('01 Master Plan'!C$5:C$383,A44,'01 Master Plan'!H$5:H$383,"Deferred")</x:f>
        <x:v>0</x:v>
      </x:c>
      <x:c r="G44" s="258" t="n">
        <x:f>IFERROR(B44/(B44+C44+D44+E44),0)</x:f>
        <x:v>0.2</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d301b5294a4407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668ec31e10f24412"/>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904785a9419405f"/>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693344f194e449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e7bddf6a6274fc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6fbc668379a475d"/>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1a123b9dd6940e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2d09c851ba244fc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13H-04 PASS/CLOSED/PUBLISHED. Executive Overview, Procurement Center, RFQ Drafting &amp; Configuration, and Market Engagement &amp; Publishing now use the shared Executive Design System while preserving procurement, invitation, authorization, publication and communication semantics. Next executable canonical task: 13H-05 Upgrade Issuer RFI / Addenda Management.</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6d4813f6904442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0812f53134a49c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135cf2c5d324e4a"/>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bc4244b7fb947dc"/>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