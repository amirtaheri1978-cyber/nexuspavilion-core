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df58b1aa2e48f9" /></Relationships>
</file>

<file path=xl/workbook.xml><?xml version="1.0" encoding="utf-8"?>
<x:workbook xmlns:x="http://schemas.openxmlformats.org/spreadsheetml/2006/main">
  <x:sheets>
    <x:sheet xmlns:r="http://schemas.openxmlformats.org/officeDocument/2006/relationships" name="01 Master Plan" sheetId="1" r:id="R52d50be0e14b4e5c"/>
    <x:sheet xmlns:r="http://schemas.openxmlformats.org/officeDocument/2006/relationships" name="03 Launch Gates" sheetId="2" r:id="R2289d9069a47469c"/>
    <x:sheet xmlns:r="http://schemas.openxmlformats.org/officeDocument/2006/relationships" name="00 Dashboard" sheetId="3" r:id="R76db4acc88cb4fd2"/>
    <x:sheet xmlns:r="http://schemas.openxmlformats.org/officeDocument/2006/relationships" name="04 Cursor Tasks" sheetId="4" r:id="R73ec2c37bb4f49c7"/>
    <x:sheet xmlns:r="http://schemas.openxmlformats.org/officeDocument/2006/relationships" name="05 UAT Matrix" sheetId="5" r:id="R7c571b1b9b4a4c85"/>
    <x:sheet xmlns:r="http://schemas.openxmlformats.org/officeDocument/2006/relationships" name="06 Security Matrix" sheetId="6" r:id="R0ab0d654bd054d4b"/>
    <x:sheet xmlns:r="http://schemas.openxmlformats.org/officeDocument/2006/relationships" name="07 Risks" sheetId="7" r:id="R4be3ec43cd0a47d2"/>
    <x:sheet xmlns:r="http://schemas.openxmlformats.org/officeDocument/2006/relationships" name="08 Architecture" sheetId="8" r:id="R9585f74c7b614f83"/>
    <x:sheet xmlns:r="http://schemas.openxmlformats.org/officeDocument/2006/relationships" name="09 Release Checklist" sheetId="9" r:id="Rb376d70227c74268"/>
    <x:sheet xmlns:r="http://schemas.openxmlformats.org/officeDocument/2006/relationships" name="10 Change Log" sheetId="10" r:id="Rfab657ab79704c1b"/>
    <x:sheet xmlns:r="http://schemas.openxmlformats.org/officeDocument/2006/relationships" name="11 Scope &amp; Roadmap" sheetId="11" r:id="R1aa8d931d733460b"/>
    <x:sheet xmlns:r="http://schemas.openxmlformats.org/officeDocument/2006/relationships" name="12 How to Use" sheetId="12" r:id="R8eaffd30c9ce47dd"/>
    <x:sheet xmlns:r="http://schemas.openxmlformats.org/officeDocument/2006/relationships" name="13 UI Program" sheetId="13" r:id="Rad0f69218d8549c8"/>
    <x:sheet xmlns:r="http://schemas.openxmlformats.org/officeDocument/2006/relationships" name="14 UI Scorecard" sheetId="14" r:id="R7c5a7a07ad9a4e72"/>
    <x:sheet xmlns:r="http://schemas.openxmlformats.org/officeDocument/2006/relationships" name="15 Motion Guidance" sheetId="15" r:id="R2921ae45e8a24788"/>
    <x:sheet xmlns:r="http://schemas.openxmlformats.org/officeDocument/2006/relationships" name="16 Design Standards" sheetId="16" r:id="R9e48b6d9f31c4512"/>
    <x:sheet xmlns:r="http://schemas.openxmlformats.org/officeDocument/2006/relationships" name="17 Corporate Platform" sheetId="17" r:id="R492efd0c191f400e"/>
    <x:sheet xmlns:r="http://schemas.openxmlformats.org/officeDocument/2006/relationships" name="18 Analytics Reuse Map" sheetId="18" r:id="Rce55c4d79dbf46d7"/>
    <x:sheet xmlns:r="http://schemas.openxmlformats.org/officeDocument/2006/relationships" name="19 Executive Insights Discovery" sheetId="19" r:id="Rf79ad2aac1f34746"/>
    <x:sheet xmlns:r="http://schemas.openxmlformats.org/officeDocument/2006/relationships" name="20 Procurement Insights Discovery" sheetId="20" r:id="Rd553b3e5510f40f8"/>
    <x:sheet xmlns:r="http://schemas.openxmlformats.org/officeDocument/2006/relationships" name="21 Commercial Insights Discovery" sheetId="21" r:id="R230f7df7600448e4"/>
    <x:sheet xmlns:r="http://schemas.openxmlformats.org/officeDocument/2006/relationships" name="22 Project Insights Discovery" sheetId="22" r:id="R0d5c7344b31a497c"/>
    <x:sheet xmlns:r="http://schemas.openxmlformats.org/officeDocument/2006/relationships" name="23 Performance Discovery" sheetId="23" r:id="R8c44eb394c2c4782"/>
    <x:sheet xmlns:r="http://schemas.openxmlformats.org/officeDocument/2006/relationships" name="24 Risk Compliance Discovery" sheetId="24" r:id="R4650891f8a78456d"/>
    <x:sheet xmlns:r="http://schemas.openxmlformats.org/officeDocument/2006/relationships" name="25 Commercial Handoff" sheetId="25" r:id="R7f9a7323d33342a9"/>
    <x:sheet xmlns:r="http://schemas.openxmlformats.org/officeDocument/2006/relationships" name="26 RFQ Governance" sheetId="26" r:id="Rf7de0e057f54478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a1e52d5b04d49ff" /><Relationship Type="http://schemas.openxmlformats.org/officeDocument/2006/relationships/theme" Target="/xl/theme/theme1.xml" Id="Ra9d781507e994e95" /><Relationship Type="http://schemas.openxmlformats.org/officeDocument/2006/relationships/sharedStrings" Target="/xl/sharedStrings.xml" Id="R0ec2a83b7ade4099" /><Relationship Type="http://schemas.openxmlformats.org/officeDocument/2006/relationships/worksheet" Target="/xl/worksheets/sheet1.xml" Id="R52d50be0e14b4e5c" /><Relationship Type="http://schemas.openxmlformats.org/officeDocument/2006/relationships/worksheet" Target="/xl/worksheets/sheet2.xml" Id="R2289d9069a47469c" /><Relationship Type="http://schemas.openxmlformats.org/officeDocument/2006/relationships/worksheet" Target="/xl/worksheets/sheet3.xml" Id="R76db4acc88cb4fd2" /><Relationship Type="http://schemas.openxmlformats.org/officeDocument/2006/relationships/worksheet" Target="/xl/worksheets/sheet4.xml" Id="R73ec2c37bb4f49c7" /><Relationship Type="http://schemas.openxmlformats.org/officeDocument/2006/relationships/worksheet" Target="/xl/worksheets/sheet5.xml" Id="R7c571b1b9b4a4c85" /><Relationship Type="http://schemas.openxmlformats.org/officeDocument/2006/relationships/worksheet" Target="/xl/worksheets/sheet6.xml" Id="R0ab0d654bd054d4b" /><Relationship Type="http://schemas.openxmlformats.org/officeDocument/2006/relationships/worksheet" Target="/xl/worksheets/sheet7.xml" Id="R4be3ec43cd0a47d2" /><Relationship Type="http://schemas.openxmlformats.org/officeDocument/2006/relationships/worksheet" Target="/xl/worksheets/sheet8.xml" Id="R9585f74c7b614f83" /><Relationship Type="http://schemas.openxmlformats.org/officeDocument/2006/relationships/worksheet" Target="/xl/worksheets/sheet9.xml" Id="Rb376d70227c74268" /><Relationship Type="http://schemas.openxmlformats.org/officeDocument/2006/relationships/worksheet" Target="/xl/worksheets/sheet10.xml" Id="Rfab657ab79704c1b" /><Relationship Type="http://schemas.openxmlformats.org/officeDocument/2006/relationships/worksheet" Target="/xl/worksheets/sheet11.xml" Id="R1aa8d931d733460b" /><Relationship Type="http://schemas.openxmlformats.org/officeDocument/2006/relationships/worksheet" Target="/xl/worksheets/sheet12.xml" Id="R8eaffd30c9ce47dd" /><Relationship Type="http://schemas.openxmlformats.org/officeDocument/2006/relationships/worksheet" Target="/xl/worksheets/sheet13.xml" Id="Rad0f69218d8549c8" /><Relationship Type="http://schemas.openxmlformats.org/officeDocument/2006/relationships/worksheet" Target="/xl/worksheets/sheet14.xml" Id="R7c5a7a07ad9a4e72" /><Relationship Type="http://schemas.openxmlformats.org/officeDocument/2006/relationships/worksheet" Target="/xl/worksheets/sheet15.xml" Id="R2921ae45e8a24788" /><Relationship Type="http://schemas.openxmlformats.org/officeDocument/2006/relationships/worksheet" Target="/xl/worksheets/sheet16.xml" Id="R9e48b6d9f31c4512" /><Relationship Type="http://schemas.openxmlformats.org/officeDocument/2006/relationships/worksheet" Target="/xl/worksheets/sheet17.xml" Id="R492efd0c191f400e" /><Relationship Type="http://schemas.openxmlformats.org/officeDocument/2006/relationships/worksheet" Target="/xl/worksheets/sheet18.xml" Id="Rce55c4d79dbf46d7" /><Relationship Type="http://schemas.openxmlformats.org/officeDocument/2006/relationships/worksheet" Target="/xl/worksheets/sheet19.xml" Id="Rf79ad2aac1f34746" /><Relationship Type="http://schemas.openxmlformats.org/officeDocument/2006/relationships/worksheet" Target="/xl/worksheets/sheet20.xml" Id="Rd553b3e5510f40f8" /><Relationship Type="http://schemas.openxmlformats.org/officeDocument/2006/relationships/worksheet" Target="/xl/worksheets/sheet21.xml" Id="R230f7df7600448e4" /><Relationship Type="http://schemas.openxmlformats.org/officeDocument/2006/relationships/worksheet" Target="/xl/worksheets/sheet22.xml" Id="R0d5c7344b31a497c" /><Relationship Type="http://schemas.openxmlformats.org/officeDocument/2006/relationships/worksheet" Target="/xl/worksheets/sheet23.xml" Id="R8c44eb394c2c4782" /><Relationship Type="http://schemas.openxmlformats.org/officeDocument/2006/relationships/worksheet" Target="/xl/worksheets/sheet24.xml" Id="R4650891f8a78456d" /><Relationship Type="http://schemas.openxmlformats.org/officeDocument/2006/relationships/worksheet" Target="/xl/worksheets/sheet25.xml" Id="R7f9a7323d33342a9" /><Relationship Type="http://schemas.openxmlformats.org/officeDocument/2006/relationships/worksheet" Target="/xl/worksheets/sheet26.xml" Id="Rf7de0e057f54478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56b8727fd40434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56b8727fd40434c"/>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7cff4a1bf4b447e" /></Relationships>
</file>

<file path=xl/worksheets/_rels/sheet2.xml.rels>&#65279;<?xml version="1.0" encoding="utf-8"?><Relationships xmlns="http://schemas.openxmlformats.org/package/2006/relationships"><Relationship Type="http://schemas.openxmlformats.org/officeDocument/2006/relationships/table" Target="/xl/tables/table2.xml" Id="Rd46498fa2def404d" /></Relationships>
</file>

<file path=xl/worksheets/_rels/sheet3.xml.rels>&#65279;<?xml version="1.0" encoding="utf-8"?><Relationships xmlns="http://schemas.openxmlformats.org/package/2006/relationships"><Relationship Type="http://schemas.openxmlformats.org/officeDocument/2006/relationships/drawing" Target="/xl/drawings/drawing1.xml" Id="R0581a19adb3f4e89" /></Relationships>
</file>

<file path=xl/worksheets/_rels/sheet4.xml.rels>&#65279;<?xml version="1.0" encoding="utf-8"?><Relationships xmlns="http://schemas.openxmlformats.org/package/2006/relationships"><Relationship Type="http://schemas.openxmlformats.org/officeDocument/2006/relationships/table" Target="/xl/tables/table3.xml" Id="R014c536630ad46a6" /></Relationships>
</file>

<file path=xl/worksheets/_rels/sheet5.xml.rels>&#65279;<?xml version="1.0" encoding="utf-8"?><Relationships xmlns="http://schemas.openxmlformats.org/package/2006/relationships"><Relationship Type="http://schemas.openxmlformats.org/officeDocument/2006/relationships/table" Target="/xl/tables/table4.xml" Id="Rfcf07e0578944aa5" /></Relationships>
</file>

<file path=xl/worksheets/_rels/sheet6.xml.rels>&#65279;<?xml version="1.0" encoding="utf-8"?><Relationships xmlns="http://schemas.openxmlformats.org/package/2006/relationships"><Relationship Type="http://schemas.openxmlformats.org/officeDocument/2006/relationships/table" Target="/xl/tables/table5.xml" Id="R45a7af089c0c4020" /></Relationships>
</file>

<file path=xl/worksheets/_rels/sheet7.xml.rels>&#65279;<?xml version="1.0" encoding="utf-8"?><Relationships xmlns="http://schemas.openxmlformats.org/package/2006/relationships"><Relationship Type="http://schemas.openxmlformats.org/officeDocument/2006/relationships/table" Target="/xl/tables/table6.xml" Id="R10325351a0a14ca6" /></Relationships>
</file>

<file path=xl/worksheets/_rels/sheet9.xml.rels>&#65279;<?xml version="1.0" encoding="utf-8"?><Relationships xmlns="http://schemas.openxmlformats.org/package/2006/relationships"><Relationship Type="http://schemas.openxmlformats.org/officeDocument/2006/relationships/table" Target="/xl/tables/table7.xml" Id="Ra95a4da5a15b4675" /></Relationships>
</file>

<file path=xl/worksheets/_rels/sheet10.xml.rels>&#65279;<?xml version="1.0" encoding="utf-8"?><Relationships xmlns="http://schemas.openxmlformats.org/package/2006/relationships"><Relationship Type="http://schemas.openxmlformats.org/officeDocument/2006/relationships/table" Target="/xl/tables/table8.xml" Id="R1f10e0ec9f154044" /></Relationships>
</file>

<file path=xl/worksheets/_rels/sheet11.xml.rels>&#65279;<?xml version="1.0" encoding="utf-8"?><Relationships xmlns="http://schemas.openxmlformats.org/package/2006/relationships"><Relationship Type="http://schemas.openxmlformats.org/officeDocument/2006/relationships/table" Target="/xl/tables/table9.xml" Id="R3c3d0c41573943d6" /></Relationships>
</file>

<file path=xl/worksheets/_rels/sheet13.xml.rels>&#65279;<?xml version="1.0" encoding="utf-8"?><Relationships xmlns="http://schemas.openxmlformats.org/package/2006/relationships"><Relationship Type="http://schemas.openxmlformats.org/officeDocument/2006/relationships/table" Target="/xl/tables/table10.xml" Id="Re2945ce486834cd4" /></Relationships>
</file>

<file path=xl/worksheets/_rels/sheet14.xml.rels>&#65279;<?xml version="1.0" encoding="utf-8"?><Relationships xmlns="http://schemas.openxmlformats.org/package/2006/relationships"><Relationship Type="http://schemas.openxmlformats.org/officeDocument/2006/relationships/table" Target="/xl/tables/table11.xml" Id="Rda59b3fceb6b465f" /></Relationships>
</file>

<file path=xl/worksheets/_rels/sheet15.xml.rels>&#65279;<?xml version="1.0" encoding="utf-8"?><Relationships xmlns="http://schemas.openxmlformats.org/package/2006/relationships"><Relationship Type="http://schemas.openxmlformats.org/officeDocument/2006/relationships/table" Target="/xl/tables/table12.xml" Id="R2c544d2366ea4b9d" /></Relationships>
</file>

<file path=xl/worksheets/_rels/sheet16.xml.rels>&#65279;<?xml version="1.0" encoding="utf-8"?><Relationships xmlns="http://schemas.openxmlformats.org/package/2006/relationships"><Relationship Type="http://schemas.openxmlformats.org/officeDocument/2006/relationships/table" Target="/xl/tables/table13.xml" Id="R0af79bec96284349"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27cff4a1bf4b447e"/>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46498fa2def404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330</x:v>
      </x:c>
      <x:c r="D6" s="133" t="inlineStr">
        <x:is>
          <x:t xml:space="preserve">G0A — Corporate platform architecture ready</x:t>
        </x:is>
      </x:c>
      <x:c r="E6" s="32" t="str">
        <x:f>'03 Launch Gates'!D20</x:f>
        <x:v>Completed</x:v>
      </x:c>
      <x:c r="G6" t="inlineStr">
        <x:is>
          <x:t xml:space="preserve">UI Tasks Complete</x:t>
        </x:is>
      </x:c>
      <x:c r="H6" t="n">
        <x:f>SUM(B36:B46)</x:f>
        <x:v>108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0.8991825613079019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0.9236363636363636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3</x:v>
      </x:c>
      <x:c r="C44" s="28" t="n">
        <x:f>COUNTIFS('01 Master Plan'!C$5:C$383,A44,'01 Master Plan'!H$5:H$383,"In Progress")</x:f>
        <x:v>0</x:v>
      </x:c>
      <x:c r="D44" s="28" t="n">
        <x:f>COUNTIFS('01 Master Plan'!C$5:C$383,A44,'01 Master Plan'!H$5:H$383,"Not Started")</x:f>
        <x:v>17</x:v>
      </x:c>
      <x:c r="E44" s="28" t="n">
        <x:f>COUNTIFS('01 Master Plan'!C$5:C$383,A44,'01 Master Plan'!H$5:H$383,"Blocked")</x:f>
        <x:v>0</x:v>
      </x:c>
      <x:c r="F44" s="28" t="n">
        <x:f>COUNTIFS('01 Master Plan'!C$5:C$383,A44,'01 Master Plan'!H$5:H$383,"Deferred")</x:f>
        <x:v>0</x:v>
      </x:c>
      <x:c r="G44" s="258" t="n">
        <x:f>IFERROR(B44/(B44+C44+D44+E44),0)</x:f>
        <x:v>0.15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0581a19adb3f4e8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014c536630ad46a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cf07e0578944aa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45a7af089c0c402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10325351a0a14ca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95a4da5a15b467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f10e0ec9f15404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c3d0c41573943d6"/>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13H-03 PASS/CLOSED/PUBLISHED. Executive Overview, Procurement Center landing, and RFQ Drafting &amp; Configuration now use the shared Executive Design System while preserving procurement, authorization and publication semantics. Next executable canonical task: 13H-04 Upgrade Market Engagement &amp; Publishing.</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2945ce486834cd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a59b3fceb6b465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c544d2366ea4b9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af79bec96284349"/>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