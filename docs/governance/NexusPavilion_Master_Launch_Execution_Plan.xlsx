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bdcba3dbef4da0" /></Relationships>
</file>

<file path=xl/workbook.xml><?xml version="1.0" encoding="utf-8"?>
<x:workbook xmlns:x="http://schemas.openxmlformats.org/spreadsheetml/2006/main">
  <x:sheets>
    <x:sheet xmlns:r="http://schemas.openxmlformats.org/officeDocument/2006/relationships" name="01 Master Plan" sheetId="1" r:id="Rba576a97d52743eb"/>
    <x:sheet xmlns:r="http://schemas.openxmlformats.org/officeDocument/2006/relationships" name="03 Launch Gates" sheetId="2" r:id="R900e272b250b4145"/>
    <x:sheet xmlns:r="http://schemas.openxmlformats.org/officeDocument/2006/relationships" name="00 Dashboard" sheetId="3" r:id="R56aed5bfc3d742c4"/>
    <x:sheet xmlns:r="http://schemas.openxmlformats.org/officeDocument/2006/relationships" name="04 Cursor Tasks" sheetId="4" r:id="R6bc0cdf2c89547eb"/>
    <x:sheet xmlns:r="http://schemas.openxmlformats.org/officeDocument/2006/relationships" name="05 UAT Matrix" sheetId="5" r:id="Rf28ab24c102e4441"/>
    <x:sheet xmlns:r="http://schemas.openxmlformats.org/officeDocument/2006/relationships" name="06 Security Matrix" sheetId="6" r:id="R3961299073f14b61"/>
    <x:sheet xmlns:r="http://schemas.openxmlformats.org/officeDocument/2006/relationships" name="07 Risks" sheetId="7" r:id="Rf39a51b99dfa41a6"/>
    <x:sheet xmlns:r="http://schemas.openxmlformats.org/officeDocument/2006/relationships" name="08 Architecture" sheetId="8" r:id="R4a25b7bdc7584033"/>
    <x:sheet xmlns:r="http://schemas.openxmlformats.org/officeDocument/2006/relationships" name="09 Release Checklist" sheetId="9" r:id="R7b0f9a9824344b27"/>
    <x:sheet xmlns:r="http://schemas.openxmlformats.org/officeDocument/2006/relationships" name="10 Change Log" sheetId="10" r:id="R77333f7154b54c69"/>
    <x:sheet xmlns:r="http://schemas.openxmlformats.org/officeDocument/2006/relationships" name="11 Scope &amp; Roadmap" sheetId="11" r:id="R5766acff21a746ba"/>
    <x:sheet xmlns:r="http://schemas.openxmlformats.org/officeDocument/2006/relationships" name="12 How to Use" sheetId="12" r:id="R9fe7e9c227c840ca"/>
    <x:sheet xmlns:r="http://schemas.openxmlformats.org/officeDocument/2006/relationships" name="13 UI Program" sheetId="13" r:id="R286291475fb44cb0"/>
    <x:sheet xmlns:r="http://schemas.openxmlformats.org/officeDocument/2006/relationships" name="14 UI Scorecard" sheetId="14" r:id="Rec4a918ffaed46cc"/>
    <x:sheet xmlns:r="http://schemas.openxmlformats.org/officeDocument/2006/relationships" name="15 Motion Guidance" sheetId="15" r:id="R2245e19e81504eb8"/>
    <x:sheet xmlns:r="http://schemas.openxmlformats.org/officeDocument/2006/relationships" name="16 Design Standards" sheetId="16" r:id="Rae3ae59e75bf4110"/>
    <x:sheet xmlns:r="http://schemas.openxmlformats.org/officeDocument/2006/relationships" name="17 Corporate Platform" sheetId="17" r:id="Racc444a38b194712"/>
    <x:sheet xmlns:r="http://schemas.openxmlformats.org/officeDocument/2006/relationships" name="18 Analytics Reuse Map" sheetId="18" r:id="Rdcbc6c8d459e4fd6"/>
    <x:sheet xmlns:r="http://schemas.openxmlformats.org/officeDocument/2006/relationships" name="19 Executive Insights Discovery" sheetId="19" r:id="Rc2b0b32006cd4d89"/>
    <x:sheet xmlns:r="http://schemas.openxmlformats.org/officeDocument/2006/relationships" name="20 Procurement Insights Discovery" sheetId="20" r:id="R328d598f319c45da"/>
    <x:sheet xmlns:r="http://schemas.openxmlformats.org/officeDocument/2006/relationships" name="21 Commercial Insights Discovery" sheetId="21" r:id="R7298c122f75b4b15"/>
    <x:sheet xmlns:r="http://schemas.openxmlformats.org/officeDocument/2006/relationships" name="22 Project Insights Discovery" sheetId="22" r:id="Rdc36735d72e848ac"/>
    <x:sheet xmlns:r="http://schemas.openxmlformats.org/officeDocument/2006/relationships" name="23 Performance Discovery" sheetId="23" r:id="R1800bf942bff4f0a"/>
    <x:sheet xmlns:r="http://schemas.openxmlformats.org/officeDocument/2006/relationships" name="24 Risk Compliance Discovery" sheetId="24" r:id="R3d73d1a41c384683"/>
    <x:sheet xmlns:r="http://schemas.openxmlformats.org/officeDocument/2006/relationships" name="25 Commercial Handoff" sheetId="25" r:id="Rc58fe4ca4bb748d2"/>
    <x:sheet xmlns:r="http://schemas.openxmlformats.org/officeDocument/2006/relationships" name="26 RFQ Governance" sheetId="26" r:id="R263a165b5c1b465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1396a20c59d46f3" /><Relationship Type="http://schemas.openxmlformats.org/officeDocument/2006/relationships/theme" Target="/xl/theme/theme1.xml" Id="Re78bb55b06764f99" /><Relationship Type="http://schemas.openxmlformats.org/officeDocument/2006/relationships/sharedStrings" Target="/xl/sharedStrings.xml" Id="Rd14e6146fe344167" /><Relationship Type="http://schemas.openxmlformats.org/officeDocument/2006/relationships/worksheet" Target="/xl/worksheets/sheet1.xml" Id="Rba576a97d52743eb" /><Relationship Type="http://schemas.openxmlformats.org/officeDocument/2006/relationships/worksheet" Target="/xl/worksheets/sheet2.xml" Id="R900e272b250b4145" /><Relationship Type="http://schemas.openxmlformats.org/officeDocument/2006/relationships/worksheet" Target="/xl/worksheets/sheet3.xml" Id="R56aed5bfc3d742c4" /><Relationship Type="http://schemas.openxmlformats.org/officeDocument/2006/relationships/worksheet" Target="/xl/worksheets/sheet4.xml" Id="R6bc0cdf2c89547eb" /><Relationship Type="http://schemas.openxmlformats.org/officeDocument/2006/relationships/worksheet" Target="/xl/worksheets/sheet5.xml" Id="Rf28ab24c102e4441" /><Relationship Type="http://schemas.openxmlformats.org/officeDocument/2006/relationships/worksheet" Target="/xl/worksheets/sheet6.xml" Id="R3961299073f14b61" /><Relationship Type="http://schemas.openxmlformats.org/officeDocument/2006/relationships/worksheet" Target="/xl/worksheets/sheet7.xml" Id="Rf39a51b99dfa41a6" /><Relationship Type="http://schemas.openxmlformats.org/officeDocument/2006/relationships/worksheet" Target="/xl/worksheets/sheet8.xml" Id="R4a25b7bdc7584033" /><Relationship Type="http://schemas.openxmlformats.org/officeDocument/2006/relationships/worksheet" Target="/xl/worksheets/sheet9.xml" Id="R7b0f9a9824344b27" /><Relationship Type="http://schemas.openxmlformats.org/officeDocument/2006/relationships/worksheet" Target="/xl/worksheets/sheet10.xml" Id="R77333f7154b54c69" /><Relationship Type="http://schemas.openxmlformats.org/officeDocument/2006/relationships/worksheet" Target="/xl/worksheets/sheet11.xml" Id="R5766acff21a746ba" /><Relationship Type="http://schemas.openxmlformats.org/officeDocument/2006/relationships/worksheet" Target="/xl/worksheets/sheet12.xml" Id="R9fe7e9c227c840ca" /><Relationship Type="http://schemas.openxmlformats.org/officeDocument/2006/relationships/worksheet" Target="/xl/worksheets/sheet13.xml" Id="R286291475fb44cb0" /><Relationship Type="http://schemas.openxmlformats.org/officeDocument/2006/relationships/worksheet" Target="/xl/worksheets/sheet14.xml" Id="Rec4a918ffaed46cc" /><Relationship Type="http://schemas.openxmlformats.org/officeDocument/2006/relationships/worksheet" Target="/xl/worksheets/sheet15.xml" Id="R2245e19e81504eb8" /><Relationship Type="http://schemas.openxmlformats.org/officeDocument/2006/relationships/worksheet" Target="/xl/worksheets/sheet16.xml" Id="Rae3ae59e75bf4110" /><Relationship Type="http://schemas.openxmlformats.org/officeDocument/2006/relationships/worksheet" Target="/xl/worksheets/sheet17.xml" Id="Racc444a38b194712" /><Relationship Type="http://schemas.openxmlformats.org/officeDocument/2006/relationships/worksheet" Target="/xl/worksheets/sheet18.xml" Id="Rdcbc6c8d459e4fd6" /><Relationship Type="http://schemas.openxmlformats.org/officeDocument/2006/relationships/worksheet" Target="/xl/worksheets/sheet19.xml" Id="Rc2b0b32006cd4d89" /><Relationship Type="http://schemas.openxmlformats.org/officeDocument/2006/relationships/worksheet" Target="/xl/worksheets/sheet20.xml" Id="R328d598f319c45da" /><Relationship Type="http://schemas.openxmlformats.org/officeDocument/2006/relationships/worksheet" Target="/xl/worksheets/sheet21.xml" Id="R7298c122f75b4b15" /><Relationship Type="http://schemas.openxmlformats.org/officeDocument/2006/relationships/worksheet" Target="/xl/worksheets/sheet22.xml" Id="Rdc36735d72e848ac" /><Relationship Type="http://schemas.openxmlformats.org/officeDocument/2006/relationships/worksheet" Target="/xl/worksheets/sheet23.xml" Id="R1800bf942bff4f0a" /><Relationship Type="http://schemas.openxmlformats.org/officeDocument/2006/relationships/worksheet" Target="/xl/worksheets/sheet24.xml" Id="R3d73d1a41c384683" /><Relationship Type="http://schemas.openxmlformats.org/officeDocument/2006/relationships/worksheet" Target="/xl/worksheets/sheet25.xml" Id="Rc58fe4ca4bb748d2" /><Relationship Type="http://schemas.openxmlformats.org/officeDocument/2006/relationships/worksheet" Target="/xl/worksheets/sheet26.xml" Id="R263a165b5c1b4650" /></Relationships>
</file>

<file path=xl/drawings/_rels/drawing1.xml.rels>&#65279;<?xml version="1.0" encoding="utf-8"?><Relationships xmlns="http://schemas.openxmlformats.org/package/2006/relationships"><Relationship Type="http://schemas.openxmlformats.org/officeDocument/2006/relationships/chart" Target="/xl/drawings/charts/chart1.xml" Id="Rd102b28eff9649e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102b28eff9649e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840faad96a74820" /></Relationships>
</file>

<file path=xl/worksheets/_rels/sheet2.xml.rels>&#65279;<?xml version="1.0" encoding="utf-8"?><Relationships xmlns="http://schemas.openxmlformats.org/package/2006/relationships"><Relationship Type="http://schemas.openxmlformats.org/officeDocument/2006/relationships/table" Target="/xl/tables/table2.xml" Id="R85b7cf348b1e441b" /></Relationships>
</file>

<file path=xl/worksheets/_rels/sheet3.xml.rels>&#65279;<?xml version="1.0" encoding="utf-8"?><Relationships xmlns="http://schemas.openxmlformats.org/package/2006/relationships"><Relationship Type="http://schemas.openxmlformats.org/officeDocument/2006/relationships/drawing" Target="/xl/drawings/drawing1.xml" Id="R1ee64c51f1064264" /></Relationships>
</file>

<file path=xl/worksheets/_rels/sheet4.xml.rels>&#65279;<?xml version="1.0" encoding="utf-8"?><Relationships xmlns="http://schemas.openxmlformats.org/package/2006/relationships"><Relationship Type="http://schemas.openxmlformats.org/officeDocument/2006/relationships/table" Target="/xl/tables/table3.xml" Id="R82a48d983a6b4436" /></Relationships>
</file>

<file path=xl/worksheets/_rels/sheet5.xml.rels>&#65279;<?xml version="1.0" encoding="utf-8"?><Relationships xmlns="http://schemas.openxmlformats.org/package/2006/relationships"><Relationship Type="http://schemas.openxmlformats.org/officeDocument/2006/relationships/table" Target="/xl/tables/table4.xml" Id="Rb346b4bcfebc4809" /></Relationships>
</file>

<file path=xl/worksheets/_rels/sheet6.xml.rels>&#65279;<?xml version="1.0" encoding="utf-8"?><Relationships xmlns="http://schemas.openxmlformats.org/package/2006/relationships"><Relationship Type="http://schemas.openxmlformats.org/officeDocument/2006/relationships/table" Target="/xl/tables/table5.xml" Id="Rbae078eb97a94de7" /></Relationships>
</file>

<file path=xl/worksheets/_rels/sheet7.xml.rels>&#65279;<?xml version="1.0" encoding="utf-8"?><Relationships xmlns="http://schemas.openxmlformats.org/package/2006/relationships"><Relationship Type="http://schemas.openxmlformats.org/officeDocument/2006/relationships/table" Target="/xl/tables/table6.xml" Id="R79d84cd1fe364c96" /></Relationships>
</file>

<file path=xl/worksheets/_rels/sheet9.xml.rels>&#65279;<?xml version="1.0" encoding="utf-8"?><Relationships xmlns="http://schemas.openxmlformats.org/package/2006/relationships"><Relationship Type="http://schemas.openxmlformats.org/officeDocument/2006/relationships/table" Target="/xl/tables/table7.xml" Id="R564ba21d509b47e1" /></Relationships>
</file>

<file path=xl/worksheets/_rels/sheet10.xml.rels>&#65279;<?xml version="1.0" encoding="utf-8"?><Relationships xmlns="http://schemas.openxmlformats.org/package/2006/relationships"><Relationship Type="http://schemas.openxmlformats.org/officeDocument/2006/relationships/table" Target="/xl/tables/table8.xml" Id="R2d2b7a855b5a442c" /></Relationships>
</file>

<file path=xl/worksheets/_rels/sheet11.xml.rels>&#65279;<?xml version="1.0" encoding="utf-8"?><Relationships xmlns="http://schemas.openxmlformats.org/package/2006/relationships"><Relationship Type="http://schemas.openxmlformats.org/officeDocument/2006/relationships/table" Target="/xl/tables/table9.xml" Id="R119602b0885341db" /></Relationships>
</file>

<file path=xl/worksheets/_rels/sheet13.xml.rels>&#65279;<?xml version="1.0" encoding="utf-8"?><Relationships xmlns="http://schemas.openxmlformats.org/package/2006/relationships"><Relationship Type="http://schemas.openxmlformats.org/officeDocument/2006/relationships/table" Target="/xl/tables/table10.xml" Id="Rd68281435f784720" /></Relationships>
</file>

<file path=xl/worksheets/_rels/sheet14.xml.rels>&#65279;<?xml version="1.0" encoding="utf-8"?><Relationships xmlns="http://schemas.openxmlformats.org/package/2006/relationships"><Relationship Type="http://schemas.openxmlformats.org/officeDocument/2006/relationships/table" Target="/xl/tables/table11.xml" Id="Rd0a1c65994d946b8" /></Relationships>
</file>

<file path=xl/worksheets/_rels/sheet15.xml.rels>&#65279;<?xml version="1.0" encoding="utf-8"?><Relationships xmlns="http://schemas.openxmlformats.org/package/2006/relationships"><Relationship Type="http://schemas.openxmlformats.org/officeDocument/2006/relationships/table" Target="/xl/tables/table12.xml" Id="Rb8aebddd3a854516" /></Relationships>
</file>

<file path=xl/worksheets/_rels/sheet16.xml.rels>&#65279;<?xml version="1.0" encoding="utf-8"?><Relationships xmlns="http://schemas.openxmlformats.org/package/2006/relationships"><Relationship Type="http://schemas.openxmlformats.org/officeDocument/2006/relationships/table" Target="/xl/tables/table13.xml" Id="Rbcea25f8879841b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840faad96a74820"/>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5b7cf348b1e441b"/>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298</x:v>
      </x:c>
      <x:c r="D6" s="133" t="inlineStr">
        <x:is>
          <x:t xml:space="preserve">G0A — Corporate platform architecture ready</x:t>
        </x:is>
      </x:c>
      <x:c r="E6" s="32" t="str">
        <x:f>'03 Launch Gates'!D20</x:f>
        <x:v>Completed</x:v>
      </x:c>
      <x:c r="G6" t="inlineStr">
        <x:is>
          <x:t xml:space="preserve">UI Tasks Complete</x:t>
        </x:is>
      </x:c>
      <x:c r="H6" t="n">
        <x:f>SUM(B36:B46)</x:f>
        <x:v>76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5</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0.8119891008174387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4</x:v>
      </x:c>
      <x:c r="C41" s="133" t="n">
        <x:f>COUNTIFS('01 Master Plan'!C$5:C$383,A41,'01 Master Plan'!H$5:H$383,"In Progress")</x:f>
        <x:v>0</x:v>
      </x:c>
      <x:c r="D41" s="133" t="n">
        <x:f>COUNTIFS('01 Master Plan'!C$5:C$383,A41,'01 Master Plan'!H$5:H$383,"Not Started")</x:f>
        <x:v>6</x:v>
      </x:c>
      <x:c r="E41" s="133" t="n">
        <x:f>COUNTIFS('01 Master Plan'!C$5:C$383,A41,'01 Master Plan'!H$5:H$383,"Blocked")</x:f>
        <x:v>3</x:v>
      </x:c>
      <x:c r="F41" s="133" t="n">
        <x:f>COUNTIFS('01 Master Plan'!C$5:C$383,A41,'01 Master Plan'!H$5:H$383,"Deferred")</x:f>
        <x:v>0</x:v>
      </x:c>
      <x:c r="G41" s="255" t="n">
        <x:f>IFERROR(B41/(B41+C41+D41+E41),0)</x:f>
        <x:v>0.3076923076923077</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1ee64c51f106426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2a48d983a6b443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346b4bcfebc480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bae078eb97a94de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79d84cd1fe364c9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64ba21d509b47e1"/>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2d2b7a855b5a442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119602b0885341d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13E-04, 13E-05 and 13E-06 PASS/CLOSED. 13E-02, 13E-03 and 13E-07 remain BLOCKED/Open because their current flows auto-navigate and expose no stable completion surface without changing navigation/state semantics. 13D-04 and 13D-05 remain BLOCKED/Open under their prior criteria. 13E-07 read-only inspection confirmed truthful quote/revalidation ID/time exists in returned API data, but no stable success host or existing next tracking action can be presented before the canonical submit workspace navigates away. Next executable canonical task: 13E-08 Implement award completion feedback.</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In Progress</x:v>
      </x:c>
      <x:c r="J9" s="133" t="str">
        <x:v>U4 / Phase 13E IN PROGRESS — 13E-01, 13E-04, 13E-05 and 13E-06 PASS/CLOSED. 13E-02, 13E-03 and 13E-07 remain BLOCKED/Open because their current flows auto-navigate and expose no stable completion surface without changing navigation/state semantics. 13D-04 and 13D-05 remain BLOCKED/Open under their prior criteria. 13E-07 read-only inspection confirmed truthful quote/revalidation ID/time exists in returned API data, but no stable success host or existing next tracking action can be presented before the canonical submit workspace navigates away. Next executable canonical task: 13E-08 Implement award completion feedback.</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d68281435f784720"/>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0a1c65994d946b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8aebddd3a85451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bcea25f8879841b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