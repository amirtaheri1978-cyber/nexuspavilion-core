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9f8b8539e394e1d" /></Relationships>
</file>

<file path=xl/workbook.xml><?xml version="1.0" encoding="utf-8"?>
<x:workbook xmlns:x="http://schemas.openxmlformats.org/spreadsheetml/2006/main">
  <x:sheets>
    <x:sheet xmlns:r="http://schemas.openxmlformats.org/officeDocument/2006/relationships" name="01 Master Plan" sheetId="1" r:id="R2a2ce307d4bc414d"/>
    <x:sheet xmlns:r="http://schemas.openxmlformats.org/officeDocument/2006/relationships" name="03 Launch Gates" sheetId="2" r:id="R62a16f062b434ed1"/>
    <x:sheet xmlns:r="http://schemas.openxmlformats.org/officeDocument/2006/relationships" name="00 Dashboard" sheetId="3" r:id="Reff0582c17c04440"/>
    <x:sheet xmlns:r="http://schemas.openxmlformats.org/officeDocument/2006/relationships" name="04 Cursor Tasks" sheetId="4" r:id="R1deb80f8abf14729"/>
    <x:sheet xmlns:r="http://schemas.openxmlformats.org/officeDocument/2006/relationships" name="05 UAT Matrix" sheetId="5" r:id="Re2e346444bbd437e"/>
    <x:sheet xmlns:r="http://schemas.openxmlformats.org/officeDocument/2006/relationships" name="06 Security Matrix" sheetId="6" r:id="Re7dbaf5c30a14a2d"/>
    <x:sheet xmlns:r="http://schemas.openxmlformats.org/officeDocument/2006/relationships" name="07 Risks" sheetId="7" r:id="Ra4f75ab89aeb45c4"/>
    <x:sheet xmlns:r="http://schemas.openxmlformats.org/officeDocument/2006/relationships" name="08 Architecture" sheetId="8" r:id="Rf6f2c8654f7c44a7"/>
    <x:sheet xmlns:r="http://schemas.openxmlformats.org/officeDocument/2006/relationships" name="09 Release Checklist" sheetId="9" r:id="Ra2f182cb4ecb4207"/>
    <x:sheet xmlns:r="http://schemas.openxmlformats.org/officeDocument/2006/relationships" name="10 Change Log" sheetId="10" r:id="R3264411c0cf84738"/>
    <x:sheet xmlns:r="http://schemas.openxmlformats.org/officeDocument/2006/relationships" name="11 Scope &amp; Roadmap" sheetId="11" r:id="R10f6086116594500"/>
    <x:sheet xmlns:r="http://schemas.openxmlformats.org/officeDocument/2006/relationships" name="12 How to Use" sheetId="12" r:id="R648347ac25b94a64"/>
    <x:sheet xmlns:r="http://schemas.openxmlformats.org/officeDocument/2006/relationships" name="13 UI Program" sheetId="13" r:id="Rba5d10437b1249bf"/>
    <x:sheet xmlns:r="http://schemas.openxmlformats.org/officeDocument/2006/relationships" name="14 UI Scorecard" sheetId="14" r:id="R20b955ebc1854c9a"/>
    <x:sheet xmlns:r="http://schemas.openxmlformats.org/officeDocument/2006/relationships" name="15 Motion Guidance" sheetId="15" r:id="R2a9750bddcb74cd1"/>
    <x:sheet xmlns:r="http://schemas.openxmlformats.org/officeDocument/2006/relationships" name="16 Design Standards" sheetId="16" r:id="R87b7623f15a54f29"/>
    <x:sheet xmlns:r="http://schemas.openxmlformats.org/officeDocument/2006/relationships" name="17 Corporate Platform" sheetId="17" r:id="R7af39f170c8e42c6"/>
    <x:sheet xmlns:r="http://schemas.openxmlformats.org/officeDocument/2006/relationships" name="18 Analytics Reuse Map" sheetId="18" r:id="R65160413d09c4830"/>
    <x:sheet xmlns:r="http://schemas.openxmlformats.org/officeDocument/2006/relationships" name="19 Executive Insights Discovery" sheetId="19" r:id="Rf697bcd238144861"/>
    <x:sheet xmlns:r="http://schemas.openxmlformats.org/officeDocument/2006/relationships" name="20 Procurement Insights Discovery" sheetId="20" r:id="R3e5c2d9148514e67"/>
    <x:sheet xmlns:r="http://schemas.openxmlformats.org/officeDocument/2006/relationships" name="21 Commercial Insights Discovery" sheetId="21" r:id="R00b5b03ac33c4b61"/>
    <x:sheet xmlns:r="http://schemas.openxmlformats.org/officeDocument/2006/relationships" name="22 Project Insights Discovery" sheetId="22" r:id="R8c8284eef2094cb5"/>
    <x:sheet xmlns:r="http://schemas.openxmlformats.org/officeDocument/2006/relationships" name="23 Performance Discovery" sheetId="23" r:id="Rebcd075f13a0417d"/>
    <x:sheet xmlns:r="http://schemas.openxmlformats.org/officeDocument/2006/relationships" name="24 Risk Compliance Discovery" sheetId="24" r:id="R50ba05761712400b"/>
    <x:sheet xmlns:r="http://schemas.openxmlformats.org/officeDocument/2006/relationships" name="25 Commercial Handoff" sheetId="25" r:id="R722141eae1d144d5"/>
    <x:sheet xmlns:r="http://schemas.openxmlformats.org/officeDocument/2006/relationships" name="26 RFQ Governance" sheetId="26" r:id="R3f83d8912952411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b7a6787d42f40e6" /><Relationship Type="http://schemas.openxmlformats.org/officeDocument/2006/relationships/theme" Target="/xl/theme/theme1.xml" Id="Re87c2cf6728b48ba" /><Relationship Type="http://schemas.openxmlformats.org/officeDocument/2006/relationships/sharedStrings" Target="/xl/sharedStrings.xml" Id="R63f5d8abed51414e" /><Relationship Type="http://schemas.openxmlformats.org/officeDocument/2006/relationships/worksheet" Target="/xl/worksheets/sheet1.xml" Id="R2a2ce307d4bc414d" /><Relationship Type="http://schemas.openxmlformats.org/officeDocument/2006/relationships/worksheet" Target="/xl/worksheets/sheet2.xml" Id="R62a16f062b434ed1" /><Relationship Type="http://schemas.openxmlformats.org/officeDocument/2006/relationships/worksheet" Target="/xl/worksheets/sheet3.xml" Id="Reff0582c17c04440" /><Relationship Type="http://schemas.openxmlformats.org/officeDocument/2006/relationships/worksheet" Target="/xl/worksheets/sheet4.xml" Id="R1deb80f8abf14729" /><Relationship Type="http://schemas.openxmlformats.org/officeDocument/2006/relationships/worksheet" Target="/xl/worksheets/sheet5.xml" Id="Re2e346444bbd437e" /><Relationship Type="http://schemas.openxmlformats.org/officeDocument/2006/relationships/worksheet" Target="/xl/worksheets/sheet6.xml" Id="Re7dbaf5c30a14a2d" /><Relationship Type="http://schemas.openxmlformats.org/officeDocument/2006/relationships/worksheet" Target="/xl/worksheets/sheet7.xml" Id="Ra4f75ab89aeb45c4" /><Relationship Type="http://schemas.openxmlformats.org/officeDocument/2006/relationships/worksheet" Target="/xl/worksheets/sheet8.xml" Id="Rf6f2c8654f7c44a7" /><Relationship Type="http://schemas.openxmlformats.org/officeDocument/2006/relationships/worksheet" Target="/xl/worksheets/sheet9.xml" Id="Ra2f182cb4ecb4207" /><Relationship Type="http://schemas.openxmlformats.org/officeDocument/2006/relationships/worksheet" Target="/xl/worksheets/sheet10.xml" Id="R3264411c0cf84738" /><Relationship Type="http://schemas.openxmlformats.org/officeDocument/2006/relationships/worksheet" Target="/xl/worksheets/sheet11.xml" Id="R10f6086116594500" /><Relationship Type="http://schemas.openxmlformats.org/officeDocument/2006/relationships/worksheet" Target="/xl/worksheets/sheet12.xml" Id="R648347ac25b94a64" /><Relationship Type="http://schemas.openxmlformats.org/officeDocument/2006/relationships/worksheet" Target="/xl/worksheets/sheet13.xml" Id="Rba5d10437b1249bf" /><Relationship Type="http://schemas.openxmlformats.org/officeDocument/2006/relationships/worksheet" Target="/xl/worksheets/sheet14.xml" Id="R20b955ebc1854c9a" /><Relationship Type="http://schemas.openxmlformats.org/officeDocument/2006/relationships/worksheet" Target="/xl/worksheets/sheet15.xml" Id="R2a9750bddcb74cd1" /><Relationship Type="http://schemas.openxmlformats.org/officeDocument/2006/relationships/worksheet" Target="/xl/worksheets/sheet16.xml" Id="R87b7623f15a54f29" /><Relationship Type="http://schemas.openxmlformats.org/officeDocument/2006/relationships/worksheet" Target="/xl/worksheets/sheet17.xml" Id="R7af39f170c8e42c6" /><Relationship Type="http://schemas.openxmlformats.org/officeDocument/2006/relationships/worksheet" Target="/xl/worksheets/sheet18.xml" Id="R65160413d09c4830" /><Relationship Type="http://schemas.openxmlformats.org/officeDocument/2006/relationships/worksheet" Target="/xl/worksheets/sheet19.xml" Id="Rf697bcd238144861" /><Relationship Type="http://schemas.openxmlformats.org/officeDocument/2006/relationships/worksheet" Target="/xl/worksheets/sheet20.xml" Id="R3e5c2d9148514e67" /><Relationship Type="http://schemas.openxmlformats.org/officeDocument/2006/relationships/worksheet" Target="/xl/worksheets/sheet21.xml" Id="R00b5b03ac33c4b61" /><Relationship Type="http://schemas.openxmlformats.org/officeDocument/2006/relationships/worksheet" Target="/xl/worksheets/sheet22.xml" Id="R8c8284eef2094cb5" /><Relationship Type="http://schemas.openxmlformats.org/officeDocument/2006/relationships/worksheet" Target="/xl/worksheets/sheet23.xml" Id="Rebcd075f13a0417d" /><Relationship Type="http://schemas.openxmlformats.org/officeDocument/2006/relationships/worksheet" Target="/xl/worksheets/sheet24.xml" Id="R50ba05761712400b" /><Relationship Type="http://schemas.openxmlformats.org/officeDocument/2006/relationships/worksheet" Target="/xl/worksheets/sheet25.xml" Id="R722141eae1d144d5" /><Relationship Type="http://schemas.openxmlformats.org/officeDocument/2006/relationships/worksheet" Target="/xl/worksheets/sheet26.xml" Id="R3f83d8912952411f" /></Relationships>
</file>

<file path=xl/drawings/_rels/drawing1.xml.rels>&#65279;<?xml version="1.0" encoding="utf-8"?><Relationships xmlns="http://schemas.openxmlformats.org/package/2006/relationships"><Relationship Type="http://schemas.openxmlformats.org/officeDocument/2006/relationships/chart" Target="/xl/drawings/charts/chart1.xml" Id="R8d450f8d9fb94d0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d450f8d9fb94d0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14136ada9fa43fd" /></Relationships>
</file>

<file path=xl/worksheets/_rels/sheet2.xml.rels>&#65279;<?xml version="1.0" encoding="utf-8"?><Relationships xmlns="http://schemas.openxmlformats.org/package/2006/relationships"><Relationship Type="http://schemas.openxmlformats.org/officeDocument/2006/relationships/table" Target="/xl/tables/table2.xml" Id="R19c5b5cff6fa45e7" /></Relationships>
</file>

<file path=xl/worksheets/_rels/sheet3.xml.rels>&#65279;<?xml version="1.0" encoding="utf-8"?><Relationships xmlns="http://schemas.openxmlformats.org/package/2006/relationships"><Relationship Type="http://schemas.openxmlformats.org/officeDocument/2006/relationships/drawing" Target="/xl/drawings/drawing1.xml" Id="R8801e9e63d424a01" /></Relationships>
</file>

<file path=xl/worksheets/_rels/sheet4.xml.rels>&#65279;<?xml version="1.0" encoding="utf-8"?><Relationships xmlns="http://schemas.openxmlformats.org/package/2006/relationships"><Relationship Type="http://schemas.openxmlformats.org/officeDocument/2006/relationships/table" Target="/xl/tables/table3.xml" Id="Rd68d3f6ade584024" /></Relationships>
</file>

<file path=xl/worksheets/_rels/sheet5.xml.rels>&#65279;<?xml version="1.0" encoding="utf-8"?><Relationships xmlns="http://schemas.openxmlformats.org/package/2006/relationships"><Relationship Type="http://schemas.openxmlformats.org/officeDocument/2006/relationships/table" Target="/xl/tables/table4.xml" Id="R4f14abdaff2b493c" /></Relationships>
</file>

<file path=xl/worksheets/_rels/sheet6.xml.rels>&#65279;<?xml version="1.0" encoding="utf-8"?><Relationships xmlns="http://schemas.openxmlformats.org/package/2006/relationships"><Relationship Type="http://schemas.openxmlformats.org/officeDocument/2006/relationships/table" Target="/xl/tables/table5.xml" Id="Rcc221134828d4469" /></Relationships>
</file>

<file path=xl/worksheets/_rels/sheet7.xml.rels>&#65279;<?xml version="1.0" encoding="utf-8"?><Relationships xmlns="http://schemas.openxmlformats.org/package/2006/relationships"><Relationship Type="http://schemas.openxmlformats.org/officeDocument/2006/relationships/table" Target="/xl/tables/table6.xml" Id="Rbe1e52644ffe4a88" /></Relationships>
</file>

<file path=xl/worksheets/_rels/sheet9.xml.rels>&#65279;<?xml version="1.0" encoding="utf-8"?><Relationships xmlns="http://schemas.openxmlformats.org/package/2006/relationships"><Relationship Type="http://schemas.openxmlformats.org/officeDocument/2006/relationships/table" Target="/xl/tables/table7.xml" Id="Rc6c69a3e6cfd4b68" /></Relationships>
</file>

<file path=xl/worksheets/_rels/sheet10.xml.rels>&#65279;<?xml version="1.0" encoding="utf-8"?><Relationships xmlns="http://schemas.openxmlformats.org/package/2006/relationships"><Relationship Type="http://schemas.openxmlformats.org/officeDocument/2006/relationships/table" Target="/xl/tables/table8.xml" Id="Rb1fef80813704380" /></Relationships>
</file>

<file path=xl/worksheets/_rels/sheet11.xml.rels>&#65279;<?xml version="1.0" encoding="utf-8"?><Relationships xmlns="http://schemas.openxmlformats.org/package/2006/relationships"><Relationship Type="http://schemas.openxmlformats.org/officeDocument/2006/relationships/table" Target="/xl/tables/table9.xml" Id="Rb6ba7714f2294c8e" /></Relationships>
</file>

<file path=xl/worksheets/_rels/sheet13.xml.rels>&#65279;<?xml version="1.0" encoding="utf-8"?><Relationships xmlns="http://schemas.openxmlformats.org/package/2006/relationships"><Relationship Type="http://schemas.openxmlformats.org/officeDocument/2006/relationships/table" Target="/xl/tables/table10.xml" Id="R29ee5d69b73b4d45" /></Relationships>
</file>

<file path=xl/worksheets/_rels/sheet14.xml.rels>&#65279;<?xml version="1.0" encoding="utf-8"?><Relationships xmlns="http://schemas.openxmlformats.org/package/2006/relationships"><Relationship Type="http://schemas.openxmlformats.org/officeDocument/2006/relationships/table" Target="/xl/tables/table11.xml" Id="R97c9a7562e71435c" /></Relationships>
</file>

<file path=xl/worksheets/_rels/sheet15.xml.rels>&#65279;<?xml version="1.0" encoding="utf-8"?><Relationships xmlns="http://schemas.openxmlformats.org/package/2006/relationships"><Relationship Type="http://schemas.openxmlformats.org/officeDocument/2006/relationships/table" Target="/xl/tables/table12.xml" Id="R869dac68ddb84f8e" /></Relationships>
</file>

<file path=xl/worksheets/_rels/sheet16.xml.rels>&#65279;<?xml version="1.0" encoding="utf-8"?><Relationships xmlns="http://schemas.openxmlformats.org/package/2006/relationships"><Relationship Type="http://schemas.openxmlformats.org/officeDocument/2006/relationships/table" Target="/xl/tables/table13.xml" Id="R2b8151d8983a4e9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114136ada9fa43f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19c5b5cff6fa45e7"/>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252</x:v>
      </x:c>
      <x:c r="D6" s="133" t="inlineStr">
        <x:is>
          <x:t xml:space="preserve">G0A — Corporate platform architecture ready</x:t>
        </x:is>
      </x:c>
      <x:c r="E6" s="32" t="str">
        <x:f>'03 Launch Gates'!D20</x:f>
        <x:v>Completed</x:v>
      </x:c>
      <x:c r="G6" t="inlineStr">
        <x:is>
          <x:t xml:space="preserve">UI Tasks Complete</x:t>
        </x:is>
      </x:c>
      <x:c r="H6" t="n">
        <x:f>SUM(B36:B46)</x:f>
        <x:v>30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0.6866485013623979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0.7018181818181818</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5</x:v>
      </x:c>
      <x:c r="C36" s="133" t="n">
        <x:f>COUNTIFS('01 Master Plan'!C$5:C$383,A36,'01 Master Plan'!H$5:H$383,"In Progress")</x:f>
        <x:v>0</x:v>
      </x:c>
      <x:c r="D36" s="133" t="n">
        <x:f>COUNTIFS('01 Master Plan'!C$5:C$383,A36,'01 Master Plan'!H$5:H$383,"Not Started")</x:f>
        <x:v>5</x:v>
      </x:c>
      <x:c r="E36" s="133" t="n">
        <x:f>COUNTIFS('01 Master Plan'!C$5:C$383,A36,'01 Master Plan'!H$5:H$383,"Blocked")</x:f>
        <x:v>0</x:v>
      </x:c>
      <x:c r="F36" s="133" t="n">
        <x:f>COUNTIFS('01 Master Plan'!C$5:C$383,A36,'01 Master Plan'!H$5:H$383,"Deferred")</x:f>
        <x:v>0</x:v>
      </x:c>
      <x:c r="G36" s="255" t="n">
        <x:f>IFERROR(B36/(B36+C36+D36+E36),0)</x:f>
        <x:v>0.5</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8801e9e63d424a0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d68d3f6ade58402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4f14abdaff2b493c"/>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c221134828d446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be1e52644ffe4a88"/>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c6c69a3e6cfd4b68"/>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1fef8081370438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b6ba7714f2294c8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9ee5d69b73b4d4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7c9a7562e71435c"/>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69dac68ddb84f8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2b8151d8983a4e9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