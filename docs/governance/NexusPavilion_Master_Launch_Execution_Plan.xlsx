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b148992f064a67" /></Relationships>
</file>

<file path=xl/workbook.xml><?xml version="1.0" encoding="utf-8"?>
<x:workbook xmlns:x="http://schemas.openxmlformats.org/spreadsheetml/2006/main">
  <x:sheets>
    <x:sheet xmlns:r="http://schemas.openxmlformats.org/officeDocument/2006/relationships" name="01 Master Plan" sheetId="1" r:id="Rf0f63317218f4977"/>
    <x:sheet xmlns:r="http://schemas.openxmlformats.org/officeDocument/2006/relationships" name="03 Launch Gates" sheetId="2" r:id="R3c3bc188c1a64632"/>
    <x:sheet xmlns:r="http://schemas.openxmlformats.org/officeDocument/2006/relationships" name="00 Dashboard" sheetId="3" r:id="Rc2346f3fd3134f71"/>
    <x:sheet xmlns:r="http://schemas.openxmlformats.org/officeDocument/2006/relationships" name="04 Cursor Tasks" sheetId="4" r:id="R3e73adf3f81c461a"/>
    <x:sheet xmlns:r="http://schemas.openxmlformats.org/officeDocument/2006/relationships" name="05 UAT Matrix" sheetId="5" r:id="Re6a7f618e9d54095"/>
    <x:sheet xmlns:r="http://schemas.openxmlformats.org/officeDocument/2006/relationships" name="06 Security Matrix" sheetId="6" r:id="Reb4df3d4a7494098"/>
    <x:sheet xmlns:r="http://schemas.openxmlformats.org/officeDocument/2006/relationships" name="07 Risks" sheetId="7" r:id="R6fabd56bd7f540d8"/>
    <x:sheet xmlns:r="http://schemas.openxmlformats.org/officeDocument/2006/relationships" name="08 Architecture" sheetId="8" r:id="Ra692681e8fa64094"/>
    <x:sheet xmlns:r="http://schemas.openxmlformats.org/officeDocument/2006/relationships" name="09 Release Checklist" sheetId="9" r:id="Rcb5910410a1746ce"/>
    <x:sheet xmlns:r="http://schemas.openxmlformats.org/officeDocument/2006/relationships" name="10 Change Log" sheetId="10" r:id="R6f36c4cb0604445c"/>
    <x:sheet xmlns:r="http://schemas.openxmlformats.org/officeDocument/2006/relationships" name="11 Scope &amp; Roadmap" sheetId="11" r:id="Rc3e1ed22e3934dc7"/>
    <x:sheet xmlns:r="http://schemas.openxmlformats.org/officeDocument/2006/relationships" name="12 How to Use" sheetId="12" r:id="R52539a39df504519"/>
    <x:sheet xmlns:r="http://schemas.openxmlformats.org/officeDocument/2006/relationships" name="13 UI Program" sheetId="13" r:id="Rca851a35b1134c27"/>
    <x:sheet xmlns:r="http://schemas.openxmlformats.org/officeDocument/2006/relationships" name="14 UI Scorecard" sheetId="14" r:id="R2f64cc8020814490"/>
    <x:sheet xmlns:r="http://schemas.openxmlformats.org/officeDocument/2006/relationships" name="15 Motion Guidance" sheetId="15" r:id="R0f892bbb9c034a22"/>
    <x:sheet xmlns:r="http://schemas.openxmlformats.org/officeDocument/2006/relationships" name="16 Design Standards" sheetId="16" r:id="R8cb3a3fb855c44a8"/>
    <x:sheet xmlns:r="http://schemas.openxmlformats.org/officeDocument/2006/relationships" name="17 Corporate Platform" sheetId="17" r:id="R7d7143ac9b964d02"/>
    <x:sheet xmlns:r="http://schemas.openxmlformats.org/officeDocument/2006/relationships" name="18 Analytics Reuse Map" sheetId="18" r:id="R28e449a9c9ff4124"/>
    <x:sheet xmlns:r="http://schemas.openxmlformats.org/officeDocument/2006/relationships" name="19 Executive Insights Discovery" sheetId="19" r:id="R1240a0dd13b14fe9"/>
    <x:sheet xmlns:r="http://schemas.openxmlformats.org/officeDocument/2006/relationships" name="20 Procurement Insights Discovery" sheetId="20" r:id="Rf62e776b3cbe40e5"/>
    <x:sheet xmlns:r="http://schemas.openxmlformats.org/officeDocument/2006/relationships" name="21 Commercial Insights Discovery" sheetId="21" r:id="R4c2f832ed30a4362"/>
    <x:sheet xmlns:r="http://schemas.openxmlformats.org/officeDocument/2006/relationships" name="22 Project Insights Discovery" sheetId="22" r:id="Rda142282fac447b8"/>
    <x:sheet xmlns:r="http://schemas.openxmlformats.org/officeDocument/2006/relationships" name="23 Performance Discovery" sheetId="23" r:id="Rd6f786f427644f4e"/>
    <x:sheet xmlns:r="http://schemas.openxmlformats.org/officeDocument/2006/relationships" name="24 Risk Compliance Discovery" sheetId="24" r:id="Rf49f411c163b4cde"/>
    <x:sheet xmlns:r="http://schemas.openxmlformats.org/officeDocument/2006/relationships" name="25 Commercial Handoff" sheetId="25" r:id="R0fccbc8317db4e11"/>
    <x:sheet xmlns:r="http://schemas.openxmlformats.org/officeDocument/2006/relationships" name="26 RFQ Governance" sheetId="26" r:id="R803c680edcb0429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6397b9758bc4147" /><Relationship Type="http://schemas.openxmlformats.org/officeDocument/2006/relationships/theme" Target="/xl/theme/theme1.xml" Id="R88f816947790495d" /><Relationship Type="http://schemas.openxmlformats.org/officeDocument/2006/relationships/sharedStrings" Target="/xl/sharedStrings.xml" Id="R0360d3beee12491b" /><Relationship Type="http://schemas.openxmlformats.org/officeDocument/2006/relationships/worksheet" Target="/xl/worksheets/sheet1.xml" Id="Rf0f63317218f4977" /><Relationship Type="http://schemas.openxmlformats.org/officeDocument/2006/relationships/worksheet" Target="/xl/worksheets/sheet2.xml" Id="R3c3bc188c1a64632" /><Relationship Type="http://schemas.openxmlformats.org/officeDocument/2006/relationships/worksheet" Target="/xl/worksheets/sheet3.xml" Id="Rc2346f3fd3134f71" /><Relationship Type="http://schemas.openxmlformats.org/officeDocument/2006/relationships/worksheet" Target="/xl/worksheets/sheet4.xml" Id="R3e73adf3f81c461a" /><Relationship Type="http://schemas.openxmlformats.org/officeDocument/2006/relationships/worksheet" Target="/xl/worksheets/sheet5.xml" Id="Re6a7f618e9d54095" /><Relationship Type="http://schemas.openxmlformats.org/officeDocument/2006/relationships/worksheet" Target="/xl/worksheets/sheet6.xml" Id="Reb4df3d4a7494098" /><Relationship Type="http://schemas.openxmlformats.org/officeDocument/2006/relationships/worksheet" Target="/xl/worksheets/sheet7.xml" Id="R6fabd56bd7f540d8" /><Relationship Type="http://schemas.openxmlformats.org/officeDocument/2006/relationships/worksheet" Target="/xl/worksheets/sheet8.xml" Id="Ra692681e8fa64094" /><Relationship Type="http://schemas.openxmlformats.org/officeDocument/2006/relationships/worksheet" Target="/xl/worksheets/sheet9.xml" Id="Rcb5910410a1746ce" /><Relationship Type="http://schemas.openxmlformats.org/officeDocument/2006/relationships/worksheet" Target="/xl/worksheets/sheet10.xml" Id="R6f36c4cb0604445c" /><Relationship Type="http://schemas.openxmlformats.org/officeDocument/2006/relationships/worksheet" Target="/xl/worksheets/sheet11.xml" Id="Rc3e1ed22e3934dc7" /><Relationship Type="http://schemas.openxmlformats.org/officeDocument/2006/relationships/worksheet" Target="/xl/worksheets/sheet12.xml" Id="R52539a39df504519" /><Relationship Type="http://schemas.openxmlformats.org/officeDocument/2006/relationships/worksheet" Target="/xl/worksheets/sheet13.xml" Id="Rca851a35b1134c27" /><Relationship Type="http://schemas.openxmlformats.org/officeDocument/2006/relationships/worksheet" Target="/xl/worksheets/sheet14.xml" Id="R2f64cc8020814490" /><Relationship Type="http://schemas.openxmlformats.org/officeDocument/2006/relationships/worksheet" Target="/xl/worksheets/sheet15.xml" Id="R0f892bbb9c034a22" /><Relationship Type="http://schemas.openxmlformats.org/officeDocument/2006/relationships/worksheet" Target="/xl/worksheets/sheet16.xml" Id="R8cb3a3fb855c44a8" /><Relationship Type="http://schemas.openxmlformats.org/officeDocument/2006/relationships/worksheet" Target="/xl/worksheets/sheet17.xml" Id="R7d7143ac9b964d02" /><Relationship Type="http://schemas.openxmlformats.org/officeDocument/2006/relationships/worksheet" Target="/xl/worksheets/sheet18.xml" Id="R28e449a9c9ff4124" /><Relationship Type="http://schemas.openxmlformats.org/officeDocument/2006/relationships/worksheet" Target="/xl/worksheets/sheet19.xml" Id="R1240a0dd13b14fe9" /><Relationship Type="http://schemas.openxmlformats.org/officeDocument/2006/relationships/worksheet" Target="/xl/worksheets/sheet20.xml" Id="Rf62e776b3cbe40e5" /><Relationship Type="http://schemas.openxmlformats.org/officeDocument/2006/relationships/worksheet" Target="/xl/worksheets/sheet21.xml" Id="R4c2f832ed30a4362" /><Relationship Type="http://schemas.openxmlformats.org/officeDocument/2006/relationships/worksheet" Target="/xl/worksheets/sheet22.xml" Id="Rda142282fac447b8" /><Relationship Type="http://schemas.openxmlformats.org/officeDocument/2006/relationships/worksheet" Target="/xl/worksheets/sheet23.xml" Id="Rd6f786f427644f4e" /><Relationship Type="http://schemas.openxmlformats.org/officeDocument/2006/relationships/worksheet" Target="/xl/worksheets/sheet24.xml" Id="Rf49f411c163b4cde" /><Relationship Type="http://schemas.openxmlformats.org/officeDocument/2006/relationships/worksheet" Target="/xl/worksheets/sheet25.xml" Id="R0fccbc8317db4e11" /><Relationship Type="http://schemas.openxmlformats.org/officeDocument/2006/relationships/worksheet" Target="/xl/worksheets/sheet26.xml" Id="R803c680edcb04292" /></Relationships>
</file>

<file path=xl/drawings/_rels/drawing1.xml.rels>&#65279;<?xml version="1.0" encoding="utf-8"?><Relationships xmlns="http://schemas.openxmlformats.org/package/2006/relationships"><Relationship Type="http://schemas.openxmlformats.org/officeDocument/2006/relationships/chart" Target="/xl/drawings/charts/chart1.xml" Id="R376bfe4adce546e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76bfe4adce546e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f402ce357bb4d19" /></Relationships>
</file>

<file path=xl/worksheets/_rels/sheet2.xml.rels>&#65279;<?xml version="1.0" encoding="utf-8"?><Relationships xmlns="http://schemas.openxmlformats.org/package/2006/relationships"><Relationship Type="http://schemas.openxmlformats.org/officeDocument/2006/relationships/table" Target="/xl/tables/table2.xml" Id="R30980f7b51ee4fc9" /></Relationships>
</file>

<file path=xl/worksheets/_rels/sheet3.xml.rels>&#65279;<?xml version="1.0" encoding="utf-8"?><Relationships xmlns="http://schemas.openxmlformats.org/package/2006/relationships"><Relationship Type="http://schemas.openxmlformats.org/officeDocument/2006/relationships/drawing" Target="/xl/drawings/drawing1.xml" Id="R685772d928184c63" /></Relationships>
</file>

<file path=xl/worksheets/_rels/sheet4.xml.rels>&#65279;<?xml version="1.0" encoding="utf-8"?><Relationships xmlns="http://schemas.openxmlformats.org/package/2006/relationships"><Relationship Type="http://schemas.openxmlformats.org/officeDocument/2006/relationships/table" Target="/xl/tables/table3.xml" Id="R7406a930397d48b8" /></Relationships>
</file>

<file path=xl/worksheets/_rels/sheet5.xml.rels>&#65279;<?xml version="1.0" encoding="utf-8"?><Relationships xmlns="http://schemas.openxmlformats.org/package/2006/relationships"><Relationship Type="http://schemas.openxmlformats.org/officeDocument/2006/relationships/table" Target="/xl/tables/table4.xml" Id="R2c218efdf0194cec" /></Relationships>
</file>

<file path=xl/worksheets/_rels/sheet6.xml.rels>&#65279;<?xml version="1.0" encoding="utf-8"?><Relationships xmlns="http://schemas.openxmlformats.org/package/2006/relationships"><Relationship Type="http://schemas.openxmlformats.org/officeDocument/2006/relationships/table" Target="/xl/tables/table5.xml" Id="Rc897c79a67474852" /></Relationships>
</file>

<file path=xl/worksheets/_rels/sheet7.xml.rels>&#65279;<?xml version="1.0" encoding="utf-8"?><Relationships xmlns="http://schemas.openxmlformats.org/package/2006/relationships"><Relationship Type="http://schemas.openxmlformats.org/officeDocument/2006/relationships/table" Target="/xl/tables/table6.xml" Id="R6d3c4768628c44d2" /></Relationships>
</file>

<file path=xl/worksheets/_rels/sheet9.xml.rels>&#65279;<?xml version="1.0" encoding="utf-8"?><Relationships xmlns="http://schemas.openxmlformats.org/package/2006/relationships"><Relationship Type="http://schemas.openxmlformats.org/officeDocument/2006/relationships/table" Target="/xl/tables/table7.xml" Id="Rd432c805cefd4fde" /></Relationships>
</file>

<file path=xl/worksheets/_rels/sheet10.xml.rels>&#65279;<?xml version="1.0" encoding="utf-8"?><Relationships xmlns="http://schemas.openxmlformats.org/package/2006/relationships"><Relationship Type="http://schemas.openxmlformats.org/officeDocument/2006/relationships/table" Target="/xl/tables/table8.xml" Id="R704cd84fcf554285" /></Relationships>
</file>

<file path=xl/worksheets/_rels/sheet11.xml.rels>&#65279;<?xml version="1.0" encoding="utf-8"?><Relationships xmlns="http://schemas.openxmlformats.org/package/2006/relationships"><Relationship Type="http://schemas.openxmlformats.org/officeDocument/2006/relationships/table" Target="/xl/tables/table9.xml" Id="Ra0e8e33bb39e4128" /></Relationships>
</file>

<file path=xl/worksheets/_rels/sheet13.xml.rels>&#65279;<?xml version="1.0" encoding="utf-8"?><Relationships xmlns="http://schemas.openxmlformats.org/package/2006/relationships"><Relationship Type="http://schemas.openxmlformats.org/officeDocument/2006/relationships/table" Target="/xl/tables/table10.xml" Id="Rba7176bb9b3644af" /></Relationships>
</file>

<file path=xl/worksheets/_rels/sheet14.xml.rels>&#65279;<?xml version="1.0" encoding="utf-8"?><Relationships xmlns="http://schemas.openxmlformats.org/package/2006/relationships"><Relationship Type="http://schemas.openxmlformats.org/officeDocument/2006/relationships/table" Target="/xl/tables/table11.xml" Id="Reef138dbc86942bc" /></Relationships>
</file>

<file path=xl/worksheets/_rels/sheet15.xml.rels>&#65279;<?xml version="1.0" encoding="utf-8"?><Relationships xmlns="http://schemas.openxmlformats.org/package/2006/relationships"><Relationship Type="http://schemas.openxmlformats.org/officeDocument/2006/relationships/table" Target="/xl/tables/table12.xml" Id="R4e927e7aeee64673" /></Relationships>
</file>

<file path=xl/worksheets/_rels/sheet16.xml.rels>&#65279;<?xml version="1.0" encoding="utf-8"?><Relationships xmlns="http://schemas.openxmlformats.org/package/2006/relationships"><Relationship Type="http://schemas.openxmlformats.org/officeDocument/2006/relationships/table" Target="/xl/tables/table13.xml" Id="Rfbbb968a0b7243c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f402ce357bb4d1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0980f7b51ee4fc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245</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0.667574931880109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0.6763636363636364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1</x:v>
      </x:c>
      <x:c r="C54" s="28" t="n">
        <x:f>COUNTIFS('01 Master Plan'!C$5:C$383,A54,'01 Master Plan'!H$5:H$383,"In Progress")</x:f>
        <x:v>0</x:v>
      </x:c>
      <x:c r="D54" s="28" t="n">
        <x:f>COUNTIFS('01 Master Plan'!C$5:C$383,A54,'01 Master Plan'!H$5:H$383,"Not Started")</x:f>
        <x:v>5</x:v>
      </x:c>
      <x:c r="E54" s="28" t="n">
        <x:f>COUNTIFS('01 Master Plan'!C$5:C$383,A54,'01 Master Plan'!H$5:H$383,"Blocked")</x:f>
        <x:v>0</x:v>
      </x:c>
      <x:c r="F54" s="28" t="n">
        <x:f>COUNTIFS('01 Master Plan'!C$5:C$383,A54,'01 Master Plan'!H$5:H$383,"Deferred")</x:f>
        <x:v>0</x:v>
      </x:c>
      <x:c r="G54" s="258" t="n">
        <x:f>IFERROR(B54/(B54+C54+D54+E54),0)</x:f>
        <x:v>0.16666666666666666</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85772d928184c6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7406a930397d48b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c218efdf0194cec"/>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897c79a6747485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d3c4768628c44d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432c805cefd4fde"/>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04cd84fcf55428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0e8e33bb39e4128"/>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a7176bb9b3644a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eef138dbc86942bc"/>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e927e7aeee6467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bbb968a0b7243c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