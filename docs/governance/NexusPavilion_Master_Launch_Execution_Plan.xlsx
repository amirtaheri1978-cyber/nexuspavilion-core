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e6b1aec18c4206" /></Relationships>
</file>

<file path=xl/workbook.xml><?xml version="1.0" encoding="utf-8"?>
<x:workbook xmlns:x="http://schemas.openxmlformats.org/spreadsheetml/2006/main">
  <x:sheets>
    <x:sheet xmlns:r="http://schemas.openxmlformats.org/officeDocument/2006/relationships" name="01 Master Plan" sheetId="1" r:id="R5fd9b52f111740cd"/>
    <x:sheet xmlns:r="http://schemas.openxmlformats.org/officeDocument/2006/relationships" name="03 Launch Gates" sheetId="2" r:id="R711d0ffc6ed2425d"/>
    <x:sheet xmlns:r="http://schemas.openxmlformats.org/officeDocument/2006/relationships" name="00 Dashboard" sheetId="3" r:id="Rec4e5d9a4fee4e5b"/>
    <x:sheet xmlns:r="http://schemas.openxmlformats.org/officeDocument/2006/relationships" name="04 Cursor Tasks" sheetId="4" r:id="R0156271609ac4e54"/>
    <x:sheet xmlns:r="http://schemas.openxmlformats.org/officeDocument/2006/relationships" name="05 UAT Matrix" sheetId="5" r:id="R27704731b6494342"/>
    <x:sheet xmlns:r="http://schemas.openxmlformats.org/officeDocument/2006/relationships" name="06 Security Matrix" sheetId="6" r:id="R26cfaff943244e53"/>
    <x:sheet xmlns:r="http://schemas.openxmlformats.org/officeDocument/2006/relationships" name="07 Risks" sheetId="7" r:id="R7b12cfdac3e347a1"/>
    <x:sheet xmlns:r="http://schemas.openxmlformats.org/officeDocument/2006/relationships" name="08 Architecture" sheetId="8" r:id="R5b6cc6d395a2420e"/>
    <x:sheet xmlns:r="http://schemas.openxmlformats.org/officeDocument/2006/relationships" name="09 Release Checklist" sheetId="9" r:id="R6fde7d56f3f04191"/>
    <x:sheet xmlns:r="http://schemas.openxmlformats.org/officeDocument/2006/relationships" name="10 Change Log" sheetId="10" r:id="Rca42514816574790"/>
    <x:sheet xmlns:r="http://schemas.openxmlformats.org/officeDocument/2006/relationships" name="11 Scope &amp; Roadmap" sheetId="11" r:id="R78f02b4818bf4c4c"/>
    <x:sheet xmlns:r="http://schemas.openxmlformats.org/officeDocument/2006/relationships" name="12 How to Use" sheetId="12" r:id="R2f33335c3a85401d"/>
    <x:sheet xmlns:r="http://schemas.openxmlformats.org/officeDocument/2006/relationships" name="13 UI Program" sheetId="13" r:id="R8ca1a30c396a4776"/>
    <x:sheet xmlns:r="http://schemas.openxmlformats.org/officeDocument/2006/relationships" name="14 UI Scorecard" sheetId="14" r:id="R3c48306d51564675"/>
    <x:sheet xmlns:r="http://schemas.openxmlformats.org/officeDocument/2006/relationships" name="15 Motion Guidance" sheetId="15" r:id="Rffa8ebbb2b1b4d79"/>
    <x:sheet xmlns:r="http://schemas.openxmlformats.org/officeDocument/2006/relationships" name="16 Design Standards" sheetId="16" r:id="R3099091e9b144ed5"/>
    <x:sheet xmlns:r="http://schemas.openxmlformats.org/officeDocument/2006/relationships" name="17 Corporate Platform" sheetId="17" r:id="R3e972621d54240dd"/>
    <x:sheet xmlns:r="http://schemas.openxmlformats.org/officeDocument/2006/relationships" name="18 Analytics Reuse Map" sheetId="18" r:id="R5a47c3a775274174"/>
    <x:sheet xmlns:r="http://schemas.openxmlformats.org/officeDocument/2006/relationships" name="19 Executive Insights Discovery" sheetId="19" r:id="R95599521b94545cf"/>
    <x:sheet xmlns:r="http://schemas.openxmlformats.org/officeDocument/2006/relationships" name="20 Procurement Insights Discovery" sheetId="20" r:id="R54285f21d73e4a10"/>
    <x:sheet xmlns:r="http://schemas.openxmlformats.org/officeDocument/2006/relationships" name="21 Commercial Insights Discovery" sheetId="21" r:id="Re57fc694142d477e"/>
    <x:sheet xmlns:r="http://schemas.openxmlformats.org/officeDocument/2006/relationships" name="22 Project Insights Discovery" sheetId="22" r:id="R181d68ea02c945da"/>
    <x:sheet xmlns:r="http://schemas.openxmlformats.org/officeDocument/2006/relationships" name="23 Performance Discovery" sheetId="23" r:id="Rbe1c8a891fb3431f"/>
    <x:sheet xmlns:r="http://schemas.openxmlformats.org/officeDocument/2006/relationships" name="24 Risk Compliance Discovery" sheetId="24" r:id="R856c04fdd0454345"/>
    <x:sheet xmlns:r="http://schemas.openxmlformats.org/officeDocument/2006/relationships" name="25 Commercial Handoff" sheetId="25" r:id="R7ef244e5ded343c3"/>
    <x:sheet xmlns:r="http://schemas.openxmlformats.org/officeDocument/2006/relationships" name="26 RFQ Governance" sheetId="26" r:id="R6578d280cebd418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fabe3e6d8b14b44" /><Relationship Type="http://schemas.openxmlformats.org/officeDocument/2006/relationships/theme" Target="/xl/theme/theme1.xml" Id="Rf663f8daf6ab480e" /><Relationship Type="http://schemas.openxmlformats.org/officeDocument/2006/relationships/sharedStrings" Target="/xl/sharedStrings.xml" Id="R23008adb65224646" /><Relationship Type="http://schemas.openxmlformats.org/officeDocument/2006/relationships/worksheet" Target="/xl/worksheets/sheet1.xml" Id="R5fd9b52f111740cd" /><Relationship Type="http://schemas.openxmlformats.org/officeDocument/2006/relationships/worksheet" Target="/xl/worksheets/sheet2.xml" Id="R711d0ffc6ed2425d" /><Relationship Type="http://schemas.openxmlformats.org/officeDocument/2006/relationships/worksheet" Target="/xl/worksheets/sheet3.xml" Id="Rec4e5d9a4fee4e5b" /><Relationship Type="http://schemas.openxmlformats.org/officeDocument/2006/relationships/worksheet" Target="/xl/worksheets/sheet4.xml" Id="R0156271609ac4e54" /><Relationship Type="http://schemas.openxmlformats.org/officeDocument/2006/relationships/worksheet" Target="/xl/worksheets/sheet5.xml" Id="R27704731b6494342" /><Relationship Type="http://schemas.openxmlformats.org/officeDocument/2006/relationships/worksheet" Target="/xl/worksheets/sheet6.xml" Id="R26cfaff943244e53" /><Relationship Type="http://schemas.openxmlformats.org/officeDocument/2006/relationships/worksheet" Target="/xl/worksheets/sheet7.xml" Id="R7b12cfdac3e347a1" /><Relationship Type="http://schemas.openxmlformats.org/officeDocument/2006/relationships/worksheet" Target="/xl/worksheets/sheet8.xml" Id="R5b6cc6d395a2420e" /><Relationship Type="http://schemas.openxmlformats.org/officeDocument/2006/relationships/worksheet" Target="/xl/worksheets/sheet9.xml" Id="R6fde7d56f3f04191" /><Relationship Type="http://schemas.openxmlformats.org/officeDocument/2006/relationships/worksheet" Target="/xl/worksheets/sheet10.xml" Id="Rca42514816574790" /><Relationship Type="http://schemas.openxmlformats.org/officeDocument/2006/relationships/worksheet" Target="/xl/worksheets/sheet11.xml" Id="R78f02b4818bf4c4c" /><Relationship Type="http://schemas.openxmlformats.org/officeDocument/2006/relationships/worksheet" Target="/xl/worksheets/sheet12.xml" Id="R2f33335c3a85401d" /><Relationship Type="http://schemas.openxmlformats.org/officeDocument/2006/relationships/worksheet" Target="/xl/worksheets/sheet13.xml" Id="R8ca1a30c396a4776" /><Relationship Type="http://schemas.openxmlformats.org/officeDocument/2006/relationships/worksheet" Target="/xl/worksheets/sheet14.xml" Id="R3c48306d51564675" /><Relationship Type="http://schemas.openxmlformats.org/officeDocument/2006/relationships/worksheet" Target="/xl/worksheets/sheet15.xml" Id="Rffa8ebbb2b1b4d79" /><Relationship Type="http://schemas.openxmlformats.org/officeDocument/2006/relationships/worksheet" Target="/xl/worksheets/sheet16.xml" Id="R3099091e9b144ed5" /><Relationship Type="http://schemas.openxmlformats.org/officeDocument/2006/relationships/worksheet" Target="/xl/worksheets/sheet17.xml" Id="R3e972621d54240dd" /><Relationship Type="http://schemas.openxmlformats.org/officeDocument/2006/relationships/worksheet" Target="/xl/worksheets/sheet18.xml" Id="R5a47c3a775274174" /><Relationship Type="http://schemas.openxmlformats.org/officeDocument/2006/relationships/worksheet" Target="/xl/worksheets/sheet19.xml" Id="R95599521b94545cf" /><Relationship Type="http://schemas.openxmlformats.org/officeDocument/2006/relationships/worksheet" Target="/xl/worksheets/sheet20.xml" Id="R54285f21d73e4a10" /><Relationship Type="http://schemas.openxmlformats.org/officeDocument/2006/relationships/worksheet" Target="/xl/worksheets/sheet21.xml" Id="Re57fc694142d477e" /><Relationship Type="http://schemas.openxmlformats.org/officeDocument/2006/relationships/worksheet" Target="/xl/worksheets/sheet22.xml" Id="R181d68ea02c945da" /><Relationship Type="http://schemas.openxmlformats.org/officeDocument/2006/relationships/worksheet" Target="/xl/worksheets/sheet23.xml" Id="Rbe1c8a891fb3431f" /><Relationship Type="http://schemas.openxmlformats.org/officeDocument/2006/relationships/worksheet" Target="/xl/worksheets/sheet24.xml" Id="R856c04fdd0454345" /><Relationship Type="http://schemas.openxmlformats.org/officeDocument/2006/relationships/worksheet" Target="/xl/worksheets/sheet25.xml" Id="R7ef244e5ded343c3" /><Relationship Type="http://schemas.openxmlformats.org/officeDocument/2006/relationships/worksheet" Target="/xl/worksheets/sheet26.xml" Id="R6578d280cebd4184" /></Relationships>
</file>

<file path=xl/drawings/_rels/drawing1.xml.rels>&#65279;<?xml version="1.0" encoding="utf-8"?><Relationships xmlns="http://schemas.openxmlformats.org/package/2006/relationships"><Relationship Type="http://schemas.openxmlformats.org/officeDocument/2006/relationships/chart" Target="/xl/drawings/charts/chart1.xml" Id="R43081372ca4542a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3081372ca4542a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e86fcd200a54709" /></Relationships>
</file>

<file path=xl/worksheets/_rels/sheet2.xml.rels>&#65279;<?xml version="1.0" encoding="utf-8"?><Relationships xmlns="http://schemas.openxmlformats.org/package/2006/relationships"><Relationship Type="http://schemas.openxmlformats.org/officeDocument/2006/relationships/table" Target="/xl/tables/table2.xml" Id="R51ae1917a25d4cb1" /></Relationships>
</file>

<file path=xl/worksheets/_rels/sheet3.xml.rels>&#65279;<?xml version="1.0" encoding="utf-8"?><Relationships xmlns="http://schemas.openxmlformats.org/package/2006/relationships"><Relationship Type="http://schemas.openxmlformats.org/officeDocument/2006/relationships/drawing" Target="/xl/drawings/drawing1.xml" Id="Ref4092b967974054" /></Relationships>
</file>

<file path=xl/worksheets/_rels/sheet4.xml.rels>&#65279;<?xml version="1.0" encoding="utf-8"?><Relationships xmlns="http://schemas.openxmlformats.org/package/2006/relationships"><Relationship Type="http://schemas.openxmlformats.org/officeDocument/2006/relationships/table" Target="/xl/tables/table3.xml" Id="R5e06cb9a63884389" /></Relationships>
</file>

<file path=xl/worksheets/_rels/sheet5.xml.rels>&#65279;<?xml version="1.0" encoding="utf-8"?><Relationships xmlns="http://schemas.openxmlformats.org/package/2006/relationships"><Relationship Type="http://schemas.openxmlformats.org/officeDocument/2006/relationships/table" Target="/xl/tables/table4.xml" Id="R158e1f9242434a0d" /></Relationships>
</file>

<file path=xl/worksheets/_rels/sheet6.xml.rels>&#65279;<?xml version="1.0" encoding="utf-8"?><Relationships xmlns="http://schemas.openxmlformats.org/package/2006/relationships"><Relationship Type="http://schemas.openxmlformats.org/officeDocument/2006/relationships/table" Target="/xl/tables/table5.xml" Id="Ra321bc8f95224b9a" /></Relationships>
</file>

<file path=xl/worksheets/_rels/sheet7.xml.rels>&#65279;<?xml version="1.0" encoding="utf-8"?><Relationships xmlns="http://schemas.openxmlformats.org/package/2006/relationships"><Relationship Type="http://schemas.openxmlformats.org/officeDocument/2006/relationships/table" Target="/xl/tables/table6.xml" Id="R2dc567d9eed240c6" /></Relationships>
</file>

<file path=xl/worksheets/_rels/sheet9.xml.rels>&#65279;<?xml version="1.0" encoding="utf-8"?><Relationships xmlns="http://schemas.openxmlformats.org/package/2006/relationships"><Relationship Type="http://schemas.openxmlformats.org/officeDocument/2006/relationships/table" Target="/xl/tables/table7.xml" Id="R4a9c5b83459e4bf6" /></Relationships>
</file>

<file path=xl/worksheets/_rels/sheet10.xml.rels>&#65279;<?xml version="1.0" encoding="utf-8"?><Relationships xmlns="http://schemas.openxmlformats.org/package/2006/relationships"><Relationship Type="http://schemas.openxmlformats.org/officeDocument/2006/relationships/table" Target="/xl/tables/table8.xml" Id="R302eea25386d4133" /></Relationships>
</file>

<file path=xl/worksheets/_rels/sheet11.xml.rels>&#65279;<?xml version="1.0" encoding="utf-8"?><Relationships xmlns="http://schemas.openxmlformats.org/package/2006/relationships"><Relationship Type="http://schemas.openxmlformats.org/officeDocument/2006/relationships/table" Target="/xl/tables/table9.xml" Id="R37c7f14b4cbe4ee2" /></Relationships>
</file>

<file path=xl/worksheets/_rels/sheet13.xml.rels>&#65279;<?xml version="1.0" encoding="utf-8"?><Relationships xmlns="http://schemas.openxmlformats.org/package/2006/relationships"><Relationship Type="http://schemas.openxmlformats.org/officeDocument/2006/relationships/table" Target="/xl/tables/table10.xml" Id="R70fe285e82424afb" /></Relationships>
</file>

<file path=xl/worksheets/_rels/sheet14.xml.rels>&#65279;<?xml version="1.0" encoding="utf-8"?><Relationships xmlns="http://schemas.openxmlformats.org/package/2006/relationships"><Relationship Type="http://schemas.openxmlformats.org/officeDocument/2006/relationships/table" Target="/xl/tables/table11.xml" Id="Rcac62e1e50ff4f27" /></Relationships>
</file>

<file path=xl/worksheets/_rels/sheet15.xml.rels>&#65279;<?xml version="1.0" encoding="utf-8"?><Relationships xmlns="http://schemas.openxmlformats.org/package/2006/relationships"><Relationship Type="http://schemas.openxmlformats.org/officeDocument/2006/relationships/table" Target="/xl/tables/table12.xml" Id="Re07e4acd30cf48dd" /></Relationships>
</file>

<file path=xl/worksheets/_rels/sheet16.xml.rels>&#65279;<?xml version="1.0" encoding="utf-8"?><Relationships xmlns="http://schemas.openxmlformats.org/package/2006/relationships"><Relationship Type="http://schemas.openxmlformats.org/officeDocument/2006/relationships/table" Target="/xl/tables/table13.xml" Id="R0626f28632014dd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e86fcd200a5470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1ae1917a25d4cb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250</x:v>
      </x:c>
      <x:c r="D6" s="133" t="inlineStr">
        <x:is>
          <x:t xml:space="preserve">G0A — Corporate platform architecture ready</x:t>
        </x:is>
      </x:c>
      <x:c r="E6" s="32" t="str">
        <x:f>'03 Launch Gates'!D20</x:f>
        <x:v>Completed</x:v>
      </x:c>
      <x:c r="G6" t="inlineStr">
        <x:is>
          <x:t xml:space="preserve">UI Tasks Complete</x:t>
        </x:is>
      </x:c>
      <x:c r="H6" t="n">
        <x:f>SUM(B36:B46)</x:f>
        <x:v>28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0.6811989100817438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0.6945454545454546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3</x:v>
      </x:c>
      <x:c r="C36" s="133" t="n">
        <x:f>COUNTIFS('01 Master Plan'!C$5:C$383,A36,'01 Master Plan'!H$5:H$383,"In Progress")</x:f>
        <x:v>0</x:v>
      </x:c>
      <x:c r="D36" s="133" t="n">
        <x:f>COUNTIFS('01 Master Plan'!C$5:C$383,A36,'01 Master Plan'!H$5:H$383,"Not Started")</x:f>
        <x:v>7</x:v>
      </x:c>
      <x:c r="E36" s="133" t="n">
        <x:f>COUNTIFS('01 Master Plan'!C$5:C$383,A36,'01 Master Plan'!H$5:H$383,"Blocked")</x:f>
        <x:v>0</x:v>
      </x:c>
      <x:c r="F36" s="133" t="n">
        <x:f>COUNTIFS('01 Master Plan'!C$5:C$383,A36,'01 Master Plan'!H$5:H$383,"Deferred")</x:f>
        <x:v>0</x:v>
      </x:c>
      <x:c r="G36" s="255" t="n">
        <x:f>IFERROR(B36/(B36+C36+D36+E36),0)</x:f>
        <x:v>0.3</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f4092b96797405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e06cb9a6388438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58e1f9242434a0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321bc8f95224b9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dc567d9eed240c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a9c5b83459e4bf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02eea25386d413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7c7f14b4cbe4ee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70fe285e82424af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ac62e1e50ff4f2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07e4acd30cf48d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626f28632014dd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