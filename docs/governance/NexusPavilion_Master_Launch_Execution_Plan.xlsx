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4a49e451df481b" /></Relationships>
</file>

<file path=xl/workbook.xml><?xml version="1.0" encoding="utf-8"?>
<x:workbook xmlns:x="http://schemas.openxmlformats.org/spreadsheetml/2006/main">
  <x:sheets>
    <x:sheet xmlns:r="http://schemas.openxmlformats.org/officeDocument/2006/relationships" name="01 Master Plan" sheetId="1" r:id="R7037906207994231"/>
    <x:sheet xmlns:r="http://schemas.openxmlformats.org/officeDocument/2006/relationships" name="03 Launch Gates" sheetId="2" r:id="R2dc9fe29bc4f4dc7"/>
    <x:sheet xmlns:r="http://schemas.openxmlformats.org/officeDocument/2006/relationships" name="00 Dashboard" sheetId="3" r:id="R4ec4b869a4a1402e"/>
    <x:sheet xmlns:r="http://schemas.openxmlformats.org/officeDocument/2006/relationships" name="04 Cursor Tasks" sheetId="4" r:id="R87b5ca49e3d148a8"/>
    <x:sheet xmlns:r="http://schemas.openxmlformats.org/officeDocument/2006/relationships" name="05 UAT Matrix" sheetId="5" r:id="Rb0a14146268e4749"/>
    <x:sheet xmlns:r="http://schemas.openxmlformats.org/officeDocument/2006/relationships" name="06 Security Matrix" sheetId="6" r:id="R0a769e245d804c61"/>
    <x:sheet xmlns:r="http://schemas.openxmlformats.org/officeDocument/2006/relationships" name="07 Risks" sheetId="7" r:id="Rf3ae0d53f04b4c36"/>
    <x:sheet xmlns:r="http://schemas.openxmlformats.org/officeDocument/2006/relationships" name="08 Architecture" sheetId="8" r:id="Ra62ab56fd70f4ffb"/>
    <x:sheet xmlns:r="http://schemas.openxmlformats.org/officeDocument/2006/relationships" name="09 Release Checklist" sheetId="9" r:id="R58047cde500341fe"/>
    <x:sheet xmlns:r="http://schemas.openxmlformats.org/officeDocument/2006/relationships" name="10 Change Log" sheetId="10" r:id="R91ba3dc8d5fa46ab"/>
    <x:sheet xmlns:r="http://schemas.openxmlformats.org/officeDocument/2006/relationships" name="11 Scope &amp; Roadmap" sheetId="11" r:id="Ra008b92eaf2547f3"/>
    <x:sheet xmlns:r="http://schemas.openxmlformats.org/officeDocument/2006/relationships" name="12 How to Use" sheetId="12" r:id="Rc06b94438df545c3"/>
    <x:sheet xmlns:r="http://schemas.openxmlformats.org/officeDocument/2006/relationships" name="13 UI Program" sheetId="13" r:id="R5d3343a43d3f43ce"/>
    <x:sheet xmlns:r="http://schemas.openxmlformats.org/officeDocument/2006/relationships" name="14 UI Scorecard" sheetId="14" r:id="R2a0544de7f8a40e9"/>
    <x:sheet xmlns:r="http://schemas.openxmlformats.org/officeDocument/2006/relationships" name="15 Motion Guidance" sheetId="15" r:id="Rbef988a0c0184f01"/>
    <x:sheet xmlns:r="http://schemas.openxmlformats.org/officeDocument/2006/relationships" name="16 Design Standards" sheetId="16" r:id="Rba81fbb2137e41f3"/>
    <x:sheet xmlns:r="http://schemas.openxmlformats.org/officeDocument/2006/relationships" name="17 Corporate Platform" sheetId="17" r:id="Rf389e7d2e9ab4dd0"/>
    <x:sheet xmlns:r="http://schemas.openxmlformats.org/officeDocument/2006/relationships" name="18 Analytics Reuse Map" sheetId="18" r:id="Rf6ecbc313b5746ff"/>
    <x:sheet xmlns:r="http://schemas.openxmlformats.org/officeDocument/2006/relationships" name="19 Executive Insights Discovery" sheetId="19" r:id="R33c0cda76d8a4292"/>
    <x:sheet xmlns:r="http://schemas.openxmlformats.org/officeDocument/2006/relationships" name="20 Procurement Insights Discovery" sheetId="20" r:id="Rfcd162670cca44a4"/>
    <x:sheet xmlns:r="http://schemas.openxmlformats.org/officeDocument/2006/relationships" name="21 Commercial Insights Discovery" sheetId="21" r:id="Rc459741955824d97"/>
    <x:sheet xmlns:r="http://schemas.openxmlformats.org/officeDocument/2006/relationships" name="22 Project Insights Discovery" sheetId="22" r:id="R8ffa4f1379f947f8"/>
    <x:sheet xmlns:r="http://schemas.openxmlformats.org/officeDocument/2006/relationships" name="23 Performance Discovery" sheetId="23" r:id="Rf98ceea60eea4719"/>
    <x:sheet xmlns:r="http://schemas.openxmlformats.org/officeDocument/2006/relationships" name="24 Risk Compliance Discovery" sheetId="24" r:id="R0f507861cf4845be"/>
    <x:sheet xmlns:r="http://schemas.openxmlformats.org/officeDocument/2006/relationships" name="25 Commercial Handoff" sheetId="25" r:id="R82af6c0024c9415d"/>
    <x:sheet xmlns:r="http://schemas.openxmlformats.org/officeDocument/2006/relationships" name="26 RFQ Governance" sheetId="26" r:id="R9772d1cdd984429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c7013295d124498" /><Relationship Type="http://schemas.openxmlformats.org/officeDocument/2006/relationships/theme" Target="/xl/theme/theme1.xml" Id="R298686e113cf44ab" /><Relationship Type="http://schemas.openxmlformats.org/officeDocument/2006/relationships/sharedStrings" Target="/xl/sharedStrings.xml" Id="R654078215d3d40e9" /><Relationship Type="http://schemas.openxmlformats.org/officeDocument/2006/relationships/worksheet" Target="/xl/worksheets/sheet1.xml" Id="R7037906207994231" /><Relationship Type="http://schemas.openxmlformats.org/officeDocument/2006/relationships/worksheet" Target="/xl/worksheets/sheet2.xml" Id="R2dc9fe29bc4f4dc7" /><Relationship Type="http://schemas.openxmlformats.org/officeDocument/2006/relationships/worksheet" Target="/xl/worksheets/sheet3.xml" Id="R4ec4b869a4a1402e" /><Relationship Type="http://schemas.openxmlformats.org/officeDocument/2006/relationships/worksheet" Target="/xl/worksheets/sheet4.xml" Id="R87b5ca49e3d148a8" /><Relationship Type="http://schemas.openxmlformats.org/officeDocument/2006/relationships/worksheet" Target="/xl/worksheets/sheet5.xml" Id="Rb0a14146268e4749" /><Relationship Type="http://schemas.openxmlformats.org/officeDocument/2006/relationships/worksheet" Target="/xl/worksheets/sheet6.xml" Id="R0a769e245d804c61" /><Relationship Type="http://schemas.openxmlformats.org/officeDocument/2006/relationships/worksheet" Target="/xl/worksheets/sheet7.xml" Id="Rf3ae0d53f04b4c36" /><Relationship Type="http://schemas.openxmlformats.org/officeDocument/2006/relationships/worksheet" Target="/xl/worksheets/sheet8.xml" Id="Ra62ab56fd70f4ffb" /><Relationship Type="http://schemas.openxmlformats.org/officeDocument/2006/relationships/worksheet" Target="/xl/worksheets/sheet9.xml" Id="R58047cde500341fe" /><Relationship Type="http://schemas.openxmlformats.org/officeDocument/2006/relationships/worksheet" Target="/xl/worksheets/sheet10.xml" Id="R91ba3dc8d5fa46ab" /><Relationship Type="http://schemas.openxmlformats.org/officeDocument/2006/relationships/worksheet" Target="/xl/worksheets/sheet11.xml" Id="Ra008b92eaf2547f3" /><Relationship Type="http://schemas.openxmlformats.org/officeDocument/2006/relationships/worksheet" Target="/xl/worksheets/sheet12.xml" Id="Rc06b94438df545c3" /><Relationship Type="http://schemas.openxmlformats.org/officeDocument/2006/relationships/worksheet" Target="/xl/worksheets/sheet13.xml" Id="R5d3343a43d3f43ce" /><Relationship Type="http://schemas.openxmlformats.org/officeDocument/2006/relationships/worksheet" Target="/xl/worksheets/sheet14.xml" Id="R2a0544de7f8a40e9" /><Relationship Type="http://schemas.openxmlformats.org/officeDocument/2006/relationships/worksheet" Target="/xl/worksheets/sheet15.xml" Id="Rbef988a0c0184f01" /><Relationship Type="http://schemas.openxmlformats.org/officeDocument/2006/relationships/worksheet" Target="/xl/worksheets/sheet16.xml" Id="Rba81fbb2137e41f3" /><Relationship Type="http://schemas.openxmlformats.org/officeDocument/2006/relationships/worksheet" Target="/xl/worksheets/sheet17.xml" Id="Rf389e7d2e9ab4dd0" /><Relationship Type="http://schemas.openxmlformats.org/officeDocument/2006/relationships/worksheet" Target="/xl/worksheets/sheet18.xml" Id="Rf6ecbc313b5746ff" /><Relationship Type="http://schemas.openxmlformats.org/officeDocument/2006/relationships/worksheet" Target="/xl/worksheets/sheet19.xml" Id="R33c0cda76d8a4292" /><Relationship Type="http://schemas.openxmlformats.org/officeDocument/2006/relationships/worksheet" Target="/xl/worksheets/sheet20.xml" Id="Rfcd162670cca44a4" /><Relationship Type="http://schemas.openxmlformats.org/officeDocument/2006/relationships/worksheet" Target="/xl/worksheets/sheet21.xml" Id="Rc459741955824d97" /><Relationship Type="http://schemas.openxmlformats.org/officeDocument/2006/relationships/worksheet" Target="/xl/worksheets/sheet22.xml" Id="R8ffa4f1379f947f8" /><Relationship Type="http://schemas.openxmlformats.org/officeDocument/2006/relationships/worksheet" Target="/xl/worksheets/sheet23.xml" Id="Rf98ceea60eea4719" /><Relationship Type="http://schemas.openxmlformats.org/officeDocument/2006/relationships/worksheet" Target="/xl/worksheets/sheet24.xml" Id="R0f507861cf4845be" /><Relationship Type="http://schemas.openxmlformats.org/officeDocument/2006/relationships/worksheet" Target="/xl/worksheets/sheet25.xml" Id="R82af6c0024c9415d" /><Relationship Type="http://schemas.openxmlformats.org/officeDocument/2006/relationships/worksheet" Target="/xl/worksheets/sheet26.xml" Id="R9772d1cdd984429b" /></Relationships>
</file>

<file path=xl/drawings/_rels/drawing1.xml.rels>&#65279;<?xml version="1.0" encoding="utf-8"?><Relationships xmlns="http://schemas.openxmlformats.org/package/2006/relationships"><Relationship Type="http://schemas.openxmlformats.org/officeDocument/2006/relationships/chart" Target="/xl/drawings/charts/chart1.xml" Id="R8575907019684cf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575907019684cf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42c37fd5e9246fd" /></Relationships>
</file>

<file path=xl/worksheets/_rels/sheet2.xml.rels>&#65279;<?xml version="1.0" encoding="utf-8"?><Relationships xmlns="http://schemas.openxmlformats.org/package/2006/relationships"><Relationship Type="http://schemas.openxmlformats.org/officeDocument/2006/relationships/table" Target="/xl/tables/table2.xml" Id="R3958fd370d0f4a92" /></Relationships>
</file>

<file path=xl/worksheets/_rels/sheet3.xml.rels>&#65279;<?xml version="1.0" encoding="utf-8"?><Relationships xmlns="http://schemas.openxmlformats.org/package/2006/relationships"><Relationship Type="http://schemas.openxmlformats.org/officeDocument/2006/relationships/drawing" Target="/xl/drawings/drawing1.xml" Id="Ra89f973565884f25" /></Relationships>
</file>

<file path=xl/worksheets/_rels/sheet4.xml.rels>&#65279;<?xml version="1.0" encoding="utf-8"?><Relationships xmlns="http://schemas.openxmlformats.org/package/2006/relationships"><Relationship Type="http://schemas.openxmlformats.org/officeDocument/2006/relationships/table" Target="/xl/tables/table3.xml" Id="R5d40a9f600e541c9" /></Relationships>
</file>

<file path=xl/worksheets/_rels/sheet5.xml.rels>&#65279;<?xml version="1.0" encoding="utf-8"?><Relationships xmlns="http://schemas.openxmlformats.org/package/2006/relationships"><Relationship Type="http://schemas.openxmlformats.org/officeDocument/2006/relationships/table" Target="/xl/tables/table4.xml" Id="R3f48908a16794bc7" /></Relationships>
</file>

<file path=xl/worksheets/_rels/sheet6.xml.rels>&#65279;<?xml version="1.0" encoding="utf-8"?><Relationships xmlns="http://schemas.openxmlformats.org/package/2006/relationships"><Relationship Type="http://schemas.openxmlformats.org/officeDocument/2006/relationships/table" Target="/xl/tables/table5.xml" Id="R3cf3f59f0f8b4a47" /></Relationships>
</file>

<file path=xl/worksheets/_rels/sheet7.xml.rels>&#65279;<?xml version="1.0" encoding="utf-8"?><Relationships xmlns="http://schemas.openxmlformats.org/package/2006/relationships"><Relationship Type="http://schemas.openxmlformats.org/officeDocument/2006/relationships/table" Target="/xl/tables/table6.xml" Id="R0608b0f5cc6a476c" /></Relationships>
</file>

<file path=xl/worksheets/_rels/sheet9.xml.rels>&#65279;<?xml version="1.0" encoding="utf-8"?><Relationships xmlns="http://schemas.openxmlformats.org/package/2006/relationships"><Relationship Type="http://schemas.openxmlformats.org/officeDocument/2006/relationships/table" Target="/xl/tables/table7.xml" Id="R8f6b9e736dbd40ec" /></Relationships>
</file>

<file path=xl/worksheets/_rels/sheet10.xml.rels>&#65279;<?xml version="1.0" encoding="utf-8"?><Relationships xmlns="http://schemas.openxmlformats.org/package/2006/relationships"><Relationship Type="http://schemas.openxmlformats.org/officeDocument/2006/relationships/table" Target="/xl/tables/table8.xml" Id="Rd8468a935a5b44f9" /></Relationships>
</file>

<file path=xl/worksheets/_rels/sheet11.xml.rels>&#65279;<?xml version="1.0" encoding="utf-8"?><Relationships xmlns="http://schemas.openxmlformats.org/package/2006/relationships"><Relationship Type="http://schemas.openxmlformats.org/officeDocument/2006/relationships/table" Target="/xl/tables/table9.xml" Id="R26ab4089f35f4e41" /></Relationships>
</file>

<file path=xl/worksheets/_rels/sheet13.xml.rels>&#65279;<?xml version="1.0" encoding="utf-8"?><Relationships xmlns="http://schemas.openxmlformats.org/package/2006/relationships"><Relationship Type="http://schemas.openxmlformats.org/officeDocument/2006/relationships/table" Target="/xl/tables/table10.xml" Id="R89674eeabc7c43e0" /></Relationships>
</file>

<file path=xl/worksheets/_rels/sheet14.xml.rels>&#65279;<?xml version="1.0" encoding="utf-8"?><Relationships xmlns="http://schemas.openxmlformats.org/package/2006/relationships"><Relationship Type="http://schemas.openxmlformats.org/officeDocument/2006/relationships/table" Target="/xl/tables/table11.xml" Id="R63e76ccdc29440ee" /></Relationships>
</file>

<file path=xl/worksheets/_rels/sheet15.xml.rels>&#65279;<?xml version="1.0" encoding="utf-8"?><Relationships xmlns="http://schemas.openxmlformats.org/package/2006/relationships"><Relationship Type="http://schemas.openxmlformats.org/officeDocument/2006/relationships/table" Target="/xl/tables/table12.xml" Id="R177140aa54ce4ed3" /></Relationships>
</file>

<file path=xl/worksheets/_rels/sheet16.xml.rels>&#65279;<?xml version="1.0" encoding="utf-8"?><Relationships xmlns="http://schemas.openxmlformats.org/package/2006/relationships"><Relationship Type="http://schemas.openxmlformats.org/officeDocument/2006/relationships/table" Target="/xl/tables/table13.xml" Id="R7ee3c2c8e00c45a2"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Blocked</x:v>
      </x:c>
      <x:c r="I324" s="133" t="str">
        <x:v>Project Owner / Product / Engineering</x:v>
      </x:c>
      <x:c r="J324" s="133" t="str"/>
      <x:c r="K324" s="133" t="inlineStr">
        <x:is>
          <x:t xml:space="preserve">13G-10</x:t>
        </x:is>
      </x:c>
      <x:c r="L324" s="133" t="str"/>
      <x:c r="M324" s="133" t="str">
        <x:v>BLOCKED / STRATEGIC INSIGHTS FREEZE CONFLICT — Canonical Strategic Insights resolves to direct /analytics, which previously passed Product-Gate and remains explicitly FROZEN. Read-only reconciliation found no canonical tracker/repository evidence that 13H-14 supersedes that freeze. The current HEAD Analytics surface already scores approximately 9.3/10 and preserves commercial confidentiality, recommendation-vs-award distinctions, and evidence/inference truthfulness contracts, but some design-system shell drift remains. Because that drift cannot be acted on without reopening the frozen surface, no implementation is authorized.</x:v>
      </x:c>
      <x:c r="N324" s="249" t="n"/>
      <x:c r="O324" s="249" t="n">
        <x:v>46297</x:v>
      </x:c>
      <x:c r="P324" s="135" t="str">
        <x:v>Evidence: canonical route is /analytics; Dashboard StrategicIntelligenceWorkspace is only a teaser/CTA and not a substitute implementation target. Direct /analytics was previously Product-Gate PASS/FROZEN; freeze remains applicable. Master Plan 13H-14 does not contain explicit language superseding the freeze, and no repository/tracker evidence was found granting a presentation-only reopen. Current shared Executive system application is partial on HEAD; page-local shell/chrome drift exists, but there is no authorized defect or changed requirement permitting modification. Commercial confidentiality remains deadline-locked; recommendation remains distinct from award; evidence vs inference wording passes current truthfulness contracts. Working tree contains substantial unrelated dirty Analytics WIP, including page rewrite and analytics components/tests, and none of it may be treated as authorized 13H-14 scope. Resolution requires explicit Product Owner/Master Plan authorization to reopen exact allowlisted presentation files, or an explicit decision that prior Product-Gate evidence satisfies 13H-14. Until resolved, 13H-14 remains BLOCKED. Next dependency-independent executable canonical task: 13H-15 — Upgrade Identity &amp; Profile.</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42c37fd5e9246f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3958fd370d0f4a92"/>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343</x:v>
      </x:c>
      <x:c r="D6" s="133" t="inlineStr">
        <x:is>
          <x:t xml:space="preserve">G0A — Corporate platform architecture ready</x:t>
        </x:is>
      </x:c>
      <x:c r="E6" s="32" t="str">
        <x:f>'03 Launch Gates'!D20</x:f>
        <x:v>Completed</x:v>
      </x:c>
      <x:c r="G6" t="inlineStr">
        <x:is>
          <x:t xml:space="preserve">UI Tasks Complete</x:t>
        </x:is>
      </x:c>
      <x:c r="H6" t="n">
        <x:f>SUM(B36:B46)</x:f>
        <x:v>121</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8</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0.9346049046321526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16</x:v>
      </x:c>
      <x:c r="C44" s="28" t="n">
        <x:f>COUNTIFS('01 Master Plan'!C$5:C$383,A44,'01 Master Plan'!H$5:H$383,"In Progress")</x:f>
        <x:v>0</x:v>
      </x:c>
      <x:c r="D44" s="28" t="n">
        <x:f>COUNTIFS('01 Master Plan'!C$5:C$383,A44,'01 Master Plan'!H$5:H$383,"Not Started")</x:f>
        <x:v>2</x:v>
      </x:c>
      <x:c r="E44" s="28" t="n">
        <x:f>COUNTIFS('01 Master Plan'!C$5:C$383,A44,'01 Master Plan'!H$5:H$383,"Blocked")</x:f>
        <x:v>2</x:v>
      </x:c>
      <x:c r="F44" s="28" t="n">
        <x:f>COUNTIFS('01 Master Plan'!C$5:C$383,A44,'01 Master Plan'!H$5:H$383,"Deferred")</x:f>
        <x:v>0</x:v>
      </x:c>
      <x:c r="G44" s="258" t="n">
        <x:f>IFERROR(B44/(B44+C44+D44+E44),0)</x:f>
        <x:v>0.8</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89f973565884f25"/>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d40a9f600e541c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3f48908a16794bc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3cf3f59f0f8b4a4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608b0f5cc6a476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f6b9e736dbd40e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8468a935a5b44f9"/>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26ab4089f35f4e4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13H-10, 13H-12 through 13H-13, and 13H-15 through 13H-18 PASS/CLOSED/PUBLISHED; 13H-11 remains BLOCKED pending an approved My Tasks ownership/data contract; 13H-14 remains BLOCKED by the frozen /analytics Strategic Insights surface. Compliance &amp; Documents editors are now presentation-standardized while preserving self-declared evidence framing, expiry/status semantics, file operations and storage contracts. Next executable canonical task: 13H-19 Upgrade Policies &amp; Approvals.</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89674eeabc7c43e0"/>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63e76ccdc29440e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177140aa54ce4ed3"/>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ee3c2c8e00c45a2"/>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