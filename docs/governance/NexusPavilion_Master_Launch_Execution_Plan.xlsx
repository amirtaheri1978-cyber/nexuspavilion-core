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f6c65d13f4149ba" /></Relationships>
</file>

<file path=xl/workbook.xml><?xml version="1.0" encoding="utf-8"?>
<x:workbook xmlns:x="http://schemas.openxmlformats.org/spreadsheetml/2006/main">
  <x:sheets>
    <x:sheet xmlns:r="http://schemas.openxmlformats.org/officeDocument/2006/relationships" name="01 Master Plan" sheetId="1" r:id="R71c0a5bc823942d7"/>
    <x:sheet xmlns:r="http://schemas.openxmlformats.org/officeDocument/2006/relationships" name="03 Launch Gates" sheetId="2" r:id="R8d473e2340b54c47"/>
    <x:sheet xmlns:r="http://schemas.openxmlformats.org/officeDocument/2006/relationships" name="00 Dashboard" sheetId="3" r:id="R690c83dd182c45a7"/>
    <x:sheet xmlns:r="http://schemas.openxmlformats.org/officeDocument/2006/relationships" name="04 Cursor Tasks" sheetId="4" r:id="Ra195a09a0b824b14"/>
    <x:sheet xmlns:r="http://schemas.openxmlformats.org/officeDocument/2006/relationships" name="05 UAT Matrix" sheetId="5" r:id="R88502e526b9e48d3"/>
    <x:sheet xmlns:r="http://schemas.openxmlformats.org/officeDocument/2006/relationships" name="06 Security Matrix" sheetId="6" r:id="R86a6f98457fa4a33"/>
    <x:sheet xmlns:r="http://schemas.openxmlformats.org/officeDocument/2006/relationships" name="07 Risks" sheetId="7" r:id="R0c253f27dae6420b"/>
    <x:sheet xmlns:r="http://schemas.openxmlformats.org/officeDocument/2006/relationships" name="08 Architecture" sheetId="8" r:id="R168d34cd0893497b"/>
    <x:sheet xmlns:r="http://schemas.openxmlformats.org/officeDocument/2006/relationships" name="09 Release Checklist" sheetId="9" r:id="R5e5cb1b894084903"/>
    <x:sheet xmlns:r="http://schemas.openxmlformats.org/officeDocument/2006/relationships" name="10 Change Log" sheetId="10" r:id="R5b6accd8b4b84077"/>
    <x:sheet xmlns:r="http://schemas.openxmlformats.org/officeDocument/2006/relationships" name="11 Scope &amp; Roadmap" sheetId="11" r:id="Rb72b8a6e2ee2420c"/>
    <x:sheet xmlns:r="http://schemas.openxmlformats.org/officeDocument/2006/relationships" name="12 How to Use" sheetId="12" r:id="Rba335900006b4a3c"/>
    <x:sheet xmlns:r="http://schemas.openxmlformats.org/officeDocument/2006/relationships" name="13 UI Program" sheetId="13" r:id="R4ab7fc260c0f40ac"/>
    <x:sheet xmlns:r="http://schemas.openxmlformats.org/officeDocument/2006/relationships" name="14 UI Scorecard" sheetId="14" r:id="R2d77451f65b64ac2"/>
    <x:sheet xmlns:r="http://schemas.openxmlformats.org/officeDocument/2006/relationships" name="15 Motion Guidance" sheetId="15" r:id="R32b338dc5f8c4c86"/>
    <x:sheet xmlns:r="http://schemas.openxmlformats.org/officeDocument/2006/relationships" name="16 Design Standards" sheetId="16" r:id="Rb25611c6d4714933"/>
    <x:sheet xmlns:r="http://schemas.openxmlformats.org/officeDocument/2006/relationships" name="17 Corporate Platform" sheetId="17" r:id="R58076d3250e14eae"/>
    <x:sheet xmlns:r="http://schemas.openxmlformats.org/officeDocument/2006/relationships" name="18 Analytics Reuse Map" sheetId="18" r:id="Rce0d8501d4254368"/>
    <x:sheet xmlns:r="http://schemas.openxmlformats.org/officeDocument/2006/relationships" name="19 Executive Insights Discovery" sheetId="19" r:id="Rca36c87e6d1f4f26"/>
    <x:sheet xmlns:r="http://schemas.openxmlformats.org/officeDocument/2006/relationships" name="20 Procurement Insights Discovery" sheetId="20" r:id="R99fc7ede4af3491f"/>
    <x:sheet xmlns:r="http://schemas.openxmlformats.org/officeDocument/2006/relationships" name="21 Commercial Insights Discovery" sheetId="21" r:id="R478399108b4347e2"/>
    <x:sheet xmlns:r="http://schemas.openxmlformats.org/officeDocument/2006/relationships" name="22 Project Insights Discovery" sheetId="22" r:id="Rdcb8b100ee98431d"/>
    <x:sheet xmlns:r="http://schemas.openxmlformats.org/officeDocument/2006/relationships" name="23 Performance Discovery" sheetId="23" r:id="Ra02b05ae4ee64a04"/>
    <x:sheet xmlns:r="http://schemas.openxmlformats.org/officeDocument/2006/relationships" name="24 Risk Compliance Discovery" sheetId="24" r:id="R57ca040e9a7646ad"/>
    <x:sheet xmlns:r="http://schemas.openxmlformats.org/officeDocument/2006/relationships" name="25 Commercial Handoff" sheetId="25" r:id="R7b364bbb3b3c4eea"/>
    <x:sheet xmlns:r="http://schemas.openxmlformats.org/officeDocument/2006/relationships" name="26 RFQ Governance" sheetId="26" r:id="R22faf774f5d24a6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553a7a4ec3b4641" /><Relationship Type="http://schemas.openxmlformats.org/officeDocument/2006/relationships/theme" Target="/xl/theme/theme1.xml" Id="R6a1c3b89c01b4eac" /><Relationship Type="http://schemas.openxmlformats.org/officeDocument/2006/relationships/sharedStrings" Target="/xl/sharedStrings.xml" Id="Rb4f64520001a40ae" /><Relationship Type="http://schemas.openxmlformats.org/officeDocument/2006/relationships/worksheet" Target="/xl/worksheets/sheet1.xml" Id="R71c0a5bc823942d7" /><Relationship Type="http://schemas.openxmlformats.org/officeDocument/2006/relationships/worksheet" Target="/xl/worksheets/sheet2.xml" Id="R8d473e2340b54c47" /><Relationship Type="http://schemas.openxmlformats.org/officeDocument/2006/relationships/worksheet" Target="/xl/worksheets/sheet3.xml" Id="R690c83dd182c45a7" /><Relationship Type="http://schemas.openxmlformats.org/officeDocument/2006/relationships/worksheet" Target="/xl/worksheets/sheet4.xml" Id="Ra195a09a0b824b14" /><Relationship Type="http://schemas.openxmlformats.org/officeDocument/2006/relationships/worksheet" Target="/xl/worksheets/sheet5.xml" Id="R88502e526b9e48d3" /><Relationship Type="http://schemas.openxmlformats.org/officeDocument/2006/relationships/worksheet" Target="/xl/worksheets/sheet6.xml" Id="R86a6f98457fa4a33" /><Relationship Type="http://schemas.openxmlformats.org/officeDocument/2006/relationships/worksheet" Target="/xl/worksheets/sheet7.xml" Id="R0c253f27dae6420b" /><Relationship Type="http://schemas.openxmlformats.org/officeDocument/2006/relationships/worksheet" Target="/xl/worksheets/sheet8.xml" Id="R168d34cd0893497b" /><Relationship Type="http://schemas.openxmlformats.org/officeDocument/2006/relationships/worksheet" Target="/xl/worksheets/sheet9.xml" Id="R5e5cb1b894084903" /><Relationship Type="http://schemas.openxmlformats.org/officeDocument/2006/relationships/worksheet" Target="/xl/worksheets/sheet10.xml" Id="R5b6accd8b4b84077" /><Relationship Type="http://schemas.openxmlformats.org/officeDocument/2006/relationships/worksheet" Target="/xl/worksheets/sheet11.xml" Id="Rb72b8a6e2ee2420c" /><Relationship Type="http://schemas.openxmlformats.org/officeDocument/2006/relationships/worksheet" Target="/xl/worksheets/sheet12.xml" Id="Rba335900006b4a3c" /><Relationship Type="http://schemas.openxmlformats.org/officeDocument/2006/relationships/worksheet" Target="/xl/worksheets/sheet13.xml" Id="R4ab7fc260c0f40ac" /><Relationship Type="http://schemas.openxmlformats.org/officeDocument/2006/relationships/worksheet" Target="/xl/worksheets/sheet14.xml" Id="R2d77451f65b64ac2" /><Relationship Type="http://schemas.openxmlformats.org/officeDocument/2006/relationships/worksheet" Target="/xl/worksheets/sheet15.xml" Id="R32b338dc5f8c4c86" /><Relationship Type="http://schemas.openxmlformats.org/officeDocument/2006/relationships/worksheet" Target="/xl/worksheets/sheet16.xml" Id="Rb25611c6d4714933" /><Relationship Type="http://schemas.openxmlformats.org/officeDocument/2006/relationships/worksheet" Target="/xl/worksheets/sheet17.xml" Id="R58076d3250e14eae" /><Relationship Type="http://schemas.openxmlformats.org/officeDocument/2006/relationships/worksheet" Target="/xl/worksheets/sheet18.xml" Id="Rce0d8501d4254368" /><Relationship Type="http://schemas.openxmlformats.org/officeDocument/2006/relationships/worksheet" Target="/xl/worksheets/sheet19.xml" Id="Rca36c87e6d1f4f26" /><Relationship Type="http://schemas.openxmlformats.org/officeDocument/2006/relationships/worksheet" Target="/xl/worksheets/sheet20.xml" Id="R99fc7ede4af3491f" /><Relationship Type="http://schemas.openxmlformats.org/officeDocument/2006/relationships/worksheet" Target="/xl/worksheets/sheet21.xml" Id="R478399108b4347e2" /><Relationship Type="http://schemas.openxmlformats.org/officeDocument/2006/relationships/worksheet" Target="/xl/worksheets/sheet22.xml" Id="Rdcb8b100ee98431d" /><Relationship Type="http://schemas.openxmlformats.org/officeDocument/2006/relationships/worksheet" Target="/xl/worksheets/sheet23.xml" Id="Ra02b05ae4ee64a04" /><Relationship Type="http://schemas.openxmlformats.org/officeDocument/2006/relationships/worksheet" Target="/xl/worksheets/sheet24.xml" Id="R57ca040e9a7646ad" /><Relationship Type="http://schemas.openxmlformats.org/officeDocument/2006/relationships/worksheet" Target="/xl/worksheets/sheet25.xml" Id="R7b364bbb3b3c4eea" /><Relationship Type="http://schemas.openxmlformats.org/officeDocument/2006/relationships/worksheet" Target="/xl/worksheets/sheet26.xml" Id="R22faf774f5d24a60" /></Relationships>
</file>

<file path=xl/drawings/_rels/drawing1.xml.rels>&#65279;<?xml version="1.0" encoding="utf-8"?><Relationships xmlns="http://schemas.openxmlformats.org/package/2006/relationships"><Relationship Type="http://schemas.openxmlformats.org/officeDocument/2006/relationships/chart" Target="/xl/drawings/charts/chart1.xml" Id="R9a7570824cd244b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7570824cd244b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209fad44ae841bc" /></Relationships>
</file>

<file path=xl/worksheets/_rels/sheet2.xml.rels>&#65279;<?xml version="1.0" encoding="utf-8"?><Relationships xmlns="http://schemas.openxmlformats.org/package/2006/relationships"><Relationship Type="http://schemas.openxmlformats.org/officeDocument/2006/relationships/table" Target="/xl/tables/table2.xml" Id="R513a980ba9c6462c" /></Relationships>
</file>

<file path=xl/worksheets/_rels/sheet3.xml.rels>&#65279;<?xml version="1.0" encoding="utf-8"?><Relationships xmlns="http://schemas.openxmlformats.org/package/2006/relationships"><Relationship Type="http://schemas.openxmlformats.org/officeDocument/2006/relationships/drawing" Target="/xl/drawings/drawing1.xml" Id="R3fd467f5dbec40a4" /></Relationships>
</file>

<file path=xl/worksheets/_rels/sheet4.xml.rels>&#65279;<?xml version="1.0" encoding="utf-8"?><Relationships xmlns="http://schemas.openxmlformats.org/package/2006/relationships"><Relationship Type="http://schemas.openxmlformats.org/officeDocument/2006/relationships/table" Target="/xl/tables/table3.xml" Id="R960a2156fbaa4108" /></Relationships>
</file>

<file path=xl/worksheets/_rels/sheet5.xml.rels>&#65279;<?xml version="1.0" encoding="utf-8"?><Relationships xmlns="http://schemas.openxmlformats.org/package/2006/relationships"><Relationship Type="http://schemas.openxmlformats.org/officeDocument/2006/relationships/table" Target="/xl/tables/table4.xml" Id="R4cb1a859d2a543ea" /></Relationships>
</file>

<file path=xl/worksheets/_rels/sheet6.xml.rels>&#65279;<?xml version="1.0" encoding="utf-8"?><Relationships xmlns="http://schemas.openxmlformats.org/package/2006/relationships"><Relationship Type="http://schemas.openxmlformats.org/officeDocument/2006/relationships/table" Target="/xl/tables/table5.xml" Id="R5644db8d656540ca" /></Relationships>
</file>

<file path=xl/worksheets/_rels/sheet7.xml.rels>&#65279;<?xml version="1.0" encoding="utf-8"?><Relationships xmlns="http://schemas.openxmlformats.org/package/2006/relationships"><Relationship Type="http://schemas.openxmlformats.org/officeDocument/2006/relationships/table" Target="/xl/tables/table6.xml" Id="Re3d8da18dbec4b92" /></Relationships>
</file>

<file path=xl/worksheets/_rels/sheet9.xml.rels>&#65279;<?xml version="1.0" encoding="utf-8"?><Relationships xmlns="http://schemas.openxmlformats.org/package/2006/relationships"><Relationship Type="http://schemas.openxmlformats.org/officeDocument/2006/relationships/table" Target="/xl/tables/table7.xml" Id="R40581f76c02549ba" /></Relationships>
</file>

<file path=xl/worksheets/_rels/sheet10.xml.rels>&#65279;<?xml version="1.0" encoding="utf-8"?><Relationships xmlns="http://schemas.openxmlformats.org/package/2006/relationships"><Relationship Type="http://schemas.openxmlformats.org/officeDocument/2006/relationships/table" Target="/xl/tables/table8.xml" Id="R54267acc86d2468b" /></Relationships>
</file>

<file path=xl/worksheets/_rels/sheet11.xml.rels>&#65279;<?xml version="1.0" encoding="utf-8"?><Relationships xmlns="http://schemas.openxmlformats.org/package/2006/relationships"><Relationship Type="http://schemas.openxmlformats.org/officeDocument/2006/relationships/table" Target="/xl/tables/table9.xml" Id="R74f2dbddb2624009" /></Relationships>
</file>

<file path=xl/worksheets/_rels/sheet13.xml.rels>&#65279;<?xml version="1.0" encoding="utf-8"?><Relationships xmlns="http://schemas.openxmlformats.org/package/2006/relationships"><Relationship Type="http://schemas.openxmlformats.org/officeDocument/2006/relationships/table" Target="/xl/tables/table10.xml" Id="R428ff8cc9ace4823" /></Relationships>
</file>

<file path=xl/worksheets/_rels/sheet14.xml.rels>&#65279;<?xml version="1.0" encoding="utf-8"?><Relationships xmlns="http://schemas.openxmlformats.org/package/2006/relationships"><Relationship Type="http://schemas.openxmlformats.org/officeDocument/2006/relationships/table" Target="/xl/tables/table11.xml" Id="R3ca5a0c7363544bb" /></Relationships>
</file>

<file path=xl/worksheets/_rels/sheet15.xml.rels>&#65279;<?xml version="1.0" encoding="utf-8"?><Relationships xmlns="http://schemas.openxmlformats.org/package/2006/relationships"><Relationship Type="http://schemas.openxmlformats.org/officeDocument/2006/relationships/table" Target="/xl/tables/table12.xml" Id="R8d38133f83a943d4" /></Relationships>
</file>

<file path=xl/worksheets/_rels/sheet16.xml.rels>&#65279;<?xml version="1.0" encoding="utf-8"?><Relationships xmlns="http://schemas.openxmlformats.org/package/2006/relationships"><Relationship Type="http://schemas.openxmlformats.org/officeDocument/2006/relationships/table" Target="/xl/tables/table13.xml" Id="Rc26617956957408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9209fad44ae841b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20-08 are published and closed: Getting Started, Create Company, Create RFQ, Invite Companies, Respond to RFQ, Submit RFI, Submit Quote, and Evaluate Responses. Documentation now covers the governed end-to-end procurement path through issuer commercial evaluation, including pre-deadline confidentiality and deterministic decision-support rules. G11 remains open pending 20-09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13a980ba9c6462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240</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0.6539509536784741</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0.6581818181818182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8</x:v>
      </x:c>
      <x:c r="C53" s="28" t="n">
        <x:f>COUNTIFS('01 Master Plan'!C$5:C$383,A53,'01 Master Plan'!H$5:H$383,"In Progress")</x:f>
        <x:v>0</x:v>
      </x:c>
      <x:c r="D53" s="28" t="n">
        <x:f>COUNTIFS('01 Master Plan'!C$5:C$383,A53,'01 Master Plan'!H$5:H$383,"Not Started")</x:f>
        <x:v>4</x:v>
      </x:c>
      <x:c r="E53" s="28" t="n">
        <x:f>COUNTIFS('01 Master Plan'!C$5:C$383,A53,'01 Master Plan'!H$5:H$383,"Blocked")</x:f>
        <x:v>0</x:v>
      </x:c>
      <x:c r="F53" s="28" t="n">
        <x:f>COUNTIFS('01 Master Plan'!C$5:C$383,A53,'01 Master Plan'!H$5:H$383,"Deferred")</x:f>
        <x:v>0</x:v>
      </x:c>
      <x:c r="G53" s="258" t="n">
        <x:f>IFERROR(B53/(B53+C53+D53+E53),0)</x:f>
        <x:v>0.6666666666666666</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fd467f5dbec40a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60a2156fbaa410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cb1a859d2a543e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644db8d656540c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3d8da18dbec4b9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0581f76c02549b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4267acc86d2468b"/>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4f2dbddb2624009"/>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28ff8cc9ace482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ca5a0c7363544b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d38133f83a943d4"/>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26617956957408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