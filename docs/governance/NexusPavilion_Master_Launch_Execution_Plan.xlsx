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4fcb88c6a4e4ed8" /></Relationships>
</file>

<file path=xl/workbook.xml><?xml version="1.0" encoding="utf-8"?>
<x:workbook xmlns:x="http://schemas.openxmlformats.org/spreadsheetml/2006/main">
  <x:sheets>
    <x:sheet xmlns:r="http://schemas.openxmlformats.org/officeDocument/2006/relationships" name="01 Master Plan" sheetId="1" r:id="R53b8f89742ff43fa"/>
    <x:sheet xmlns:r="http://schemas.openxmlformats.org/officeDocument/2006/relationships" name="03 Launch Gates" sheetId="2" r:id="R5a6ff149aadf4930"/>
    <x:sheet xmlns:r="http://schemas.openxmlformats.org/officeDocument/2006/relationships" name="00 Dashboard" sheetId="3" r:id="Rcca385c90adb40cc"/>
    <x:sheet xmlns:r="http://schemas.openxmlformats.org/officeDocument/2006/relationships" name="04 Cursor Tasks" sheetId="4" r:id="R40cfc442bd964235"/>
    <x:sheet xmlns:r="http://schemas.openxmlformats.org/officeDocument/2006/relationships" name="05 UAT Matrix" sheetId="5" r:id="R92cafdf6f0a24fe2"/>
    <x:sheet xmlns:r="http://schemas.openxmlformats.org/officeDocument/2006/relationships" name="06 Security Matrix" sheetId="6" r:id="R5eba5a02f7bf402c"/>
    <x:sheet xmlns:r="http://schemas.openxmlformats.org/officeDocument/2006/relationships" name="07 Risks" sheetId="7" r:id="Rb75d3ba2e62c466c"/>
    <x:sheet xmlns:r="http://schemas.openxmlformats.org/officeDocument/2006/relationships" name="08 Architecture" sheetId="8" r:id="Re839a4c1ecbd405b"/>
    <x:sheet xmlns:r="http://schemas.openxmlformats.org/officeDocument/2006/relationships" name="09 Release Checklist" sheetId="9" r:id="R98a11668b78045a1"/>
    <x:sheet xmlns:r="http://schemas.openxmlformats.org/officeDocument/2006/relationships" name="10 Change Log" sheetId="10" r:id="Ree946fe729ab4dfe"/>
    <x:sheet xmlns:r="http://schemas.openxmlformats.org/officeDocument/2006/relationships" name="11 Scope &amp; Roadmap" sheetId="11" r:id="Rc6a1c96f98084fae"/>
    <x:sheet xmlns:r="http://schemas.openxmlformats.org/officeDocument/2006/relationships" name="12 How to Use" sheetId="12" r:id="R2c2e783657d44593"/>
    <x:sheet xmlns:r="http://schemas.openxmlformats.org/officeDocument/2006/relationships" name="13 UI Program" sheetId="13" r:id="R242a7745ef1b48a9"/>
    <x:sheet xmlns:r="http://schemas.openxmlformats.org/officeDocument/2006/relationships" name="14 UI Scorecard" sheetId="14" r:id="R9d58aeed7f7545ce"/>
    <x:sheet xmlns:r="http://schemas.openxmlformats.org/officeDocument/2006/relationships" name="15 Motion Guidance" sheetId="15" r:id="Rb9aca2095734429d"/>
    <x:sheet xmlns:r="http://schemas.openxmlformats.org/officeDocument/2006/relationships" name="16 Design Standards" sheetId="16" r:id="R55cbcf9de1e44040"/>
    <x:sheet xmlns:r="http://schemas.openxmlformats.org/officeDocument/2006/relationships" name="17 Corporate Platform" sheetId="17" r:id="R315a9b0a6d7642d8"/>
    <x:sheet xmlns:r="http://schemas.openxmlformats.org/officeDocument/2006/relationships" name="18 Analytics Reuse Map" sheetId="18" r:id="Rdcd3340017434ed6"/>
    <x:sheet xmlns:r="http://schemas.openxmlformats.org/officeDocument/2006/relationships" name="19 Executive Insights Discovery" sheetId="19" r:id="Rb6e8abee8dd34ed0"/>
    <x:sheet xmlns:r="http://schemas.openxmlformats.org/officeDocument/2006/relationships" name="20 Procurement Insights Discovery" sheetId="20" r:id="R3832e425bea94685"/>
    <x:sheet xmlns:r="http://schemas.openxmlformats.org/officeDocument/2006/relationships" name="21 Commercial Insights Discovery" sheetId="21" r:id="Rdcb676432f5b46cc"/>
    <x:sheet xmlns:r="http://schemas.openxmlformats.org/officeDocument/2006/relationships" name="22 Project Insights Discovery" sheetId="22" r:id="R1c06817467e64a7b"/>
    <x:sheet xmlns:r="http://schemas.openxmlformats.org/officeDocument/2006/relationships" name="23 Performance Discovery" sheetId="23" r:id="R12d6d9092ee04d06"/>
    <x:sheet xmlns:r="http://schemas.openxmlformats.org/officeDocument/2006/relationships" name="24 Risk Compliance Discovery" sheetId="24" r:id="R459080e488094e80"/>
    <x:sheet xmlns:r="http://schemas.openxmlformats.org/officeDocument/2006/relationships" name="25 Commercial Handoff" sheetId="25" r:id="R288f7ad65233419c"/>
    <x:sheet xmlns:r="http://schemas.openxmlformats.org/officeDocument/2006/relationships" name="26 RFQ Governance" sheetId="26" r:id="Rb7aae4630e8249a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d77356358aa4f10" /><Relationship Type="http://schemas.openxmlformats.org/officeDocument/2006/relationships/theme" Target="/xl/theme/theme1.xml" Id="R133d60f186ed4690" /><Relationship Type="http://schemas.openxmlformats.org/officeDocument/2006/relationships/sharedStrings" Target="/xl/sharedStrings.xml" Id="R4126d4577d484994" /><Relationship Type="http://schemas.openxmlformats.org/officeDocument/2006/relationships/worksheet" Target="/xl/worksheets/sheet1.xml" Id="R53b8f89742ff43fa" /><Relationship Type="http://schemas.openxmlformats.org/officeDocument/2006/relationships/worksheet" Target="/xl/worksheets/sheet2.xml" Id="R5a6ff149aadf4930" /><Relationship Type="http://schemas.openxmlformats.org/officeDocument/2006/relationships/worksheet" Target="/xl/worksheets/sheet3.xml" Id="Rcca385c90adb40cc" /><Relationship Type="http://schemas.openxmlformats.org/officeDocument/2006/relationships/worksheet" Target="/xl/worksheets/sheet4.xml" Id="R40cfc442bd964235" /><Relationship Type="http://schemas.openxmlformats.org/officeDocument/2006/relationships/worksheet" Target="/xl/worksheets/sheet5.xml" Id="R92cafdf6f0a24fe2" /><Relationship Type="http://schemas.openxmlformats.org/officeDocument/2006/relationships/worksheet" Target="/xl/worksheets/sheet6.xml" Id="R5eba5a02f7bf402c" /><Relationship Type="http://schemas.openxmlformats.org/officeDocument/2006/relationships/worksheet" Target="/xl/worksheets/sheet7.xml" Id="Rb75d3ba2e62c466c" /><Relationship Type="http://schemas.openxmlformats.org/officeDocument/2006/relationships/worksheet" Target="/xl/worksheets/sheet8.xml" Id="Re839a4c1ecbd405b" /><Relationship Type="http://schemas.openxmlformats.org/officeDocument/2006/relationships/worksheet" Target="/xl/worksheets/sheet9.xml" Id="R98a11668b78045a1" /><Relationship Type="http://schemas.openxmlformats.org/officeDocument/2006/relationships/worksheet" Target="/xl/worksheets/sheet10.xml" Id="Ree946fe729ab4dfe" /><Relationship Type="http://schemas.openxmlformats.org/officeDocument/2006/relationships/worksheet" Target="/xl/worksheets/sheet11.xml" Id="Rc6a1c96f98084fae" /><Relationship Type="http://schemas.openxmlformats.org/officeDocument/2006/relationships/worksheet" Target="/xl/worksheets/sheet12.xml" Id="R2c2e783657d44593" /><Relationship Type="http://schemas.openxmlformats.org/officeDocument/2006/relationships/worksheet" Target="/xl/worksheets/sheet13.xml" Id="R242a7745ef1b48a9" /><Relationship Type="http://schemas.openxmlformats.org/officeDocument/2006/relationships/worksheet" Target="/xl/worksheets/sheet14.xml" Id="R9d58aeed7f7545ce" /><Relationship Type="http://schemas.openxmlformats.org/officeDocument/2006/relationships/worksheet" Target="/xl/worksheets/sheet15.xml" Id="Rb9aca2095734429d" /><Relationship Type="http://schemas.openxmlformats.org/officeDocument/2006/relationships/worksheet" Target="/xl/worksheets/sheet16.xml" Id="R55cbcf9de1e44040" /><Relationship Type="http://schemas.openxmlformats.org/officeDocument/2006/relationships/worksheet" Target="/xl/worksheets/sheet17.xml" Id="R315a9b0a6d7642d8" /><Relationship Type="http://schemas.openxmlformats.org/officeDocument/2006/relationships/worksheet" Target="/xl/worksheets/sheet18.xml" Id="Rdcd3340017434ed6" /><Relationship Type="http://schemas.openxmlformats.org/officeDocument/2006/relationships/worksheet" Target="/xl/worksheets/sheet19.xml" Id="Rb6e8abee8dd34ed0" /><Relationship Type="http://schemas.openxmlformats.org/officeDocument/2006/relationships/worksheet" Target="/xl/worksheets/sheet20.xml" Id="R3832e425bea94685" /><Relationship Type="http://schemas.openxmlformats.org/officeDocument/2006/relationships/worksheet" Target="/xl/worksheets/sheet21.xml" Id="Rdcb676432f5b46cc" /><Relationship Type="http://schemas.openxmlformats.org/officeDocument/2006/relationships/worksheet" Target="/xl/worksheets/sheet22.xml" Id="R1c06817467e64a7b" /><Relationship Type="http://schemas.openxmlformats.org/officeDocument/2006/relationships/worksheet" Target="/xl/worksheets/sheet23.xml" Id="R12d6d9092ee04d06" /><Relationship Type="http://schemas.openxmlformats.org/officeDocument/2006/relationships/worksheet" Target="/xl/worksheets/sheet24.xml" Id="R459080e488094e80" /><Relationship Type="http://schemas.openxmlformats.org/officeDocument/2006/relationships/worksheet" Target="/xl/worksheets/sheet25.xml" Id="R288f7ad65233419c" /><Relationship Type="http://schemas.openxmlformats.org/officeDocument/2006/relationships/worksheet" Target="/xl/worksheets/sheet26.xml" Id="Rb7aae4630e8249a7" /></Relationships>
</file>

<file path=xl/drawings/_rels/drawing1.xml.rels>&#65279;<?xml version="1.0" encoding="utf-8"?><Relationships xmlns="http://schemas.openxmlformats.org/package/2006/relationships"><Relationship Type="http://schemas.openxmlformats.org/officeDocument/2006/relationships/chart" Target="/xl/drawings/charts/chart1.xml" Id="R0830cfede23c406c"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830cfede23c406c"/>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263c341b7ac4ba0" /></Relationships>
</file>

<file path=xl/worksheets/_rels/sheet2.xml.rels>&#65279;<?xml version="1.0" encoding="utf-8"?><Relationships xmlns="http://schemas.openxmlformats.org/package/2006/relationships"><Relationship Type="http://schemas.openxmlformats.org/officeDocument/2006/relationships/table" Target="/xl/tables/table2.xml" Id="R29d61ebeba29450d" /></Relationships>
</file>

<file path=xl/worksheets/_rels/sheet3.xml.rels>&#65279;<?xml version="1.0" encoding="utf-8"?><Relationships xmlns="http://schemas.openxmlformats.org/package/2006/relationships"><Relationship Type="http://schemas.openxmlformats.org/officeDocument/2006/relationships/drawing" Target="/xl/drawings/drawing1.xml" Id="Rb1fe8a69f5ab452b" /></Relationships>
</file>

<file path=xl/worksheets/_rels/sheet4.xml.rels>&#65279;<?xml version="1.0" encoding="utf-8"?><Relationships xmlns="http://schemas.openxmlformats.org/package/2006/relationships"><Relationship Type="http://schemas.openxmlformats.org/officeDocument/2006/relationships/table" Target="/xl/tables/table3.xml" Id="R35699f8209d74419" /></Relationships>
</file>

<file path=xl/worksheets/_rels/sheet5.xml.rels>&#65279;<?xml version="1.0" encoding="utf-8"?><Relationships xmlns="http://schemas.openxmlformats.org/package/2006/relationships"><Relationship Type="http://schemas.openxmlformats.org/officeDocument/2006/relationships/table" Target="/xl/tables/table4.xml" Id="R36216c5159c649de" /></Relationships>
</file>

<file path=xl/worksheets/_rels/sheet6.xml.rels>&#65279;<?xml version="1.0" encoding="utf-8"?><Relationships xmlns="http://schemas.openxmlformats.org/package/2006/relationships"><Relationship Type="http://schemas.openxmlformats.org/officeDocument/2006/relationships/table" Target="/xl/tables/table5.xml" Id="Rfbbd6b06447a46c4" /></Relationships>
</file>

<file path=xl/worksheets/_rels/sheet7.xml.rels>&#65279;<?xml version="1.0" encoding="utf-8"?><Relationships xmlns="http://schemas.openxmlformats.org/package/2006/relationships"><Relationship Type="http://schemas.openxmlformats.org/officeDocument/2006/relationships/table" Target="/xl/tables/table6.xml" Id="Rf45221e7cfad422f" /></Relationships>
</file>

<file path=xl/worksheets/_rels/sheet9.xml.rels>&#65279;<?xml version="1.0" encoding="utf-8"?><Relationships xmlns="http://schemas.openxmlformats.org/package/2006/relationships"><Relationship Type="http://schemas.openxmlformats.org/officeDocument/2006/relationships/table" Target="/xl/tables/table7.xml" Id="R6f3f427bb9a448c6" /></Relationships>
</file>

<file path=xl/worksheets/_rels/sheet10.xml.rels>&#65279;<?xml version="1.0" encoding="utf-8"?><Relationships xmlns="http://schemas.openxmlformats.org/package/2006/relationships"><Relationship Type="http://schemas.openxmlformats.org/officeDocument/2006/relationships/table" Target="/xl/tables/table8.xml" Id="R70e7b05d4b5e48e4" /></Relationships>
</file>

<file path=xl/worksheets/_rels/sheet11.xml.rels>&#65279;<?xml version="1.0" encoding="utf-8"?><Relationships xmlns="http://schemas.openxmlformats.org/package/2006/relationships"><Relationship Type="http://schemas.openxmlformats.org/officeDocument/2006/relationships/table" Target="/xl/tables/table9.xml" Id="R6be20e9f5a6f4bc2" /></Relationships>
</file>

<file path=xl/worksheets/_rels/sheet13.xml.rels>&#65279;<?xml version="1.0" encoding="utf-8"?><Relationships xmlns="http://schemas.openxmlformats.org/package/2006/relationships"><Relationship Type="http://schemas.openxmlformats.org/officeDocument/2006/relationships/table" Target="/xl/tables/table10.xml" Id="R0482b2b77f2f4d83" /></Relationships>
</file>

<file path=xl/worksheets/_rels/sheet14.xml.rels>&#65279;<?xml version="1.0" encoding="utf-8"?><Relationships xmlns="http://schemas.openxmlformats.org/package/2006/relationships"><Relationship Type="http://schemas.openxmlformats.org/officeDocument/2006/relationships/table" Target="/xl/tables/table11.xml" Id="R7e1be1d9c5654484" /></Relationships>
</file>

<file path=xl/worksheets/_rels/sheet15.xml.rels>&#65279;<?xml version="1.0" encoding="utf-8"?><Relationships xmlns="http://schemas.openxmlformats.org/package/2006/relationships"><Relationship Type="http://schemas.openxmlformats.org/officeDocument/2006/relationships/table" Target="/xl/tables/table12.xml" Id="Re106cf2359de47bf" /></Relationships>
</file>

<file path=xl/worksheets/_rels/sheet16.xml.rels>&#65279;<?xml version="1.0" encoding="utf-8"?><Relationships xmlns="http://schemas.openxmlformats.org/package/2006/relationships"><Relationship Type="http://schemas.openxmlformats.org/officeDocument/2006/relationships/table" Target="/xl/tables/table13.xml" Id="Re3e97487516e47d0"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9263c341b7ac4ba0"/>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9d61ebeba29450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307</x:v>
      </x:c>
      <x:c r="D6" s="133" t="inlineStr">
        <x:is>
          <x:t xml:space="preserve">G0A — Corporate platform architecture ready</x:t>
        </x:is>
      </x:c>
      <x:c r="E6" s="32" t="str">
        <x:f>'03 Launch Gates'!D20</x:f>
        <x:v>Completed</x:v>
      </x:c>
      <x:c r="G6" t="inlineStr">
        <x:is>
          <x:t xml:space="preserve">UI Tasks Complete</x:t>
        </x:is>
      </x:c>
      <x:c r="H6" t="n">
        <x:f>SUM(B36:B46)</x:f>
        <x:v>85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0.8365122615803815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0.8727272727272727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4</x:v>
      </x:c>
      <x:c r="C42" s="133" t="n">
        <x:f>COUNTIFS('01 Master Plan'!C$5:C$383,A42,'01 Master Plan'!H$5:H$383,"In Progress")</x:f>
        <x:v>0</x:v>
      </x:c>
      <x:c r="D42" s="133" t="n">
        <x:f>COUNTIFS('01 Master Plan'!C$5:C$383,A42,'01 Master Plan'!H$5:H$383,"Not Started")</x:f>
        <x:v>10</x:v>
      </x:c>
      <x:c r="E42" s="133" t="n">
        <x:f>COUNTIFS('01 Master Plan'!C$5:C$383,A42,'01 Master Plan'!H$5:H$383,"Blocked")</x:f>
        <x:v>0</x:v>
      </x:c>
      <x:c r="F42" s="133" t="n">
        <x:f>COUNTIFS('01 Master Plan'!C$5:C$383,A42,'01 Master Plan'!H$5:H$383,"Deferred")</x:f>
        <x:v>0</x:v>
      </x:c>
      <x:c r="G42" s="255" t="n">
        <x:f>IFERROR(B42/(B42+C42+D42+E42),0)</x:f>
        <x:v>0.2857142857142857</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1fe8a69f5ab452b"/>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5699f8209d7441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6216c5159c649d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bbd6b06447a46c4"/>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45221e7cfad422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6f3f427bb9a448c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70e7b05d4b5e48e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be20e9f5a6f4bc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13F-04 PASS/CLOSED/PUBLISHED. The five-level guidance taxonomy, eligibility contexts, page-load frequency controls and caller-owned guidance memory semantics are now in place. Memory states cover unseen/seen/dismissed/snoozed/completed; Remind Me Later maps to snoozed; no persistence adapter/storage backend has been introduced. Next executable canonical task: 13F-05 Create inline hint component.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13F-04 PASS/CLOSED/PUBLISHED. The five-level guidance taxonomy, eligibility contexts, page-load frequency controls and caller-owned guidance memory semantics are now in place. Memory states cover unseen/seen/dismissed/snoozed/completed; Remind Me Later maps to snoozed; no persistence adapter/storage backend has been introduced. Next executable canonical task: 13F-05 Create inline hint component.</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482b2b77f2f4d8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7e1be1d9c5654484"/>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106cf2359de47bf"/>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e3e97487516e47d0"/>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