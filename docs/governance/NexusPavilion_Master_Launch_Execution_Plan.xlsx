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31591465b7444a" /></Relationships>
</file>

<file path=xl/workbook.xml><?xml version="1.0" encoding="utf-8"?>
<x:workbook xmlns:x="http://schemas.openxmlformats.org/spreadsheetml/2006/main">
  <x:sheets>
    <x:sheet xmlns:r="http://schemas.openxmlformats.org/officeDocument/2006/relationships" name="01 Master Plan" sheetId="1" r:id="Rd4e364225f7e4f44"/>
    <x:sheet xmlns:r="http://schemas.openxmlformats.org/officeDocument/2006/relationships" name="03 Launch Gates" sheetId="2" r:id="R386e50613b044d60"/>
    <x:sheet xmlns:r="http://schemas.openxmlformats.org/officeDocument/2006/relationships" name="00 Dashboard" sheetId="3" r:id="R57a086748508458f"/>
    <x:sheet xmlns:r="http://schemas.openxmlformats.org/officeDocument/2006/relationships" name="04 Cursor Tasks" sheetId="4" r:id="Raa0333bb32ba45f9"/>
    <x:sheet xmlns:r="http://schemas.openxmlformats.org/officeDocument/2006/relationships" name="05 UAT Matrix" sheetId="5" r:id="R2df8a41c021943f5"/>
    <x:sheet xmlns:r="http://schemas.openxmlformats.org/officeDocument/2006/relationships" name="06 Security Matrix" sheetId="6" r:id="R1fd37cd1c5cd46ac"/>
    <x:sheet xmlns:r="http://schemas.openxmlformats.org/officeDocument/2006/relationships" name="07 Risks" sheetId="7" r:id="Rc9c608f895e14f92"/>
    <x:sheet xmlns:r="http://schemas.openxmlformats.org/officeDocument/2006/relationships" name="08 Architecture" sheetId="8" r:id="R2e5a12a3ed674e19"/>
    <x:sheet xmlns:r="http://schemas.openxmlformats.org/officeDocument/2006/relationships" name="09 Release Checklist" sheetId="9" r:id="R6817c63c50cf4563"/>
    <x:sheet xmlns:r="http://schemas.openxmlformats.org/officeDocument/2006/relationships" name="10 Change Log" sheetId="10" r:id="Rc6effce06df04aab"/>
    <x:sheet xmlns:r="http://schemas.openxmlformats.org/officeDocument/2006/relationships" name="11 Scope &amp; Roadmap" sheetId="11" r:id="R52ecee1fdac041f6"/>
    <x:sheet xmlns:r="http://schemas.openxmlformats.org/officeDocument/2006/relationships" name="12 How to Use" sheetId="12" r:id="R1b913629d7c4415d"/>
    <x:sheet xmlns:r="http://schemas.openxmlformats.org/officeDocument/2006/relationships" name="13 UI Program" sheetId="13" r:id="R28d42971f9c9427d"/>
    <x:sheet xmlns:r="http://schemas.openxmlformats.org/officeDocument/2006/relationships" name="14 UI Scorecard" sheetId="14" r:id="R711259cc2a4b4eeb"/>
    <x:sheet xmlns:r="http://schemas.openxmlformats.org/officeDocument/2006/relationships" name="15 Motion Guidance" sheetId="15" r:id="R86d3f990b75248c7"/>
    <x:sheet xmlns:r="http://schemas.openxmlformats.org/officeDocument/2006/relationships" name="16 Design Standards" sheetId="16" r:id="Ree375d3f91e647de"/>
    <x:sheet xmlns:r="http://schemas.openxmlformats.org/officeDocument/2006/relationships" name="17 Corporate Platform" sheetId="17" r:id="R002fad304f604920"/>
    <x:sheet xmlns:r="http://schemas.openxmlformats.org/officeDocument/2006/relationships" name="18 Analytics Reuse Map" sheetId="18" r:id="R3c49102a0c8a4387"/>
    <x:sheet xmlns:r="http://schemas.openxmlformats.org/officeDocument/2006/relationships" name="19 Executive Insights Discovery" sheetId="19" r:id="R87697aa7f4104326"/>
    <x:sheet xmlns:r="http://schemas.openxmlformats.org/officeDocument/2006/relationships" name="20 Procurement Insights Discovery" sheetId="20" r:id="R3b0ba0337a544a47"/>
    <x:sheet xmlns:r="http://schemas.openxmlformats.org/officeDocument/2006/relationships" name="21 Commercial Insights Discovery" sheetId="21" r:id="R9ea223925cad4e5b"/>
    <x:sheet xmlns:r="http://schemas.openxmlformats.org/officeDocument/2006/relationships" name="22 Project Insights Discovery" sheetId="22" r:id="Ra18040a2cb824300"/>
    <x:sheet xmlns:r="http://schemas.openxmlformats.org/officeDocument/2006/relationships" name="23 Performance Discovery" sheetId="23" r:id="R5c5af92ce0784727"/>
    <x:sheet xmlns:r="http://schemas.openxmlformats.org/officeDocument/2006/relationships" name="24 Risk Compliance Discovery" sheetId="24" r:id="Ree4e97b13ad24382"/>
    <x:sheet xmlns:r="http://schemas.openxmlformats.org/officeDocument/2006/relationships" name="25 Commercial Handoff" sheetId="25" r:id="Rf960881633e644e5"/>
    <x:sheet xmlns:r="http://schemas.openxmlformats.org/officeDocument/2006/relationships" name="26 RFQ Governance" sheetId="26" r:id="R5af8c47eef85447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e87d9ac9ad8430a" /><Relationship Type="http://schemas.openxmlformats.org/officeDocument/2006/relationships/theme" Target="/xl/theme/theme1.xml" Id="R85180e57944f4f2c" /><Relationship Type="http://schemas.openxmlformats.org/officeDocument/2006/relationships/sharedStrings" Target="/xl/sharedStrings.xml" Id="R7c2f64cbe6b64076" /><Relationship Type="http://schemas.openxmlformats.org/officeDocument/2006/relationships/worksheet" Target="/xl/worksheets/sheet1.xml" Id="Rd4e364225f7e4f44" /><Relationship Type="http://schemas.openxmlformats.org/officeDocument/2006/relationships/worksheet" Target="/xl/worksheets/sheet2.xml" Id="R386e50613b044d60" /><Relationship Type="http://schemas.openxmlformats.org/officeDocument/2006/relationships/worksheet" Target="/xl/worksheets/sheet3.xml" Id="R57a086748508458f" /><Relationship Type="http://schemas.openxmlformats.org/officeDocument/2006/relationships/worksheet" Target="/xl/worksheets/sheet4.xml" Id="Raa0333bb32ba45f9" /><Relationship Type="http://schemas.openxmlformats.org/officeDocument/2006/relationships/worksheet" Target="/xl/worksheets/sheet5.xml" Id="R2df8a41c021943f5" /><Relationship Type="http://schemas.openxmlformats.org/officeDocument/2006/relationships/worksheet" Target="/xl/worksheets/sheet6.xml" Id="R1fd37cd1c5cd46ac" /><Relationship Type="http://schemas.openxmlformats.org/officeDocument/2006/relationships/worksheet" Target="/xl/worksheets/sheet7.xml" Id="Rc9c608f895e14f92" /><Relationship Type="http://schemas.openxmlformats.org/officeDocument/2006/relationships/worksheet" Target="/xl/worksheets/sheet8.xml" Id="R2e5a12a3ed674e19" /><Relationship Type="http://schemas.openxmlformats.org/officeDocument/2006/relationships/worksheet" Target="/xl/worksheets/sheet9.xml" Id="R6817c63c50cf4563" /><Relationship Type="http://schemas.openxmlformats.org/officeDocument/2006/relationships/worksheet" Target="/xl/worksheets/sheet10.xml" Id="Rc6effce06df04aab" /><Relationship Type="http://schemas.openxmlformats.org/officeDocument/2006/relationships/worksheet" Target="/xl/worksheets/sheet11.xml" Id="R52ecee1fdac041f6" /><Relationship Type="http://schemas.openxmlformats.org/officeDocument/2006/relationships/worksheet" Target="/xl/worksheets/sheet12.xml" Id="R1b913629d7c4415d" /><Relationship Type="http://schemas.openxmlformats.org/officeDocument/2006/relationships/worksheet" Target="/xl/worksheets/sheet13.xml" Id="R28d42971f9c9427d" /><Relationship Type="http://schemas.openxmlformats.org/officeDocument/2006/relationships/worksheet" Target="/xl/worksheets/sheet14.xml" Id="R711259cc2a4b4eeb" /><Relationship Type="http://schemas.openxmlformats.org/officeDocument/2006/relationships/worksheet" Target="/xl/worksheets/sheet15.xml" Id="R86d3f990b75248c7" /><Relationship Type="http://schemas.openxmlformats.org/officeDocument/2006/relationships/worksheet" Target="/xl/worksheets/sheet16.xml" Id="Ree375d3f91e647de" /><Relationship Type="http://schemas.openxmlformats.org/officeDocument/2006/relationships/worksheet" Target="/xl/worksheets/sheet17.xml" Id="R002fad304f604920" /><Relationship Type="http://schemas.openxmlformats.org/officeDocument/2006/relationships/worksheet" Target="/xl/worksheets/sheet18.xml" Id="R3c49102a0c8a4387" /><Relationship Type="http://schemas.openxmlformats.org/officeDocument/2006/relationships/worksheet" Target="/xl/worksheets/sheet19.xml" Id="R87697aa7f4104326" /><Relationship Type="http://schemas.openxmlformats.org/officeDocument/2006/relationships/worksheet" Target="/xl/worksheets/sheet20.xml" Id="R3b0ba0337a544a47" /><Relationship Type="http://schemas.openxmlformats.org/officeDocument/2006/relationships/worksheet" Target="/xl/worksheets/sheet21.xml" Id="R9ea223925cad4e5b" /><Relationship Type="http://schemas.openxmlformats.org/officeDocument/2006/relationships/worksheet" Target="/xl/worksheets/sheet22.xml" Id="Ra18040a2cb824300" /><Relationship Type="http://schemas.openxmlformats.org/officeDocument/2006/relationships/worksheet" Target="/xl/worksheets/sheet23.xml" Id="R5c5af92ce0784727" /><Relationship Type="http://schemas.openxmlformats.org/officeDocument/2006/relationships/worksheet" Target="/xl/worksheets/sheet24.xml" Id="Ree4e97b13ad24382" /><Relationship Type="http://schemas.openxmlformats.org/officeDocument/2006/relationships/worksheet" Target="/xl/worksheets/sheet25.xml" Id="Rf960881633e644e5" /><Relationship Type="http://schemas.openxmlformats.org/officeDocument/2006/relationships/worksheet" Target="/xl/worksheets/sheet26.xml" Id="R5af8c47eef854476" /></Relationships>
</file>

<file path=xl/drawings/_rels/drawing1.xml.rels>&#65279;<?xml version="1.0" encoding="utf-8"?><Relationships xmlns="http://schemas.openxmlformats.org/package/2006/relationships"><Relationship Type="http://schemas.openxmlformats.org/officeDocument/2006/relationships/chart" Target="/xl/drawings/charts/chart1.xml" Id="R5657dcc896aa467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657dcc896aa467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eb7a9838562473b" /></Relationships>
</file>

<file path=xl/worksheets/_rels/sheet2.xml.rels>&#65279;<?xml version="1.0" encoding="utf-8"?><Relationships xmlns="http://schemas.openxmlformats.org/package/2006/relationships"><Relationship Type="http://schemas.openxmlformats.org/officeDocument/2006/relationships/table" Target="/xl/tables/table2.xml" Id="Rb8f3cd1128774813" /></Relationships>
</file>

<file path=xl/worksheets/_rels/sheet3.xml.rels>&#65279;<?xml version="1.0" encoding="utf-8"?><Relationships xmlns="http://schemas.openxmlformats.org/package/2006/relationships"><Relationship Type="http://schemas.openxmlformats.org/officeDocument/2006/relationships/drawing" Target="/xl/drawings/drawing1.xml" Id="R25f764aecc104252" /></Relationships>
</file>

<file path=xl/worksheets/_rels/sheet4.xml.rels>&#65279;<?xml version="1.0" encoding="utf-8"?><Relationships xmlns="http://schemas.openxmlformats.org/package/2006/relationships"><Relationship Type="http://schemas.openxmlformats.org/officeDocument/2006/relationships/table" Target="/xl/tables/table3.xml" Id="R3a537ed2ec194589" /></Relationships>
</file>

<file path=xl/worksheets/_rels/sheet5.xml.rels>&#65279;<?xml version="1.0" encoding="utf-8"?><Relationships xmlns="http://schemas.openxmlformats.org/package/2006/relationships"><Relationship Type="http://schemas.openxmlformats.org/officeDocument/2006/relationships/table" Target="/xl/tables/table4.xml" Id="R65e42c61e5d24870" /></Relationships>
</file>

<file path=xl/worksheets/_rels/sheet6.xml.rels>&#65279;<?xml version="1.0" encoding="utf-8"?><Relationships xmlns="http://schemas.openxmlformats.org/package/2006/relationships"><Relationship Type="http://schemas.openxmlformats.org/officeDocument/2006/relationships/table" Target="/xl/tables/table5.xml" Id="R87a11f376c9d4e79" /></Relationships>
</file>

<file path=xl/worksheets/_rels/sheet7.xml.rels>&#65279;<?xml version="1.0" encoding="utf-8"?><Relationships xmlns="http://schemas.openxmlformats.org/package/2006/relationships"><Relationship Type="http://schemas.openxmlformats.org/officeDocument/2006/relationships/table" Target="/xl/tables/table6.xml" Id="Rf04ccd5ea16e4ddc" /></Relationships>
</file>

<file path=xl/worksheets/_rels/sheet9.xml.rels>&#65279;<?xml version="1.0" encoding="utf-8"?><Relationships xmlns="http://schemas.openxmlformats.org/package/2006/relationships"><Relationship Type="http://schemas.openxmlformats.org/officeDocument/2006/relationships/table" Target="/xl/tables/table7.xml" Id="R544ad3d32d864c67" /></Relationships>
</file>

<file path=xl/worksheets/_rels/sheet10.xml.rels>&#65279;<?xml version="1.0" encoding="utf-8"?><Relationships xmlns="http://schemas.openxmlformats.org/package/2006/relationships"><Relationship Type="http://schemas.openxmlformats.org/officeDocument/2006/relationships/table" Target="/xl/tables/table8.xml" Id="R53016001c3674dcf" /></Relationships>
</file>

<file path=xl/worksheets/_rels/sheet11.xml.rels>&#65279;<?xml version="1.0" encoding="utf-8"?><Relationships xmlns="http://schemas.openxmlformats.org/package/2006/relationships"><Relationship Type="http://schemas.openxmlformats.org/officeDocument/2006/relationships/table" Target="/xl/tables/table9.xml" Id="R3082ac97d79c4151" /></Relationships>
</file>

<file path=xl/worksheets/_rels/sheet13.xml.rels>&#65279;<?xml version="1.0" encoding="utf-8"?><Relationships xmlns="http://schemas.openxmlformats.org/package/2006/relationships"><Relationship Type="http://schemas.openxmlformats.org/officeDocument/2006/relationships/table" Target="/xl/tables/table10.xml" Id="Rb0557b83aad6405c" /></Relationships>
</file>

<file path=xl/worksheets/_rels/sheet14.xml.rels>&#65279;<?xml version="1.0" encoding="utf-8"?><Relationships xmlns="http://schemas.openxmlformats.org/package/2006/relationships"><Relationship Type="http://schemas.openxmlformats.org/officeDocument/2006/relationships/table" Target="/xl/tables/table11.xml" Id="Rffce505000ac4f71" /></Relationships>
</file>

<file path=xl/worksheets/_rels/sheet15.xml.rels>&#65279;<?xml version="1.0" encoding="utf-8"?><Relationships xmlns="http://schemas.openxmlformats.org/package/2006/relationships"><Relationship Type="http://schemas.openxmlformats.org/officeDocument/2006/relationships/table" Target="/xl/tables/table12.xml" Id="Rb44bd08043e54ebc" /></Relationships>
</file>

<file path=xl/worksheets/_rels/sheet16.xml.rels>&#65279;<?xml version="1.0" encoding="utf-8"?><Relationships xmlns="http://schemas.openxmlformats.org/package/2006/relationships"><Relationship Type="http://schemas.openxmlformats.org/officeDocument/2006/relationships/table" Target="/xl/tables/table13.xml" Id="R2e47209a2105463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eb7a9838562473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8f3cd112877481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267</x:v>
      </x:c>
      <x:c r="D6" s="133" t="inlineStr">
        <x:is>
          <x:t xml:space="preserve">G0A — Corporate platform architecture ready</x:t>
        </x:is>
      </x:c>
      <x:c r="E6" s="32" t="str">
        <x:f>'03 Launch Gates'!D20</x:f>
        <x:v>Completed</x:v>
      </x:c>
      <x:c r="G6" t="inlineStr">
        <x:is>
          <x:t xml:space="preserve">UI Tasks Complete</x:t>
        </x:is>
      </x:c>
      <x:c r="H6" t="n">
        <x:f>SUM(B36:B46)</x:f>
        <x:v>45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0.7275204359673024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0.7490909090909091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10</x:v>
      </x:c>
      <x:c r="C37" s="133" t="n">
        <x:f>COUNTIFS('01 Master Plan'!C$5:C$383,A37,'01 Master Plan'!H$5:H$383,"In Progress")</x:f>
        <x:v>0</x:v>
      </x:c>
      <x:c r="D37" s="133" t="n">
        <x:f>COUNTIFS('01 Master Plan'!C$5:C$383,A37,'01 Master Plan'!H$5:H$383,"Not Started")</x:f>
        <x:v>2</x:v>
      </x:c>
      <x:c r="E37" s="133" t="n">
        <x:f>COUNTIFS('01 Master Plan'!C$5:C$383,A37,'01 Master Plan'!H$5:H$383,"Blocked")</x:f>
        <x:v>0</x:v>
      </x:c>
      <x:c r="F37" s="133" t="n">
        <x:f>COUNTIFS('01 Master Plan'!C$5:C$383,A37,'01 Master Plan'!H$5:H$383,"Deferred")</x:f>
        <x:v>0</x:v>
      </x:c>
      <x:c r="G37" s="255" t="n">
        <x:f>IFERROR(B37/(B37+C37+D37+E37),0)</x:f>
        <x:v>0.8333333333333334</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5f764aecc10425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a537ed2ec19458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5e42c61e5d2487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7a11f376c9d4e7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04ccd5ea16e4dd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44ad3d32d864c6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3016001c3674dcf"/>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082ac97d79c415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through 13B-10 complete. Foundation now includes semantic colors, theme compatibility, typography, spacing/grid, surfaces/depth, status palette, Nexus Intelligence language, interaction states, motion durations, easing, and reduced-motion behavior. Next: 13B-11 logo treatment on dark surfaces.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0557b83aad6405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fce505000ac4f7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44bd08043e54eb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e47209a2105463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