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6b3ad396ec46d6" /></Relationships>
</file>

<file path=xl/workbook.xml><?xml version="1.0" encoding="utf-8"?>
<x:workbook xmlns:x="http://schemas.openxmlformats.org/spreadsheetml/2006/main">
  <x:sheets>
    <x:sheet xmlns:r="http://schemas.openxmlformats.org/officeDocument/2006/relationships" name="01 Master Plan" sheetId="1" r:id="Reaadd2cf2f1e45a9"/>
    <x:sheet xmlns:r="http://schemas.openxmlformats.org/officeDocument/2006/relationships" name="03 Launch Gates" sheetId="2" r:id="R582253bd076d4f71"/>
    <x:sheet xmlns:r="http://schemas.openxmlformats.org/officeDocument/2006/relationships" name="00 Dashboard" sheetId="3" r:id="R9db585c49e4249b5"/>
    <x:sheet xmlns:r="http://schemas.openxmlformats.org/officeDocument/2006/relationships" name="04 Cursor Tasks" sheetId="4" r:id="R68c2838b01724ce2"/>
    <x:sheet xmlns:r="http://schemas.openxmlformats.org/officeDocument/2006/relationships" name="05 UAT Matrix" sheetId="5" r:id="R6bfd10822e624f72"/>
    <x:sheet xmlns:r="http://schemas.openxmlformats.org/officeDocument/2006/relationships" name="06 Security Matrix" sheetId="6" r:id="R5286e1f33e3345a2"/>
    <x:sheet xmlns:r="http://schemas.openxmlformats.org/officeDocument/2006/relationships" name="07 Risks" sheetId="7" r:id="R5010ee687ae449d6"/>
    <x:sheet xmlns:r="http://schemas.openxmlformats.org/officeDocument/2006/relationships" name="08 Architecture" sheetId="8" r:id="R4d7a68d046004018"/>
    <x:sheet xmlns:r="http://schemas.openxmlformats.org/officeDocument/2006/relationships" name="09 Release Checklist" sheetId="9" r:id="R412118975a1c409a"/>
    <x:sheet xmlns:r="http://schemas.openxmlformats.org/officeDocument/2006/relationships" name="10 Change Log" sheetId="10" r:id="R8dd709ebc548449f"/>
    <x:sheet xmlns:r="http://schemas.openxmlformats.org/officeDocument/2006/relationships" name="11 Scope &amp; Roadmap" sheetId="11" r:id="Rfbf26362fa0b4b0e"/>
    <x:sheet xmlns:r="http://schemas.openxmlformats.org/officeDocument/2006/relationships" name="12 How to Use" sheetId="12" r:id="Re986535746c84b8e"/>
    <x:sheet xmlns:r="http://schemas.openxmlformats.org/officeDocument/2006/relationships" name="13 UI Program" sheetId="13" r:id="R0fc29db5c0424a65"/>
    <x:sheet xmlns:r="http://schemas.openxmlformats.org/officeDocument/2006/relationships" name="14 UI Scorecard" sheetId="14" r:id="Rb0094d19d11a4ce9"/>
    <x:sheet xmlns:r="http://schemas.openxmlformats.org/officeDocument/2006/relationships" name="15 Motion Guidance" sheetId="15" r:id="Rae944c66e2c74791"/>
    <x:sheet xmlns:r="http://schemas.openxmlformats.org/officeDocument/2006/relationships" name="16 Design Standards" sheetId="16" r:id="R206c76c734b742f2"/>
    <x:sheet xmlns:r="http://schemas.openxmlformats.org/officeDocument/2006/relationships" name="17 Corporate Platform" sheetId="17" r:id="Rc096da435abf4ebc"/>
    <x:sheet xmlns:r="http://schemas.openxmlformats.org/officeDocument/2006/relationships" name="18 Analytics Reuse Map" sheetId="18" r:id="R048cf724c90342a8"/>
    <x:sheet xmlns:r="http://schemas.openxmlformats.org/officeDocument/2006/relationships" name="19 Executive Insights Discovery" sheetId="19" r:id="Rd447fbf84e554859"/>
    <x:sheet xmlns:r="http://schemas.openxmlformats.org/officeDocument/2006/relationships" name="20 Procurement Insights Discovery" sheetId="20" r:id="Rea247ced19bc482c"/>
    <x:sheet xmlns:r="http://schemas.openxmlformats.org/officeDocument/2006/relationships" name="21 Commercial Insights Discovery" sheetId="21" r:id="R9f81a2df366e43c5"/>
    <x:sheet xmlns:r="http://schemas.openxmlformats.org/officeDocument/2006/relationships" name="22 Project Insights Discovery" sheetId="22" r:id="R899049e73e3c41af"/>
    <x:sheet xmlns:r="http://schemas.openxmlformats.org/officeDocument/2006/relationships" name="23 Performance Discovery" sheetId="23" r:id="Rbae8551f161d43e6"/>
    <x:sheet xmlns:r="http://schemas.openxmlformats.org/officeDocument/2006/relationships" name="24 Risk Compliance Discovery" sheetId="24" r:id="R9eb4df68fe3c400c"/>
    <x:sheet xmlns:r="http://schemas.openxmlformats.org/officeDocument/2006/relationships" name="25 Commercial Handoff" sheetId="25" r:id="Rf0872126c78a44ea"/>
    <x:sheet xmlns:r="http://schemas.openxmlformats.org/officeDocument/2006/relationships" name="26 RFQ Governance" sheetId="26" r:id="R8c813ea4de12452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614296b1ce840c7" /><Relationship Type="http://schemas.openxmlformats.org/officeDocument/2006/relationships/theme" Target="/xl/theme/theme1.xml" Id="Rbaadd9a085bb454e" /><Relationship Type="http://schemas.openxmlformats.org/officeDocument/2006/relationships/sharedStrings" Target="/xl/sharedStrings.xml" Id="R24eabad6098c4f3c" /><Relationship Type="http://schemas.openxmlformats.org/officeDocument/2006/relationships/worksheet" Target="/xl/worksheets/sheet1.xml" Id="Reaadd2cf2f1e45a9" /><Relationship Type="http://schemas.openxmlformats.org/officeDocument/2006/relationships/worksheet" Target="/xl/worksheets/sheet2.xml" Id="R582253bd076d4f71" /><Relationship Type="http://schemas.openxmlformats.org/officeDocument/2006/relationships/worksheet" Target="/xl/worksheets/sheet3.xml" Id="R9db585c49e4249b5" /><Relationship Type="http://schemas.openxmlformats.org/officeDocument/2006/relationships/worksheet" Target="/xl/worksheets/sheet4.xml" Id="R68c2838b01724ce2" /><Relationship Type="http://schemas.openxmlformats.org/officeDocument/2006/relationships/worksheet" Target="/xl/worksheets/sheet5.xml" Id="R6bfd10822e624f72" /><Relationship Type="http://schemas.openxmlformats.org/officeDocument/2006/relationships/worksheet" Target="/xl/worksheets/sheet6.xml" Id="R5286e1f33e3345a2" /><Relationship Type="http://schemas.openxmlformats.org/officeDocument/2006/relationships/worksheet" Target="/xl/worksheets/sheet7.xml" Id="R5010ee687ae449d6" /><Relationship Type="http://schemas.openxmlformats.org/officeDocument/2006/relationships/worksheet" Target="/xl/worksheets/sheet8.xml" Id="R4d7a68d046004018" /><Relationship Type="http://schemas.openxmlformats.org/officeDocument/2006/relationships/worksheet" Target="/xl/worksheets/sheet9.xml" Id="R412118975a1c409a" /><Relationship Type="http://schemas.openxmlformats.org/officeDocument/2006/relationships/worksheet" Target="/xl/worksheets/sheet10.xml" Id="R8dd709ebc548449f" /><Relationship Type="http://schemas.openxmlformats.org/officeDocument/2006/relationships/worksheet" Target="/xl/worksheets/sheet11.xml" Id="Rfbf26362fa0b4b0e" /><Relationship Type="http://schemas.openxmlformats.org/officeDocument/2006/relationships/worksheet" Target="/xl/worksheets/sheet12.xml" Id="Re986535746c84b8e" /><Relationship Type="http://schemas.openxmlformats.org/officeDocument/2006/relationships/worksheet" Target="/xl/worksheets/sheet13.xml" Id="R0fc29db5c0424a65" /><Relationship Type="http://schemas.openxmlformats.org/officeDocument/2006/relationships/worksheet" Target="/xl/worksheets/sheet14.xml" Id="Rb0094d19d11a4ce9" /><Relationship Type="http://schemas.openxmlformats.org/officeDocument/2006/relationships/worksheet" Target="/xl/worksheets/sheet15.xml" Id="Rae944c66e2c74791" /><Relationship Type="http://schemas.openxmlformats.org/officeDocument/2006/relationships/worksheet" Target="/xl/worksheets/sheet16.xml" Id="R206c76c734b742f2" /><Relationship Type="http://schemas.openxmlformats.org/officeDocument/2006/relationships/worksheet" Target="/xl/worksheets/sheet17.xml" Id="Rc096da435abf4ebc" /><Relationship Type="http://schemas.openxmlformats.org/officeDocument/2006/relationships/worksheet" Target="/xl/worksheets/sheet18.xml" Id="R048cf724c90342a8" /><Relationship Type="http://schemas.openxmlformats.org/officeDocument/2006/relationships/worksheet" Target="/xl/worksheets/sheet19.xml" Id="Rd447fbf84e554859" /><Relationship Type="http://schemas.openxmlformats.org/officeDocument/2006/relationships/worksheet" Target="/xl/worksheets/sheet20.xml" Id="Rea247ced19bc482c" /><Relationship Type="http://schemas.openxmlformats.org/officeDocument/2006/relationships/worksheet" Target="/xl/worksheets/sheet21.xml" Id="R9f81a2df366e43c5" /><Relationship Type="http://schemas.openxmlformats.org/officeDocument/2006/relationships/worksheet" Target="/xl/worksheets/sheet22.xml" Id="R899049e73e3c41af" /><Relationship Type="http://schemas.openxmlformats.org/officeDocument/2006/relationships/worksheet" Target="/xl/worksheets/sheet23.xml" Id="Rbae8551f161d43e6" /><Relationship Type="http://schemas.openxmlformats.org/officeDocument/2006/relationships/worksheet" Target="/xl/worksheets/sheet24.xml" Id="R9eb4df68fe3c400c" /><Relationship Type="http://schemas.openxmlformats.org/officeDocument/2006/relationships/worksheet" Target="/xl/worksheets/sheet25.xml" Id="Rf0872126c78a44ea" /><Relationship Type="http://schemas.openxmlformats.org/officeDocument/2006/relationships/worksheet" Target="/xl/worksheets/sheet26.xml" Id="R8c813ea4de124528" /></Relationships>
</file>

<file path=xl/drawings/_rels/drawing1.xml.rels>&#65279;<?xml version="1.0" encoding="utf-8"?><Relationships xmlns="http://schemas.openxmlformats.org/package/2006/relationships"><Relationship Type="http://schemas.openxmlformats.org/officeDocument/2006/relationships/chart" Target="/xl/drawings/charts/chart1.xml" Id="R106335eb055e47e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06335eb055e47e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d8035c397a34b39" /></Relationships>
</file>

<file path=xl/worksheets/_rels/sheet2.xml.rels>&#65279;<?xml version="1.0" encoding="utf-8"?><Relationships xmlns="http://schemas.openxmlformats.org/package/2006/relationships"><Relationship Type="http://schemas.openxmlformats.org/officeDocument/2006/relationships/table" Target="/xl/tables/table2.xml" Id="Rce2e700598024da8" /></Relationships>
</file>

<file path=xl/worksheets/_rels/sheet3.xml.rels>&#65279;<?xml version="1.0" encoding="utf-8"?><Relationships xmlns="http://schemas.openxmlformats.org/package/2006/relationships"><Relationship Type="http://schemas.openxmlformats.org/officeDocument/2006/relationships/drawing" Target="/xl/drawings/drawing1.xml" Id="Reea7b899ecc44f33" /></Relationships>
</file>

<file path=xl/worksheets/_rels/sheet4.xml.rels>&#65279;<?xml version="1.0" encoding="utf-8"?><Relationships xmlns="http://schemas.openxmlformats.org/package/2006/relationships"><Relationship Type="http://schemas.openxmlformats.org/officeDocument/2006/relationships/table" Target="/xl/tables/table3.xml" Id="Reae15e71dc124e01" /></Relationships>
</file>

<file path=xl/worksheets/_rels/sheet5.xml.rels>&#65279;<?xml version="1.0" encoding="utf-8"?><Relationships xmlns="http://schemas.openxmlformats.org/package/2006/relationships"><Relationship Type="http://schemas.openxmlformats.org/officeDocument/2006/relationships/table" Target="/xl/tables/table4.xml" Id="Rd94232aabeae44c2" /></Relationships>
</file>

<file path=xl/worksheets/_rels/sheet6.xml.rels>&#65279;<?xml version="1.0" encoding="utf-8"?><Relationships xmlns="http://schemas.openxmlformats.org/package/2006/relationships"><Relationship Type="http://schemas.openxmlformats.org/officeDocument/2006/relationships/table" Target="/xl/tables/table5.xml" Id="R51b506d11f614cbe" /></Relationships>
</file>

<file path=xl/worksheets/_rels/sheet7.xml.rels>&#65279;<?xml version="1.0" encoding="utf-8"?><Relationships xmlns="http://schemas.openxmlformats.org/package/2006/relationships"><Relationship Type="http://schemas.openxmlformats.org/officeDocument/2006/relationships/table" Target="/xl/tables/table6.xml" Id="Ra5326190cb314cfd" /></Relationships>
</file>

<file path=xl/worksheets/_rels/sheet9.xml.rels>&#65279;<?xml version="1.0" encoding="utf-8"?><Relationships xmlns="http://schemas.openxmlformats.org/package/2006/relationships"><Relationship Type="http://schemas.openxmlformats.org/officeDocument/2006/relationships/table" Target="/xl/tables/table7.xml" Id="R24ce1e25de3b40f0" /></Relationships>
</file>

<file path=xl/worksheets/_rels/sheet10.xml.rels>&#65279;<?xml version="1.0" encoding="utf-8"?><Relationships xmlns="http://schemas.openxmlformats.org/package/2006/relationships"><Relationship Type="http://schemas.openxmlformats.org/officeDocument/2006/relationships/table" Target="/xl/tables/table8.xml" Id="R4e36efbcd87b4d6a" /></Relationships>
</file>

<file path=xl/worksheets/_rels/sheet11.xml.rels>&#65279;<?xml version="1.0" encoding="utf-8"?><Relationships xmlns="http://schemas.openxmlformats.org/package/2006/relationships"><Relationship Type="http://schemas.openxmlformats.org/officeDocument/2006/relationships/table" Target="/xl/tables/table9.xml" Id="R6d968d2e311c4b0a" /></Relationships>
</file>

<file path=xl/worksheets/_rels/sheet13.xml.rels>&#65279;<?xml version="1.0" encoding="utf-8"?><Relationships xmlns="http://schemas.openxmlformats.org/package/2006/relationships"><Relationship Type="http://schemas.openxmlformats.org/officeDocument/2006/relationships/table" Target="/xl/tables/table10.xml" Id="R90ad9dfe3aec4494" /></Relationships>
</file>

<file path=xl/worksheets/_rels/sheet14.xml.rels>&#65279;<?xml version="1.0" encoding="utf-8"?><Relationships xmlns="http://schemas.openxmlformats.org/package/2006/relationships"><Relationship Type="http://schemas.openxmlformats.org/officeDocument/2006/relationships/table" Target="/xl/tables/table11.xml" Id="R334081104d944626" /></Relationships>
</file>

<file path=xl/worksheets/_rels/sheet15.xml.rels>&#65279;<?xml version="1.0" encoding="utf-8"?><Relationships xmlns="http://schemas.openxmlformats.org/package/2006/relationships"><Relationship Type="http://schemas.openxmlformats.org/officeDocument/2006/relationships/table" Target="/xl/tables/table12.xml" Id="R3df4d61bd9254952" /></Relationships>
</file>

<file path=xl/worksheets/_rels/sheet16.xml.rels>&#65279;<?xml version="1.0" encoding="utf-8"?><Relationships xmlns="http://schemas.openxmlformats.org/package/2006/relationships"><Relationship Type="http://schemas.openxmlformats.org/officeDocument/2006/relationships/table" Target="/xl/tables/table13.xml" Id="R3839ba6c9a9f407f"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d8035c397a34b39"/>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ce2e700598024da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280</x:v>
      </x:c>
      <x:c r="D6" s="133" t="inlineStr">
        <x:is>
          <x:t xml:space="preserve">G0A — Corporate platform architecture ready</x:t>
        </x:is>
      </x:c>
      <x:c r="E6" s="32" t="str">
        <x:f>'03 Launch Gates'!D20</x:f>
        <x:v>Completed</x:v>
      </x:c>
      <x:c r="G6" t="inlineStr">
        <x:is>
          <x:t xml:space="preserve">UI Tasks Complete</x:t>
        </x:is>
      </x:c>
      <x:c r="H6" t="n">
        <x:f>SUM(B36:B46)</x:f>
        <x:v>58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0.7629427792915532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0.7927272727272727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11</x:v>
      </x:c>
      <x:c r="C38" s="133" t="n">
        <x:f>COUNTIFS('01 Master Plan'!C$5:C$383,A38,'01 Master Plan'!H$5:H$383,"In Progress")</x:f>
        <x:v>0</x:v>
      </x:c>
      <x:c r="D38" s="133" t="n">
        <x:f>COUNTIFS('01 Master Plan'!C$5:C$383,A38,'01 Master Plan'!H$5:H$383,"Not Started")</x:f>
        <x:v>6</x:v>
      </x:c>
      <x:c r="E38" s="133" t="n">
        <x:f>COUNTIFS('01 Master Plan'!C$5:C$383,A38,'01 Master Plan'!H$5:H$383,"Blocked")</x:f>
        <x:v>0</x:v>
      </x:c>
      <x:c r="F38" s="133" t="n">
        <x:f>COUNTIFS('01 Master Plan'!C$5:C$383,A38,'01 Master Plan'!H$5:H$383,"Deferred")</x:f>
        <x:v>0</x:v>
      </x:c>
      <x:c r="G38" s="255" t="n">
        <x:f>IFERROR(B38/(B38+C38+D38+E38),0)</x:f>
        <x:v>0.6470588235294118</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eea7b899ecc44f33"/>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eae15e71dc124e01"/>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94232aabeae44c2"/>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1b506d11f614cbe"/>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a5326190cb314cfd"/>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24ce1e25de3b40f0"/>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e36efbcd87b4d6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d968d2e311c4b0a"/>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13C-11 complete: buttons, form controls, date/deadline controls, badges/status chips, card roles, enterprise tables, confirmation dialogs, drawer/side-panel contract, tooltip/popover contract, toast/inline-feedback contract, and loading/skeleton/progress contract. Next: 13C-12 Standardize empty states.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90ad9dfe3aec4494"/>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334081104d944626"/>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3df4d61bd9254952"/>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839ba6c9a9f407f"/>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